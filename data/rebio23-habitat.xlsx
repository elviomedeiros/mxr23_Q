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211" documentId="11_FE56B542C92F4BF2C24FCCA07D5FC0E7B667B7AC" xr6:coauthVersionLast="47" xr6:coauthVersionMax="47" xr10:uidLastSave="{06F737EC-122E-47DE-840E-B11F17AE233A}"/>
  <bookViews>
    <workbookView xWindow="-21720" yWindow="-22425" windowWidth="21840" windowHeight="37920" tabRatio="500" activeTab="2" xr2:uid="{00000000-000D-0000-FFFF-FFFF00000000}"/>
  </bookViews>
  <sheets>
    <sheet name="datapoints" sheetId="1" r:id="rId1"/>
    <sheet name="original" sheetId="6" r:id="rId2"/>
    <sheet name="ambiente" sheetId="3" r:id="rId3"/>
    <sheet name="nutri" sheetId="5" r:id="rId4"/>
    <sheet name="grupos" sheetId="2" r:id="rId5"/>
    <sheet name="variaveis" sheetId="4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14" i="3" l="1"/>
  <c r="AY98" i="6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G98" i="6"/>
  <c r="AF98" i="6"/>
  <c r="AD98" i="6"/>
  <c r="AC98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G97" i="6"/>
  <c r="AF97" i="6"/>
  <c r="AD97" i="6"/>
  <c r="AC97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G96" i="6"/>
  <c r="AF96" i="6"/>
  <c r="AD96" i="6"/>
  <c r="AC96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G95" i="6"/>
  <c r="AF95" i="6"/>
  <c r="AD95" i="6"/>
  <c r="AC95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G94" i="6"/>
  <c r="AF94" i="6"/>
  <c r="AD94" i="6"/>
  <c r="AC94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G93" i="6"/>
  <c r="AF93" i="6"/>
  <c r="AD93" i="6"/>
  <c r="AC93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G92" i="6"/>
  <c r="AF92" i="6"/>
  <c r="AD92" i="6"/>
  <c r="AC92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G91" i="6"/>
  <c r="AF91" i="6"/>
  <c r="AD91" i="6"/>
  <c r="AC91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G90" i="6"/>
  <c r="AF90" i="6"/>
  <c r="AD90" i="6"/>
  <c r="AC90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G89" i="6"/>
  <c r="AF89" i="6"/>
  <c r="AD89" i="6"/>
  <c r="AC89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G88" i="6"/>
  <c r="AF88" i="6"/>
  <c r="AD88" i="6"/>
  <c r="AC88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G87" i="6"/>
  <c r="AF87" i="6"/>
  <c r="AD87" i="6"/>
  <c r="AC87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G86" i="6"/>
  <c r="AF86" i="6"/>
  <c r="AD86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G85" i="6"/>
  <c r="AF85" i="6"/>
  <c r="AD85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G84" i="6"/>
  <c r="AF84" i="6"/>
  <c r="AD84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G83" i="6"/>
  <c r="AF83" i="6"/>
  <c r="AD83" i="6"/>
  <c r="AC83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G82" i="6"/>
  <c r="AF82" i="6"/>
  <c r="AD82" i="6"/>
  <c r="AC82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G81" i="6"/>
  <c r="AF81" i="6"/>
  <c r="AD81" i="6"/>
  <c r="AC81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G80" i="6"/>
  <c r="AF80" i="6"/>
  <c r="AD80" i="6"/>
  <c r="AC80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G79" i="6"/>
  <c r="AF79" i="6"/>
  <c r="AD79" i="6"/>
  <c r="AC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G78" i="6"/>
  <c r="AF78" i="6"/>
  <c r="AD78" i="6"/>
  <c r="AC78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G77" i="6"/>
  <c r="AF77" i="6"/>
  <c r="AD77" i="6"/>
  <c r="AC77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G76" i="6"/>
  <c r="AF76" i="6"/>
  <c r="AD76" i="6"/>
  <c r="AC76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G75" i="6"/>
  <c r="AF75" i="6"/>
  <c r="AD75" i="6"/>
  <c r="AC75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G74" i="6"/>
  <c r="AF74" i="6"/>
  <c r="AD74" i="6"/>
  <c r="AC74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G73" i="6"/>
  <c r="AF73" i="6"/>
  <c r="AD73" i="6"/>
  <c r="AC73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G72" i="6"/>
  <c r="AF72" i="6"/>
  <c r="AD72" i="6"/>
  <c r="AC72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G68" i="6"/>
  <c r="AF68" i="6"/>
  <c r="AD68" i="6"/>
  <c r="AC68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G67" i="6"/>
  <c r="AF67" i="6"/>
  <c r="AD67" i="6"/>
  <c r="AC67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G66" i="6"/>
  <c r="AF66" i="6"/>
  <c r="AD66" i="6"/>
  <c r="AC66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G65" i="6"/>
  <c r="AF65" i="6"/>
  <c r="AD65" i="6"/>
  <c r="AC65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G64" i="6"/>
  <c r="AF64" i="6"/>
  <c r="AD64" i="6"/>
  <c r="AC64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G63" i="6"/>
  <c r="AF63" i="6"/>
  <c r="AD63" i="6"/>
  <c r="AC63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G62" i="6"/>
  <c r="AF62" i="6"/>
  <c r="AD62" i="6"/>
  <c r="AC62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G61" i="6"/>
  <c r="AF61" i="6"/>
  <c r="AD61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G60" i="6"/>
  <c r="AF60" i="6"/>
  <c r="AD60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G59" i="6"/>
  <c r="AF59" i="6"/>
  <c r="AD59" i="6"/>
  <c r="AC59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G58" i="6"/>
  <c r="AF58" i="6"/>
  <c r="AD58" i="6"/>
  <c r="AC58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G57" i="6"/>
  <c r="AF57" i="6"/>
  <c r="AD57" i="6"/>
  <c r="AC57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G56" i="6"/>
  <c r="AF56" i="6"/>
  <c r="AD56" i="6"/>
  <c r="AC56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G55" i="6"/>
  <c r="AF55" i="6"/>
  <c r="AD55" i="6"/>
  <c r="AC55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G54" i="6"/>
  <c r="AF54" i="6"/>
  <c r="AD54" i="6"/>
  <c r="AC54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G53" i="6"/>
  <c r="AF53" i="6"/>
  <c r="AD53" i="6"/>
  <c r="AC53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G52" i="6"/>
  <c r="AF52" i="6"/>
  <c r="AD52" i="6"/>
  <c r="AC52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G51" i="6"/>
  <c r="AF51" i="6"/>
  <c r="AD51" i="6"/>
  <c r="AC51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G50" i="6"/>
  <c r="AF50" i="6"/>
  <c r="AD50" i="6"/>
  <c r="AC50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G49" i="6"/>
  <c r="AF49" i="6"/>
  <c r="AD49" i="6"/>
  <c r="AC49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G48" i="6"/>
  <c r="AF48" i="6"/>
  <c r="AD48" i="6"/>
  <c r="AC48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G47" i="6"/>
  <c r="AF47" i="6"/>
  <c r="AD47" i="6"/>
  <c r="AC47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G46" i="6"/>
  <c r="AF46" i="6"/>
  <c r="AD46" i="6"/>
  <c r="AC46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G45" i="6"/>
  <c r="AF45" i="6"/>
  <c r="AD45" i="6"/>
  <c r="AC45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G44" i="6"/>
  <c r="AF44" i="6"/>
  <c r="AD44" i="6"/>
  <c r="AC44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G43" i="6"/>
  <c r="AF43" i="6"/>
  <c r="AD43" i="6"/>
  <c r="AC43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G42" i="6"/>
  <c r="AF42" i="6"/>
  <c r="AD42" i="6"/>
  <c r="AC42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G41" i="6"/>
  <c r="AF41" i="6"/>
  <c r="AD41" i="6"/>
  <c r="AC41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G40" i="6"/>
  <c r="AF40" i="6"/>
  <c r="AD40" i="6"/>
  <c r="AC40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G39" i="6"/>
  <c r="AF39" i="6"/>
  <c r="AD39" i="6"/>
  <c r="AC39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G38" i="6"/>
  <c r="AF38" i="6"/>
  <c r="AD38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G37" i="6"/>
  <c r="AF37" i="6"/>
  <c r="AD37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G36" i="6"/>
  <c r="AF36" i="6"/>
  <c r="AD36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G35" i="6"/>
  <c r="AF35" i="6"/>
  <c r="AD35" i="6"/>
  <c r="AC35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G34" i="6"/>
  <c r="AF34" i="6"/>
  <c r="AD34" i="6"/>
  <c r="AC34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G33" i="6"/>
  <c r="AF33" i="6"/>
  <c r="AD33" i="6"/>
  <c r="AC33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G32" i="6"/>
  <c r="AF32" i="6"/>
  <c r="AD32" i="6"/>
  <c r="AC32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G31" i="6"/>
  <c r="AF31" i="6"/>
  <c r="AD31" i="6"/>
  <c r="AC31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G30" i="6"/>
  <c r="AF30" i="6"/>
  <c r="AD30" i="6"/>
  <c r="AC30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G29" i="6"/>
  <c r="AF29" i="6"/>
  <c r="AD29" i="6"/>
  <c r="AC29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G28" i="6"/>
  <c r="AF28" i="6"/>
  <c r="AD28" i="6"/>
  <c r="AC28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G27" i="6"/>
  <c r="AF27" i="6"/>
  <c r="AD27" i="6"/>
  <c r="AC27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G26" i="6"/>
  <c r="AF26" i="6"/>
  <c r="AD26" i="6"/>
  <c r="AC26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G25" i="6"/>
  <c r="AF25" i="6"/>
  <c r="AD25" i="6"/>
  <c r="AC25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G24" i="6"/>
  <c r="AF24" i="6"/>
  <c r="AD24" i="6"/>
  <c r="AC24" i="6"/>
  <c r="AD23" i="6"/>
  <c r="AD22" i="6"/>
  <c r="AD21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G20" i="6"/>
  <c r="AF20" i="6"/>
  <c r="AD20" i="6"/>
  <c r="AC20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G19" i="6"/>
  <c r="AF19" i="6"/>
  <c r="AD19" i="6"/>
  <c r="AC19" i="6"/>
  <c r="AY18" i="6"/>
  <c r="AX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G18" i="6"/>
  <c r="AF18" i="6"/>
  <c r="AD18" i="6"/>
  <c r="AC18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G17" i="6"/>
  <c r="AF17" i="6"/>
  <c r="AD17" i="6"/>
  <c r="AC17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G16" i="6"/>
  <c r="AF16" i="6"/>
  <c r="AD16" i="6"/>
  <c r="AC16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G15" i="6"/>
  <c r="AF15" i="6"/>
  <c r="AD15" i="6"/>
  <c r="AC15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G14" i="6"/>
  <c r="AF14" i="6"/>
  <c r="AD14" i="6"/>
  <c r="AC14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G13" i="6"/>
  <c r="AF13" i="6"/>
  <c r="AD13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G12" i="6"/>
  <c r="AF12" i="6"/>
  <c r="AD12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G11" i="6"/>
  <c r="AF11" i="6"/>
  <c r="AD11" i="6"/>
  <c r="AC11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G10" i="6"/>
  <c r="AF10" i="6"/>
  <c r="AD10" i="6"/>
  <c r="AC10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G9" i="6"/>
  <c r="AF9" i="6"/>
  <c r="AD9" i="6"/>
  <c r="AC9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G8" i="6"/>
  <c r="AF8" i="6"/>
  <c r="AD8" i="6"/>
  <c r="AC8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D7" i="6"/>
  <c r="AC7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D6" i="6"/>
  <c r="AC6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D5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D4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D3" i="6"/>
  <c r="J9" i="4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<sst xmlns="http://schemas.openxmlformats.org/spreadsheetml/2006/main" count="3098" uniqueCount="418">
  <si>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</si>
  <si>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</si>
  <si>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</si>
  <si>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</si>
  <si>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</si>
  <si>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</si>
  <si>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</si>
  <si>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</si>
  <si>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</si>
  <si>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</si>
  <si>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</si>
  <si>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</si>
  <si>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</si>
  <si>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</si>
  <si>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</si>
  <si>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</si>
  <si>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</si>
  <si>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</si>
  <si>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</si>
  <si>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</si>
  <si>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</si>
  <si>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</si>
  <si>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</si>
  <si>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</si>
  <si>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</si>
  <si>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</si>
  <si>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</si>
  <si>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</si>
  <si>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</si>
  <si>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</si>
  <si>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</si>
  <si>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</si>
  <si>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</si>
  <si>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</si>
  <si>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</si>
  <si>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</si>
  <si>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</si>
  <si>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</si>
  <si>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</si>
  <si>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</si>
  <si>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</si>
  <si>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</si>
  <si>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</si>
  <si>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</si>
  <si>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</si>
  <si>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</si>
  <si>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</si>
  <si>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</si>
  <si>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</si>
  <si>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</si>
  <si>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</si>
  <si>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</si>
  <si>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</si>
  <si>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</si>
  <si>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</si>
  <si>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</si>
  <si>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</si>
  <si>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</si>
  <si>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</si>
  <si>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</si>
  <si>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</si>
  <si>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</si>
  <si>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</si>
  <si>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</si>
  <si>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</si>
  <si>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</si>
  <si>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</si>
  <si>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</si>
  <si>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</si>
  <si>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</si>
  <si>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</si>
  <si>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</si>
  <si>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</si>
  <si>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</si>
  <si>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</si>
  <si>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</si>
  <si>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</si>
  <si>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</si>
  <si>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</si>
  <si>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</si>
  <si>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</si>
  <si>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</si>
  <si>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</si>
  <si>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</si>
  <si>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</si>
  <si>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</si>
  <si>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</si>
  <si>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</si>
  <si>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</si>
  <si>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</si>
  <si>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</si>
  <si>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</si>
  <si>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</si>
  <si>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</si>
  <si>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</si>
  <si>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</si>
  <si>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</si>
  <si>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</si>
  <si>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</si>
  <si>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</si>
  <si>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</si>
  <si>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</si>
  <si>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</si>
  <si>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</si>
  <si>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</si>
  <si>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</si>
  <si>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</si>
  <si>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</si>
  <si>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</si>
  <si>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</si>
  <si>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</si>
  <si>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</si>
  <si>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</si>
  <si>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</si>
  <si>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</si>
  <si>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</si>
  <si>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</si>
  <si>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</si>
  <si>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</si>
  <si>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</si>
  <si>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</si>
  <si>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</si>
  <si>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</si>
  <si>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</si>
  <si>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</si>
  <si>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</si>
  <si>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</si>
  <si>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</si>
  <si>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</si>
  <si>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</si>
  <si>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</si>
  <si>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</si>
  <si>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</si>
  <si>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</si>
  <si>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</si>
  <si>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</si>
  <si>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</si>
  <si>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</si>
  <si>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</si>
  <si>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</si>
  <si>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</si>
  <si>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</si>
  <si>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</si>
  <si>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</si>
  <si>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</si>
  <si>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</si>
  <si>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</si>
  <si>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</si>
  <si>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</si>
  <si>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</si>
  <si>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</si>
  <si>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</si>
  <si>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</si>
  <si>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</si>
  <si>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</si>
  <si>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</si>
  <si>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</si>
  <si>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</si>
  <si>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</si>
  <si>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</si>
  <si>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</si>
  <si>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</si>
  <si>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</si>
  <si>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</si>
  <si>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</si>
  <si>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</si>
  <si>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</si>
  <si>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</si>
  <si>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</si>
  <si>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</si>
  <si>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</si>
  <si>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</si>
  <si>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</si>
  <si>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</si>
  <si>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</si>
  <si>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</si>
  <si>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</si>
  <si>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</si>
  <si>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</si>
  <si>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</si>
  <si>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</si>
  <si>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</si>
  <si>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</si>
  <si>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</si>
  <si>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</si>
  <si>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</si>
  <si>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</si>
  <si>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</si>
  <si>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</si>
  <si>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</si>
  <si>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</si>
  <si>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</si>
  <si>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</si>
  <si>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</si>
  <si>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</si>
  <si>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</si>
  <si>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</si>
  <si>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</si>
  <si>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</si>
  <si>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</si>
  <si>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</si>
  <si>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</si>
  <si>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</si>
  <si>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</si>
  <si>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</si>
  <si>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</si>
  <si>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</si>
  <si>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</si>
  <si>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</si>
  <si>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</si>
  <si>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</si>
  <si>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</si>
  <si>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</si>
  <si>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</si>
  <si>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</si>
  <si>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</si>
  <si>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</si>
  <si>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</si>
  <si>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</si>
  <si>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</si>
  <si>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</si>
  <si>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</si>
  <si>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</si>
  <si>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</si>
  <si>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</si>
  <si>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</si>
  <si>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</si>
  <si>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</si>
  <si>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</si>
  <si>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</si>
  <si>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</si>
  <si>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</si>
  <si>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</si>
  <si>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</si>
  <si>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</si>
  <si>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</si>
  <si>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</si>
  <si>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</si>
  <si>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</si>
  <si>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</si>
  <si>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</si>
  <si>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</si>
  <si>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</si>
  <si>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</si>
  <si>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</si>
  <si>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</si>
  <si>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</si>
  <si>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</si>
  <si>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</si>
  <si>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</si>
  <si>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</si>
  <si>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</si>
  <si>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</si>
  <si>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</si>
  <si>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</si>
  <si>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</si>
  <si>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</si>
  <si>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</si>
  <si>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</si>
  <si>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</si>
  <si>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</si>
  <si>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</si>
  <si>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</si>
  <si>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</si>
  <si>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</si>
  <si>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</si>
  <si>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</si>
  <si>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</si>
  <si>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</si>
  <si>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</si>
  <si>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</si>
  <si>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</si>
  <si>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</si>
  <si>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</si>
  <si>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</si>
  <si>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</si>
  <si>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</si>
  <si>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</si>
  <si>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</si>
  <si>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</si>
  <si>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</si>
  <si>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</si>
  <si>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</si>
  <si>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</si>
  <si>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</si>
  <si>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</si>
  <si>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</si>
  <si>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</si>
  <si>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</si>
  <si>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</si>
  <si>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</si>
  <si>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</si>
  <si>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</si>
  <si>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</si>
  <si>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</si>
  <si>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</si>
  <si>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</si>
  <si>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</si>
  <si>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</si>
  <si>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</si>
  <si>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</si>
  <si>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</si>
  <si>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</si>
  <si>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</si>
  <si>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</si>
  <si>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</si>
  <si>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</si>
  <si>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</si>
  <si>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</si>
  <si>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</si>
  <si>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</si>
  <si>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</si>
  <si>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</si>
  <si>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</si>
  <si>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</si>
  <si>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</si>
  <si>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</si>
  <si>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</si>
  <si>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</si>
  <si>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</si>
  <si>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</si>
  <si>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</si>
  <si>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</si>
  <si>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</si>
  <si>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</si>
  <si>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</si>
  <si>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</si>
  <si>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</si>
  <si>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</si>
  <si>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</si>
  <si>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</si>
  <si>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</si>
  <si>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</si>
  <si>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</si>
  <si>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</si>
  <si>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</si>
  <si>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</si>
  <si>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</si>
  <si>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</si>
  <si>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</si>
  <si>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</si>
  <si>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</si>
  <si>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</si>
  <si>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</si>
  <si>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</si>
  <si>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</si>
  <si>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</si>
  <si>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</si>
  <si>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</si>
  <si>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</si>
  <si>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</si>
  <si>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</si>
  <si>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</si>
  <si>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</si>
  <si>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</si>
  <si>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</si>
  <si>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</si>
  <si>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</si>
  <si>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</si>
  <si>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</si>
  <si>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</si>
  <si>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</si>
  <si>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</si>
  <si>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</si>
  <si>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</si>
  <si>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</si>
  <si>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</si>
  <si>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</si>
  <si>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</si>
  <si>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</si>
  <si>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</si>
  <si>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</si>
  <si>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</si>
  <si>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</si>
  <si>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</si>
  <si>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</si>
  <si>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</si>
  <si>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</si>
  <si>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</si>
  <si>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</si>
  <si>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</si>
  <si>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</si>
  <si>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</si>
  <si>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</si>
  <si>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</si>
  <si>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</si>
  <si>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</si>
  <si>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</si>
  <si>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</si>
  <si>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</si>
  <si>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</si>
  <si>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</si>
  <si>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</si>
  <si>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</si>
  <si>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</si>
  <si>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</si>
  <si>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</si>
  <si>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</si>
  <si>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</si>
  <si>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DO_mg.L</t>
  </si>
  <si>
    <t>Cond_uS.cm</t>
  </si>
  <si>
    <t>pH</t>
  </si>
  <si>
    <t>Sechi_cm</t>
  </si>
  <si>
    <t>Vel_m.s</t>
  </si>
  <si>
    <t>Depth_mar_cm</t>
  </si>
  <si>
    <t>Width_m</t>
  </si>
  <si>
    <t>Root_masses</t>
  </si>
  <si>
    <t>n/a</t>
  </si>
  <si>
    <t>I</t>
  </si>
  <si>
    <t>IV</t>
  </si>
  <si>
    <t>III</t>
  </si>
  <si>
    <t>II</t>
  </si>
  <si>
    <t>n.Ammonia_NH3_ug.L</t>
  </si>
  <si>
    <t>n.Nitrite_NO2__ug.L</t>
  </si>
  <si>
    <t>n.Nitrate_NO3__ug.L</t>
  </si>
  <si>
    <t>n.Orthophosphate_SRP__ug.L</t>
  </si>
  <si>
    <t>n.Phosphorus_TP__ug.L</t>
  </si>
  <si>
    <t>n.Chlorophyll_a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</si>
</sst>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11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color rgb="FFFF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10"/>
      <color rgb="FFFFC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0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169" fontId="7" fillId="0" borderId="0" xfId="0" applyNumberFormat="1" applyFont="1"/>
    <xf numFmtId="168" fontId="7" fillId="0" borderId="0" xfId="0" applyNumberFormat="1" applyFont="1"/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right" vertical="center"/>
    </xf>
    <xf numFmtId="169" fontId="8" fillId="0" borderId="0" xfId="0" applyNumberFormat="1" applyFont="1"/>
    <xf numFmtId="168" fontId="8" fillId="0" borderId="0" xfId="0" applyNumberFormat="1" applyFont="1"/>
    <xf numFmtId="2" fontId="8" fillId="0" borderId="0" xfId="0" applyNumberFormat="1" applyFont="1"/>
    <xf numFmtId="168" fontId="9" fillId="0" borderId="0" xfId="0" applyNumberFormat="1" applyFont="1"/>
    <xf numFmtId="169" fontId="2" fillId="0" borderId="0" xfId="0" applyNumberFormat="1" applyFont="1" applyAlignment="1">
      <alignment horizontal="center"/>
    </xf>
    <xf numFmtId="169" fontId="10" fillId="0" borderId="0" xfId="0" applyNumberFormat="1" applyFont="1"/>
    <xf numFmtId="2" fontId="1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22E4-ABC1-45D6-B4F4-438DED631CBB}">
  <dimension ref="A1:AZ1000"/>
  <sheetViews>
    <sheetView zoomScale="130" zoomScaleNormal="130" workbookViewId="0">
      <selection activeCell="A14" sqref="A14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399</v>
      </c>
      <c r="W2" s="16" t="s">
        <v>73</v>
      </c>
      <c r="X2" s="16" t="s">
        <v>400</v>
      </c>
      <c r="Y2" s="16" t="s">
        <v>74</v>
      </c>
      <c r="Z2" s="16" t="s">
        <v>401</v>
      </c>
      <c r="AA2" s="16" t="s">
        <v>402</v>
      </c>
      <c r="AB2" s="16" t="s">
        <v>75</v>
      </c>
      <c r="AC2" s="16" t="s">
        <v>403</v>
      </c>
      <c r="AD2" s="16" t="s">
        <v>76</v>
      </c>
      <c r="AE2" s="16" t="s">
        <v>77</v>
      </c>
      <c r="AF2" s="16" t="s">
        <v>78</v>
      </c>
      <c r="AG2" s="16" t="s">
        <v>404</v>
      </c>
      <c r="AH2" s="16" t="s">
        <v>405</v>
      </c>
      <c r="AI2" s="16" t="s">
        <v>79</v>
      </c>
      <c r="AJ2" s="16" t="s">
        <v>80</v>
      </c>
      <c r="AK2" s="16" t="s">
        <v>81</v>
      </c>
      <c r="AL2" s="16" t="s">
        <v>82</v>
      </c>
      <c r="AM2" s="16" t="s">
        <v>83</v>
      </c>
      <c r="AN2" s="16" t="s">
        <v>84</v>
      </c>
      <c r="AO2" s="16" t="s">
        <v>85</v>
      </c>
      <c r="AP2" s="16" t="s">
        <v>86</v>
      </c>
      <c r="AQ2" s="16" t="s">
        <v>87</v>
      </c>
      <c r="AR2" s="16" t="s">
        <v>88</v>
      </c>
      <c r="AS2" s="16" t="s">
        <v>89</v>
      </c>
      <c r="AT2" s="16" t="s">
        <v>90</v>
      </c>
      <c r="AU2" s="16" t="s">
        <v>91</v>
      </c>
      <c r="AV2" s="16" t="s">
        <v>92</v>
      </c>
      <c r="AW2" s="16" t="s">
        <v>406</v>
      </c>
      <c r="AX2" s="16" t="s">
        <v>93</v>
      </c>
      <c r="AY2" s="16" t="s">
        <v>94</v>
      </c>
      <c r="AZ2" s="16"/>
    </row>
    <row r="3" spans="1:52" ht="14.2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 t="s">
        <v>407</v>
      </c>
      <c r="N3" s="17">
        <v>1</v>
      </c>
      <c r="O3" s="15">
        <v>64.319999999999993</v>
      </c>
      <c r="P3" s="18">
        <v>0</v>
      </c>
      <c r="Q3" s="18">
        <v>0</v>
      </c>
      <c r="R3" s="18">
        <v>0</v>
      </c>
      <c r="S3" s="18">
        <v>0</v>
      </c>
      <c r="T3" s="17" t="s">
        <v>407</v>
      </c>
      <c r="U3" s="15">
        <v>24.9</v>
      </c>
      <c r="V3" s="15">
        <v>8.5</v>
      </c>
      <c r="W3" s="17" t="s">
        <v>407</v>
      </c>
      <c r="X3" s="19">
        <v>134</v>
      </c>
      <c r="Y3" s="10">
        <v>6.85</v>
      </c>
      <c r="Z3" s="10">
        <v>6.33</v>
      </c>
      <c r="AA3" s="17" t="s">
        <v>407</v>
      </c>
      <c r="AB3" s="20">
        <v>107.07</v>
      </c>
      <c r="AC3" s="21">
        <v>0</v>
      </c>
      <c r="AD3" s="15">
        <f>AVERAGE(1,2)</f>
        <v>1.5</v>
      </c>
      <c r="AE3" s="15">
        <v>16</v>
      </c>
      <c r="AF3" s="15">
        <f>AVERAGE(15,16,10)</f>
        <v>13.666666666666666</v>
      </c>
      <c r="AG3" s="15">
        <f>AVERAGE(16,16,16,16)</f>
        <v>16</v>
      </c>
      <c r="AH3" s="20">
        <v>3.64</v>
      </c>
      <c r="AI3" s="15">
        <f t="shared" ref="AI3:AI8" si="0">AVERAGE(100,100,100,100)</f>
        <v>100</v>
      </c>
      <c r="AJ3" s="15">
        <f t="shared" ref="AJ3:AQ18" si="1">AVERAGE(0,0,0,0)</f>
        <v>0</v>
      </c>
      <c r="AK3" s="15">
        <f t="shared" si="1"/>
        <v>0</v>
      </c>
      <c r="AL3" s="15">
        <f t="shared" si="1"/>
        <v>0</v>
      </c>
      <c r="AM3" s="15">
        <f t="shared" si="1"/>
        <v>0</v>
      </c>
      <c r="AN3" s="15">
        <f t="shared" si="1"/>
        <v>0</v>
      </c>
      <c r="AO3" s="15">
        <f t="shared" si="1"/>
        <v>0</v>
      </c>
      <c r="AP3" s="15">
        <f>AVERAGE(5,5,5,5)</f>
        <v>5</v>
      </c>
      <c r="AQ3" s="15">
        <f>AVERAGE(0,0,0,0)</f>
        <v>0</v>
      </c>
      <c r="AR3" s="15">
        <f>AVERAGE(5,5,5,5)</f>
        <v>5</v>
      </c>
      <c r="AS3" s="15">
        <f>AVERAGE(90,90,90,90)</f>
        <v>90</v>
      </c>
      <c r="AT3" s="15">
        <f>AVERAGE(10,10,10,10)</f>
        <v>10</v>
      </c>
      <c r="AU3" s="15">
        <f t="shared" ref="AU3:AU8" si="2">AVERAGE(0,0,0,0)</f>
        <v>0</v>
      </c>
      <c r="AV3" s="15">
        <f>AVERAGE(5,5,5,5)</f>
        <v>5</v>
      </c>
      <c r="AW3" s="15">
        <f>AVERAGE(0,0,0,0)</f>
        <v>0</v>
      </c>
      <c r="AX3" s="15">
        <f>AVERAGE(20,20,20,20)</f>
        <v>20</v>
      </c>
      <c r="AY3" s="15">
        <f>AVERAGE(10,10,10,10)</f>
        <v>10</v>
      </c>
      <c r="AZ3" s="5"/>
    </row>
    <row r="4" spans="1:52" ht="14.2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 t="s">
        <v>407</v>
      </c>
      <c r="N4" s="17">
        <v>2</v>
      </c>
      <c r="O4" s="15">
        <v>39.32</v>
      </c>
      <c r="P4" s="18">
        <v>0</v>
      </c>
      <c r="Q4" s="15">
        <v>8.2899999999999991</v>
      </c>
      <c r="R4" s="18">
        <v>0</v>
      </c>
      <c r="S4" s="18">
        <v>0</v>
      </c>
      <c r="T4" s="17" t="s">
        <v>407</v>
      </c>
      <c r="U4" s="15">
        <v>25.1</v>
      </c>
      <c r="V4" s="15">
        <v>8.1</v>
      </c>
      <c r="W4" s="17" t="s">
        <v>407</v>
      </c>
      <c r="X4" s="19">
        <v>164.4</v>
      </c>
      <c r="Y4" s="10">
        <v>10.7</v>
      </c>
      <c r="Z4" s="10">
        <v>7.46</v>
      </c>
      <c r="AA4" s="17" t="s">
        <v>407</v>
      </c>
      <c r="AB4" s="20">
        <v>107.07</v>
      </c>
      <c r="AC4" s="21">
        <v>0</v>
      </c>
      <c r="AD4" s="15">
        <f>AVERAGE(1,1)</f>
        <v>1</v>
      </c>
      <c r="AE4" s="15">
        <v>16</v>
      </c>
      <c r="AF4" s="15">
        <f>AVERAGE(15,16,10)</f>
        <v>13.666666666666666</v>
      </c>
      <c r="AG4" s="15">
        <f>AVERAGE(16,16,16,16)</f>
        <v>16</v>
      </c>
      <c r="AH4" s="20">
        <v>3.64</v>
      </c>
      <c r="AI4" s="15">
        <f t="shared" si="0"/>
        <v>100</v>
      </c>
      <c r="AJ4" s="15">
        <f t="shared" si="1"/>
        <v>0</v>
      </c>
      <c r="AK4" s="15">
        <f t="shared" si="1"/>
        <v>0</v>
      </c>
      <c r="AL4" s="15">
        <f t="shared" si="1"/>
        <v>0</v>
      </c>
      <c r="AM4" s="15">
        <f t="shared" si="1"/>
        <v>0</v>
      </c>
      <c r="AN4" s="15">
        <f t="shared" si="1"/>
        <v>0</v>
      </c>
      <c r="AO4" s="15">
        <f t="shared" si="1"/>
        <v>0</v>
      </c>
      <c r="AP4" s="15">
        <f>AVERAGE(5,5,5,5)</f>
        <v>5</v>
      </c>
      <c r="AQ4" s="15">
        <f>AVERAGE(0,0,0,0)</f>
        <v>0</v>
      </c>
      <c r="AR4" s="15">
        <f>AVERAGE(5,5,5,5)</f>
        <v>5</v>
      </c>
      <c r="AS4" s="15">
        <f>AVERAGE(90,90,90,90)</f>
        <v>90</v>
      </c>
      <c r="AT4" s="15">
        <f>AVERAGE(10,10,10,10)</f>
        <v>10</v>
      </c>
      <c r="AU4" s="15">
        <f t="shared" si="2"/>
        <v>0</v>
      </c>
      <c r="AV4" s="15">
        <f>AVERAGE(5,5,5,5)</f>
        <v>5</v>
      </c>
      <c r="AW4" s="15">
        <f>AVERAGE(0,0,0,0)</f>
        <v>0</v>
      </c>
      <c r="AX4" s="15">
        <f>AVERAGE(20,20,20,20)</f>
        <v>20</v>
      </c>
      <c r="AY4" s="15">
        <f>AVERAGE(10,10,10,10)</f>
        <v>10</v>
      </c>
      <c r="AZ4" s="5"/>
    </row>
    <row r="5" spans="1:52" ht="14.2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 t="s">
        <v>407</v>
      </c>
      <c r="N5" s="17">
        <v>3</v>
      </c>
      <c r="O5" s="15">
        <v>60.68</v>
      </c>
      <c r="P5" s="18">
        <v>0</v>
      </c>
      <c r="Q5" s="15">
        <v>9.7100000000000009</v>
      </c>
      <c r="R5" s="18">
        <v>0</v>
      </c>
      <c r="S5" s="18">
        <v>0</v>
      </c>
      <c r="T5" s="17" t="s">
        <v>407</v>
      </c>
      <c r="U5" s="15">
        <v>27.3</v>
      </c>
      <c r="V5" s="15">
        <v>7.8</v>
      </c>
      <c r="W5" s="17" t="s">
        <v>407</v>
      </c>
      <c r="X5" s="19">
        <v>140.9</v>
      </c>
      <c r="Y5" s="10">
        <v>4.62</v>
      </c>
      <c r="Z5" s="10">
        <v>7.15</v>
      </c>
      <c r="AA5" s="17" t="s">
        <v>407</v>
      </c>
      <c r="AB5" s="20">
        <v>107.07</v>
      </c>
      <c r="AC5" s="21">
        <v>0</v>
      </c>
      <c r="AD5" s="15">
        <f>AVERAGE(1,1)</f>
        <v>1</v>
      </c>
      <c r="AE5" s="15">
        <v>16</v>
      </c>
      <c r="AF5" s="15">
        <f>AVERAGE(15,16,10)</f>
        <v>13.666666666666666</v>
      </c>
      <c r="AG5" s="15">
        <f>AVERAGE(16,16,16,16)</f>
        <v>16</v>
      </c>
      <c r="AH5" s="20">
        <v>3.64</v>
      </c>
      <c r="AI5" s="15">
        <f t="shared" si="0"/>
        <v>100</v>
      </c>
      <c r="AJ5" s="15">
        <f t="shared" si="1"/>
        <v>0</v>
      </c>
      <c r="AK5" s="15">
        <f t="shared" si="1"/>
        <v>0</v>
      </c>
      <c r="AL5" s="15">
        <f t="shared" si="1"/>
        <v>0</v>
      </c>
      <c r="AM5" s="15">
        <f t="shared" si="1"/>
        <v>0</v>
      </c>
      <c r="AN5" s="15">
        <f t="shared" si="1"/>
        <v>0</v>
      </c>
      <c r="AO5" s="15">
        <f t="shared" si="1"/>
        <v>0</v>
      </c>
      <c r="AP5" s="15">
        <f>AVERAGE(5,5,5,5)</f>
        <v>5</v>
      </c>
      <c r="AQ5" s="15">
        <f>AVERAGE(0,0,0,0)</f>
        <v>0</v>
      </c>
      <c r="AR5" s="15">
        <f>AVERAGE(5,5,5,5)</f>
        <v>5</v>
      </c>
      <c r="AS5" s="15">
        <f>AVERAGE(90,90,90,90)</f>
        <v>90</v>
      </c>
      <c r="AT5" s="15">
        <f>AVERAGE(10,10,10,10)</f>
        <v>10</v>
      </c>
      <c r="AU5" s="15">
        <f t="shared" si="2"/>
        <v>0</v>
      </c>
      <c r="AV5" s="15">
        <f>AVERAGE(5,5,5,5)</f>
        <v>5</v>
      </c>
      <c r="AW5" s="15">
        <f>AVERAGE(0,0,0,0)</f>
        <v>0</v>
      </c>
      <c r="AX5" s="15">
        <f>AVERAGE(20,20,20,20)</f>
        <v>20</v>
      </c>
      <c r="AY5" s="15">
        <f>AVERAGE(10,10,10,10)</f>
        <v>10</v>
      </c>
      <c r="AZ5" s="5"/>
    </row>
    <row r="6" spans="1:52" ht="14.2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 t="s">
        <v>407</v>
      </c>
      <c r="N6" s="17">
        <v>1</v>
      </c>
      <c r="O6" s="15">
        <v>52.05</v>
      </c>
      <c r="P6" s="18">
        <v>0</v>
      </c>
      <c r="Q6" s="15">
        <v>12.57</v>
      </c>
      <c r="R6" s="18">
        <v>0</v>
      </c>
      <c r="S6" s="15">
        <v>3</v>
      </c>
      <c r="T6" s="17" t="s">
        <v>407</v>
      </c>
      <c r="U6" s="15">
        <v>25.3</v>
      </c>
      <c r="V6" s="15">
        <v>7.8</v>
      </c>
      <c r="W6" s="17" t="s">
        <v>407</v>
      </c>
      <c r="X6" s="19">
        <v>154.1</v>
      </c>
      <c r="Y6" s="10">
        <v>2.14</v>
      </c>
      <c r="Z6" s="10">
        <v>6.83</v>
      </c>
      <c r="AA6" s="17" t="s">
        <v>407</v>
      </c>
      <c r="AB6" s="20">
        <v>112.84</v>
      </c>
      <c r="AC6" s="21">
        <f>1/(AVERAGE(36.96,23.3,24.92))</f>
        <v>3.521953510213665E-2</v>
      </c>
      <c r="AD6" s="15">
        <f>AVERAGE(2,3)</f>
        <v>2.5</v>
      </c>
      <c r="AE6" s="15">
        <v>31</v>
      </c>
      <c r="AF6" s="15">
        <f>AVERAGE(15,31,15)</f>
        <v>20.333333333333332</v>
      </c>
      <c r="AG6" s="15">
        <f>AVERAGE(30,30,30,30)</f>
        <v>30</v>
      </c>
      <c r="AH6" s="20">
        <v>4.4000000000000004</v>
      </c>
      <c r="AI6" s="15">
        <f t="shared" si="0"/>
        <v>100</v>
      </c>
      <c r="AJ6" s="15">
        <f t="shared" si="1"/>
        <v>0</v>
      </c>
      <c r="AK6" s="15">
        <f t="shared" si="1"/>
        <v>0</v>
      </c>
      <c r="AL6" s="15">
        <f t="shared" si="1"/>
        <v>0</v>
      </c>
      <c r="AM6" s="15">
        <f t="shared" si="1"/>
        <v>0</v>
      </c>
      <c r="AN6" s="15">
        <f t="shared" si="1"/>
        <v>0</v>
      </c>
      <c r="AO6" s="15">
        <f t="shared" si="1"/>
        <v>0</v>
      </c>
      <c r="AP6" s="15">
        <f>AVERAGE(30,30,30,30)</f>
        <v>30</v>
      </c>
      <c r="AQ6" s="15">
        <f>AVERAGE(5,5,5,5)</f>
        <v>5</v>
      </c>
      <c r="AR6" s="15">
        <f>AVERAGE(5,5,5,5)</f>
        <v>5</v>
      </c>
      <c r="AS6" s="15">
        <f>AVERAGE(80,80,80,80)</f>
        <v>80</v>
      </c>
      <c r="AT6" s="15">
        <f>AVERAGE(5,5,5,5)</f>
        <v>5</v>
      </c>
      <c r="AU6" s="15">
        <f t="shared" si="2"/>
        <v>0</v>
      </c>
      <c r="AV6" s="15">
        <f>AVERAGE(0,0,0,0)</f>
        <v>0</v>
      </c>
      <c r="AW6" s="15">
        <f>AVERAGE(5,5,5,5)</f>
        <v>5</v>
      </c>
      <c r="AX6" s="15">
        <f>AVERAGE(0,0,0,0)</f>
        <v>0</v>
      </c>
      <c r="AY6" s="15">
        <f>AVERAGE(5,5,5,5)</f>
        <v>5</v>
      </c>
      <c r="AZ6" s="5"/>
    </row>
    <row r="7" spans="1:52" ht="14.2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 t="s">
        <v>407</v>
      </c>
      <c r="N7" s="17">
        <v>2</v>
      </c>
      <c r="O7" s="15">
        <v>77.05</v>
      </c>
      <c r="P7" s="18">
        <v>0</v>
      </c>
      <c r="Q7" s="15">
        <v>6.86</v>
      </c>
      <c r="R7" s="18">
        <v>0</v>
      </c>
      <c r="S7" s="15">
        <v>10.33</v>
      </c>
      <c r="T7" s="17" t="s">
        <v>407</v>
      </c>
      <c r="U7" s="15">
        <v>27.5</v>
      </c>
      <c r="V7" s="15">
        <v>7.2</v>
      </c>
      <c r="W7" s="17" t="s">
        <v>407</v>
      </c>
      <c r="X7" s="19">
        <v>156.80000000000001</v>
      </c>
      <c r="Y7" s="10">
        <v>2.12</v>
      </c>
      <c r="Z7" s="10">
        <v>7.73</v>
      </c>
      <c r="AA7" s="17" t="s">
        <v>407</v>
      </c>
      <c r="AB7" s="20">
        <v>112.84</v>
      </c>
      <c r="AC7" s="21">
        <f>1/(AVERAGE(36.96,23.3,24.92))</f>
        <v>3.521953510213665E-2</v>
      </c>
      <c r="AD7" s="15">
        <f>AVERAGE(2,3)</f>
        <v>2.5</v>
      </c>
      <c r="AE7" s="15">
        <v>31</v>
      </c>
      <c r="AF7" s="15">
        <f>AVERAGE(15,31,15)</f>
        <v>20.333333333333332</v>
      </c>
      <c r="AG7" s="15">
        <f>AVERAGE(30,30,30,30)</f>
        <v>30</v>
      </c>
      <c r="AH7" s="20">
        <v>4.4000000000000004</v>
      </c>
      <c r="AI7" s="15">
        <f t="shared" si="0"/>
        <v>100</v>
      </c>
      <c r="AJ7" s="15">
        <f t="shared" si="1"/>
        <v>0</v>
      </c>
      <c r="AK7" s="15">
        <f t="shared" si="1"/>
        <v>0</v>
      </c>
      <c r="AL7" s="15">
        <f t="shared" si="1"/>
        <v>0</v>
      </c>
      <c r="AM7" s="15">
        <f t="shared" si="1"/>
        <v>0</v>
      </c>
      <c r="AN7" s="15">
        <f t="shared" si="1"/>
        <v>0</v>
      </c>
      <c r="AO7" s="15">
        <f t="shared" si="1"/>
        <v>0</v>
      </c>
      <c r="AP7" s="15">
        <f>AVERAGE(30,30,30,30)</f>
        <v>30</v>
      </c>
      <c r="AQ7" s="15">
        <f>AVERAGE(5,5,5,5)</f>
        <v>5</v>
      </c>
      <c r="AR7" s="15">
        <f>AVERAGE(15,15,15,15)</f>
        <v>15</v>
      </c>
      <c r="AS7" s="15">
        <f>AVERAGE(85,85,85,85)</f>
        <v>85</v>
      </c>
      <c r="AT7" s="15">
        <f>AVERAGE(1,1,1,1)</f>
        <v>1</v>
      </c>
      <c r="AU7" s="15">
        <f t="shared" si="2"/>
        <v>0</v>
      </c>
      <c r="AV7" s="15">
        <f>AVERAGE(1,1,1,1)</f>
        <v>1</v>
      </c>
      <c r="AW7" s="15">
        <f>AVERAGE(15,15,15,15)</f>
        <v>15</v>
      </c>
      <c r="AX7" s="15">
        <f>AVERAGE(1,1,1,1)</f>
        <v>1</v>
      </c>
      <c r="AY7" s="15">
        <f>AVERAGE(5,5,5,5)</f>
        <v>5</v>
      </c>
      <c r="AZ7" s="5"/>
    </row>
    <row r="8" spans="1:52" ht="14.2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 t="s">
        <v>407</v>
      </c>
      <c r="N8" s="17">
        <v>3</v>
      </c>
      <c r="O8" s="15">
        <v>47.5</v>
      </c>
      <c r="P8" s="18">
        <v>0</v>
      </c>
      <c r="Q8" s="15">
        <v>6.86</v>
      </c>
      <c r="R8" s="18">
        <v>0</v>
      </c>
      <c r="S8" s="15">
        <v>0.33</v>
      </c>
      <c r="T8" s="17" t="s">
        <v>407</v>
      </c>
      <c r="U8" s="15">
        <v>26.8</v>
      </c>
      <c r="V8" s="15">
        <v>7.6</v>
      </c>
      <c r="W8" s="17" t="s">
        <v>407</v>
      </c>
      <c r="X8" s="19">
        <v>134.1</v>
      </c>
      <c r="Y8" s="10">
        <v>14.1</v>
      </c>
      <c r="Z8" s="10">
        <v>5.87</v>
      </c>
      <c r="AA8" s="17" t="s">
        <v>407</v>
      </c>
      <c r="AB8" s="20">
        <v>112.84</v>
      </c>
      <c r="AC8" s="21">
        <f>1/(AVERAGE(36.96,23.3,24.92))</f>
        <v>3.521953510213665E-2</v>
      </c>
      <c r="AD8" s="15">
        <f>AVERAGE(2,3)</f>
        <v>2.5</v>
      </c>
      <c r="AE8" s="15">
        <v>29</v>
      </c>
      <c r="AF8" s="15">
        <f>AVERAGE(36,29,20)</f>
        <v>28.333333333333332</v>
      </c>
      <c r="AG8" s="15">
        <f>AVERAGE(30,30,30,30)</f>
        <v>30</v>
      </c>
      <c r="AH8" s="20">
        <v>2.2999999999999998</v>
      </c>
      <c r="AI8" s="15">
        <f t="shared" si="0"/>
        <v>100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>AVERAGE(0,0,0,0)</f>
        <v>0</v>
      </c>
      <c r="AQ8" s="15">
        <f>AVERAGE(5,5,5,5)</f>
        <v>5</v>
      </c>
      <c r="AR8" s="15">
        <f>AVERAGE(5,5,5,5)</f>
        <v>5</v>
      </c>
      <c r="AS8" s="15">
        <f>AVERAGE(80,80,80,80)</f>
        <v>80</v>
      </c>
      <c r="AT8" s="15">
        <f>AVERAGE(5,5,5,5)</f>
        <v>5</v>
      </c>
      <c r="AU8" s="15">
        <f t="shared" si="2"/>
        <v>0</v>
      </c>
      <c r="AV8" s="15">
        <f>AVERAGE(0,0,0,0)</f>
        <v>0</v>
      </c>
      <c r="AW8" s="15">
        <f>AVERAGE(5,5,5,5)</f>
        <v>5</v>
      </c>
      <c r="AX8" s="15">
        <f>AVERAGE(0,0,0,0)</f>
        <v>0</v>
      </c>
      <c r="AY8" s="15">
        <f>AVERAGE(5,5,5,5)</f>
        <v>5</v>
      </c>
      <c r="AZ8" s="5"/>
    </row>
    <row r="9" spans="1:52" ht="14.2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 t="s">
        <v>407</v>
      </c>
      <c r="N9" s="17">
        <v>1</v>
      </c>
      <c r="O9" s="15">
        <v>33.409999999999997</v>
      </c>
      <c r="P9" s="18">
        <v>0</v>
      </c>
      <c r="Q9" s="18">
        <v>0</v>
      </c>
      <c r="R9" s="18">
        <v>0</v>
      </c>
      <c r="S9" s="18">
        <v>0</v>
      </c>
      <c r="T9" s="17" t="s">
        <v>407</v>
      </c>
      <c r="U9" s="15">
        <v>24.9</v>
      </c>
      <c r="V9" s="15">
        <v>7.7</v>
      </c>
      <c r="W9" s="17" t="s">
        <v>407</v>
      </c>
      <c r="X9" s="19">
        <v>98.28</v>
      </c>
      <c r="Y9" s="10">
        <v>1.51</v>
      </c>
      <c r="Z9" s="10">
        <v>5.76</v>
      </c>
      <c r="AA9" s="17" t="s">
        <v>407</v>
      </c>
      <c r="AB9" s="20">
        <v>89.046999999999997</v>
      </c>
      <c r="AC9" s="21">
        <f>1/(AVERAGE(39.91,50.26))</f>
        <v>2.218032605079295E-2</v>
      </c>
      <c r="AD9" s="15">
        <f>AVERAGE(2,3)</f>
        <v>2.5</v>
      </c>
      <c r="AE9" s="15">
        <v>22</v>
      </c>
      <c r="AF9" s="15">
        <f>AVERAGE(11,22,15)</f>
        <v>16</v>
      </c>
      <c r="AG9" s="15">
        <f>AVERAGE(42,42,42,42)</f>
        <v>42</v>
      </c>
      <c r="AH9" s="20">
        <v>2.1</v>
      </c>
      <c r="AI9" s="15">
        <f>AVERAGE(90,90,90,90)</f>
        <v>90</v>
      </c>
      <c r="AJ9" s="15">
        <f>AVERAGE(10,10,10,10)</f>
        <v>10</v>
      </c>
      <c r="AK9" s="15">
        <f t="shared" si="1"/>
        <v>0</v>
      </c>
      <c r="AL9" s="15">
        <f t="shared" si="1"/>
        <v>0</v>
      </c>
      <c r="AM9" s="15">
        <f t="shared" si="1"/>
        <v>0</v>
      </c>
      <c r="AN9" s="15">
        <f t="shared" si="1"/>
        <v>0</v>
      </c>
      <c r="AO9" s="15">
        <f t="shared" si="1"/>
        <v>0</v>
      </c>
      <c r="AP9" s="15">
        <f>AVERAGE(0,0,0,0)</f>
        <v>0</v>
      </c>
      <c r="AQ9" s="15">
        <f>AVERAGE(5,5,5,5)</f>
        <v>5</v>
      </c>
      <c r="AR9" s="15">
        <f>AVERAGE(0,0,0,0)</f>
        <v>0</v>
      </c>
      <c r="AS9" s="15">
        <f>AVERAGE(90,90,90,90)</f>
        <v>90</v>
      </c>
      <c r="AT9" s="15">
        <f>AVERAGE(30,30,30,30)</f>
        <v>30</v>
      </c>
      <c r="AU9" s="15">
        <f>AVERAGE(1,1,1,1)</f>
        <v>1</v>
      </c>
      <c r="AV9" s="15">
        <f>AVERAGE(1,1,1,1)</f>
        <v>1</v>
      </c>
      <c r="AW9" s="15">
        <f>AVERAGE(15,15,15,15)</f>
        <v>15</v>
      </c>
      <c r="AX9" s="15">
        <f>AVERAGE(5,5,5,5)</f>
        <v>5</v>
      </c>
      <c r="AY9" s="15">
        <f>AVERAGE(10,10,10,10)</f>
        <v>10</v>
      </c>
      <c r="AZ9" s="5"/>
    </row>
    <row r="10" spans="1:52" ht="14.2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 t="s">
        <v>407</v>
      </c>
      <c r="N10" s="17">
        <v>2</v>
      </c>
      <c r="O10" s="15">
        <v>115.68</v>
      </c>
      <c r="P10" s="18">
        <v>0</v>
      </c>
      <c r="Q10" s="15">
        <v>12.57</v>
      </c>
      <c r="R10" s="15">
        <v>3</v>
      </c>
      <c r="S10" s="15">
        <v>150.33000000000001</v>
      </c>
      <c r="T10" s="17" t="s">
        <v>407</v>
      </c>
      <c r="U10" s="15">
        <v>25.3</v>
      </c>
      <c r="V10" s="15">
        <v>7.9</v>
      </c>
      <c r="W10" s="17" t="s">
        <v>407</v>
      </c>
      <c r="X10" s="19">
        <v>160.19999999999999</v>
      </c>
      <c r="Y10" s="10">
        <v>9.25</v>
      </c>
      <c r="Z10" s="10">
        <v>6.05</v>
      </c>
      <c r="AA10" s="17" t="s">
        <v>407</v>
      </c>
      <c r="AB10" s="20">
        <v>89.046999999999997</v>
      </c>
      <c r="AC10" s="21">
        <f>1/(AVERAGE(10.23,10.75,8.77,9.38,8.2,8.77,8.46))</f>
        <v>0.10842627013630732</v>
      </c>
      <c r="AD10" s="15">
        <f>AVERAGE(1,2)</f>
        <v>1.5</v>
      </c>
      <c r="AE10" s="15">
        <v>20</v>
      </c>
      <c r="AF10" s="15">
        <f>AVERAGE(25,20,16)</f>
        <v>20.333333333333332</v>
      </c>
      <c r="AG10" s="15">
        <f>AVERAGE(29,29,29,29)</f>
        <v>29</v>
      </c>
      <c r="AH10" s="20">
        <v>1.1399999999999999</v>
      </c>
      <c r="AI10" s="15">
        <f>AVERAGE(90,90,90,90)</f>
        <v>90</v>
      </c>
      <c r="AJ10" s="15">
        <f>AVERAGE(10,10,10,10)</f>
        <v>10</v>
      </c>
      <c r="AK10" s="15">
        <f t="shared" si="1"/>
        <v>0</v>
      </c>
      <c r="AL10" s="15">
        <f t="shared" si="1"/>
        <v>0</v>
      </c>
      <c r="AM10" s="15">
        <f t="shared" si="1"/>
        <v>0</v>
      </c>
      <c r="AN10" s="15">
        <f t="shared" si="1"/>
        <v>0</v>
      </c>
      <c r="AO10" s="15">
        <f t="shared" si="1"/>
        <v>0</v>
      </c>
      <c r="AP10" s="15">
        <f>AVERAGE(0,0,0,0)</f>
        <v>0</v>
      </c>
      <c r="AQ10" s="15">
        <f>AVERAGE(0,0,0,0)</f>
        <v>0</v>
      </c>
      <c r="AR10" s="15">
        <f>AVERAGE(0,0,0,0)</f>
        <v>0</v>
      </c>
      <c r="AS10" s="15">
        <f>AVERAGE(85,85,85,85)</f>
        <v>85</v>
      </c>
      <c r="AT10" s="15">
        <f>AVERAGE(5,5,5,5)</f>
        <v>5</v>
      </c>
      <c r="AU10" s="15">
        <f>AVERAGE(20,20,20,20)</f>
        <v>20</v>
      </c>
      <c r="AV10" s="15">
        <f>AVERAGE(1,1,1,1)</f>
        <v>1</v>
      </c>
      <c r="AW10" s="15">
        <f>AVERAGE(10,10,10,10)</f>
        <v>10</v>
      </c>
      <c r="AX10" s="15">
        <f>AVERAGE(10,10,10,10)</f>
        <v>10</v>
      </c>
      <c r="AY10" s="15">
        <f>AVERAGE(1,1,1,1)</f>
        <v>1</v>
      </c>
      <c r="AZ10" s="5"/>
    </row>
    <row r="11" spans="1:52" ht="14.2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 t="s">
        <v>407</v>
      </c>
      <c r="N11" s="17">
        <v>3</v>
      </c>
      <c r="O11" s="15">
        <v>67.05</v>
      </c>
      <c r="P11" s="18">
        <v>0</v>
      </c>
      <c r="Q11" s="15">
        <v>4</v>
      </c>
      <c r="R11" s="18">
        <v>0</v>
      </c>
      <c r="S11" s="18">
        <v>0</v>
      </c>
      <c r="T11" s="17" t="s">
        <v>407</v>
      </c>
      <c r="U11" s="15">
        <v>25.5</v>
      </c>
      <c r="V11" s="15">
        <v>8</v>
      </c>
      <c r="W11" s="17" t="s">
        <v>407</v>
      </c>
      <c r="X11" s="19">
        <v>128.5</v>
      </c>
      <c r="Y11" s="10">
        <v>2.52</v>
      </c>
      <c r="Z11" s="10">
        <v>4.55</v>
      </c>
      <c r="AA11" s="17" t="s">
        <v>407</v>
      </c>
      <c r="AB11" s="20">
        <v>89.046999999999997</v>
      </c>
      <c r="AC11" s="21">
        <f>1/(AVERAGE(10.59,13,13.52,13.42,10.82,7.62,11.28))</f>
        <v>8.7227414330218078E-2</v>
      </c>
      <c r="AD11" s="15">
        <f>AVERAGE(2,3)</f>
        <v>2.5</v>
      </c>
      <c r="AE11" s="15">
        <v>26</v>
      </c>
      <c r="AF11" s="15">
        <f>AVERAGE(21,26,21)</f>
        <v>22.666666666666668</v>
      </c>
      <c r="AG11" s="15">
        <f>AVERAGE(15,15,15,15)</f>
        <v>15</v>
      </c>
      <c r="AH11" s="20">
        <v>1.8</v>
      </c>
      <c r="AI11" s="15">
        <f>AVERAGE(90,90,90,90)</f>
        <v>90</v>
      </c>
      <c r="AJ11" s="15">
        <f>AVERAGE(10,10,10,10)</f>
        <v>10</v>
      </c>
      <c r="AK11" s="15">
        <f t="shared" si="1"/>
        <v>0</v>
      </c>
      <c r="AL11" s="15">
        <f t="shared" si="1"/>
        <v>0</v>
      </c>
      <c r="AM11" s="15">
        <f t="shared" si="1"/>
        <v>0</v>
      </c>
      <c r="AN11" s="15">
        <f t="shared" si="1"/>
        <v>0</v>
      </c>
      <c r="AO11" s="15">
        <f t="shared" si="1"/>
        <v>0</v>
      </c>
      <c r="AP11" s="15">
        <f>AVERAGE(0,0,0,0)</f>
        <v>0</v>
      </c>
      <c r="AQ11" s="15">
        <f>AVERAGE(1,1,1,1)</f>
        <v>1</v>
      </c>
      <c r="AR11" s="15">
        <f>AVERAGE(10,10,10,10)</f>
        <v>10</v>
      </c>
      <c r="AS11" s="15">
        <f>AVERAGE(80,80,80,80)</f>
        <v>80</v>
      </c>
      <c r="AT11" s="15">
        <f>AVERAGE(25,25,25,25)</f>
        <v>25</v>
      </c>
      <c r="AU11" s="15">
        <f>AVERAGE(5,5,5,5)</f>
        <v>5</v>
      </c>
      <c r="AV11" s="15">
        <f>AVERAGE(5,5,5,5)</f>
        <v>5</v>
      </c>
      <c r="AW11" s="15">
        <f>AVERAGE(5,5,5,5)</f>
        <v>5</v>
      </c>
      <c r="AX11" s="15">
        <f>AVERAGE(5,5,5,5)</f>
        <v>5</v>
      </c>
      <c r="AY11" s="15">
        <f>AVERAGE(0,0,0,0)</f>
        <v>0</v>
      </c>
      <c r="AZ11" s="5"/>
    </row>
    <row r="12" spans="1:52" ht="14.2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 t="s">
        <v>407</v>
      </c>
      <c r="N12" s="17">
        <v>1</v>
      </c>
      <c r="O12" s="15">
        <v>92.95</v>
      </c>
      <c r="P12" s="18">
        <v>0</v>
      </c>
      <c r="Q12" s="15">
        <v>14</v>
      </c>
      <c r="R12" s="18">
        <v>0</v>
      </c>
      <c r="S12" s="15">
        <v>27</v>
      </c>
      <c r="T12" s="17" t="s">
        <v>407</v>
      </c>
      <c r="U12" s="15">
        <v>28.5</v>
      </c>
      <c r="V12" s="15">
        <v>8.4</v>
      </c>
      <c r="W12" s="17" t="s">
        <v>407</v>
      </c>
      <c r="X12" s="19">
        <v>161.30000000000001</v>
      </c>
      <c r="Y12" s="10">
        <v>6.26</v>
      </c>
      <c r="Z12" s="10">
        <v>6</v>
      </c>
      <c r="AA12" s="17" t="s">
        <v>407</v>
      </c>
      <c r="AB12" s="20">
        <v>89.058999999999997</v>
      </c>
      <c r="AC12" s="21">
        <v>0</v>
      </c>
      <c r="AD12" s="15">
        <f>AVERAGE(2,2)</f>
        <v>2</v>
      </c>
      <c r="AE12" s="19">
        <v>56</v>
      </c>
      <c r="AF12" s="15">
        <f>AVERAGE(49,56,49)</f>
        <v>51.333333333333336</v>
      </c>
      <c r="AG12" s="15">
        <f>AVERAGE(49,49,49,49)</f>
        <v>49</v>
      </c>
      <c r="AH12" s="20">
        <v>14.6</v>
      </c>
      <c r="AI12" s="15">
        <f>AVERAGE(80,80,80,80)</f>
        <v>80</v>
      </c>
      <c r="AJ12" s="15">
        <f>AVERAGE(20,20,20,20)</f>
        <v>20</v>
      </c>
      <c r="AK12" s="15">
        <f t="shared" si="1"/>
        <v>0</v>
      </c>
      <c r="AL12" s="15">
        <f t="shared" si="1"/>
        <v>0</v>
      </c>
      <c r="AM12" s="15">
        <f t="shared" si="1"/>
        <v>0</v>
      </c>
      <c r="AN12" s="15">
        <f t="shared" si="1"/>
        <v>0</v>
      </c>
      <c r="AO12" s="15">
        <f t="shared" si="1"/>
        <v>0</v>
      </c>
      <c r="AP12" s="15">
        <f>AVERAGE(60,60,60,60)</f>
        <v>60</v>
      </c>
      <c r="AQ12" s="15">
        <f>AVERAGE(50,50,50,50)</f>
        <v>50</v>
      </c>
      <c r="AR12" s="15">
        <f>AVERAGE(0,0,0,0)</f>
        <v>0</v>
      </c>
      <c r="AS12" s="15">
        <f>AVERAGE(30,30,30,30)</f>
        <v>30</v>
      </c>
      <c r="AT12" s="15">
        <f>AVERAGE(30,30,30,30)</f>
        <v>30</v>
      </c>
      <c r="AU12" s="15">
        <f>AVERAGE(0,0,0,0)</f>
        <v>0</v>
      </c>
      <c r="AV12" s="15">
        <f>AVERAGE(15,15,15,15)</f>
        <v>15</v>
      </c>
      <c r="AW12" s="15">
        <f>AVERAGE(0,0,0,0)</f>
        <v>0</v>
      </c>
      <c r="AX12" s="15">
        <f>AVERAGE(10,10,10,10)</f>
        <v>10</v>
      </c>
      <c r="AY12" s="15">
        <f>AVERAGE(20,20,20,20)</f>
        <v>20</v>
      </c>
      <c r="AZ12" s="15"/>
    </row>
    <row r="13" spans="1:52" ht="14.2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 t="s">
        <v>407</v>
      </c>
      <c r="N13" s="17">
        <v>2</v>
      </c>
      <c r="O13" s="15">
        <v>68.86</v>
      </c>
      <c r="P13" s="18">
        <v>0</v>
      </c>
      <c r="Q13" s="15">
        <v>11.14</v>
      </c>
      <c r="R13" s="18">
        <v>0</v>
      </c>
      <c r="S13" s="18">
        <v>0</v>
      </c>
      <c r="T13" s="17" t="s">
        <v>407</v>
      </c>
      <c r="U13" s="15">
        <v>27.8</v>
      </c>
      <c r="V13" s="15">
        <v>7.7</v>
      </c>
      <c r="W13" s="17" t="s">
        <v>407</v>
      </c>
      <c r="X13" s="2">
        <v>161.80000000000001</v>
      </c>
      <c r="Y13" s="10">
        <v>6.8</v>
      </c>
      <c r="Z13" s="10">
        <v>5.93</v>
      </c>
      <c r="AA13" s="17" t="s">
        <v>407</v>
      </c>
      <c r="AB13" s="20">
        <v>89.058999999999997</v>
      </c>
      <c r="AC13" s="21">
        <v>0</v>
      </c>
      <c r="AD13" s="15">
        <f>AVERAGE(2,2)</f>
        <v>2</v>
      </c>
      <c r="AE13" s="15">
        <v>56</v>
      </c>
      <c r="AF13" s="15">
        <f>AVERAGE(49,56,49)</f>
        <v>51.333333333333336</v>
      </c>
      <c r="AG13" s="15">
        <f>AVERAGE(87,87,87,87)</f>
        <v>87</v>
      </c>
      <c r="AH13" s="20">
        <v>14.6</v>
      </c>
      <c r="AI13" s="15">
        <f>AVERAGE(80,80,80,80)</f>
        <v>80</v>
      </c>
      <c r="AJ13" s="15">
        <f>AVERAGE(20,20,20,20)</f>
        <v>20</v>
      </c>
      <c r="AK13" s="15">
        <f t="shared" si="1"/>
        <v>0</v>
      </c>
      <c r="AL13" s="15">
        <f t="shared" si="1"/>
        <v>0</v>
      </c>
      <c r="AM13" s="15">
        <f t="shared" si="1"/>
        <v>0</v>
      </c>
      <c r="AN13" s="19">
        <f t="shared" si="1"/>
        <v>0</v>
      </c>
      <c r="AO13" s="15">
        <f t="shared" si="1"/>
        <v>0</v>
      </c>
      <c r="AP13" s="15">
        <f>AVERAGE(25,25,25,25)</f>
        <v>25</v>
      </c>
      <c r="AQ13" s="15">
        <f>AVERAGE(20,20,20,20)</f>
        <v>20</v>
      </c>
      <c r="AR13" s="15">
        <f>AVERAGE(5,5,5,5)</f>
        <v>5</v>
      </c>
      <c r="AS13" s="15">
        <f>AVERAGE(30,30,30,30)</f>
        <v>30</v>
      </c>
      <c r="AT13" s="15">
        <f>AVERAGE(20,20,20,20)</f>
        <v>20</v>
      </c>
      <c r="AU13" s="15">
        <f>AVERAGE(0,0,0,0)</f>
        <v>0</v>
      </c>
      <c r="AV13" s="15">
        <f>AVERAGE(20,20,20,20)</f>
        <v>20</v>
      </c>
      <c r="AW13" s="15">
        <f>AVERAGE(0,0,0,0)</f>
        <v>0</v>
      </c>
      <c r="AX13" s="15">
        <f>AVERAGE(15,15,15,15)</f>
        <v>15</v>
      </c>
      <c r="AY13" s="15">
        <f>AVERAGE(20,20,20,20)</f>
        <v>20</v>
      </c>
      <c r="AZ13" s="5"/>
    </row>
    <row r="14" spans="1:52" ht="14.2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 t="s">
        <v>407</v>
      </c>
      <c r="N14" s="17">
        <v>3</v>
      </c>
      <c r="O14" s="15">
        <v>82.95</v>
      </c>
      <c r="P14" s="18">
        <v>0</v>
      </c>
      <c r="Q14" s="15">
        <v>31.14</v>
      </c>
      <c r="R14" s="18">
        <v>0</v>
      </c>
      <c r="S14" s="18">
        <v>0</v>
      </c>
      <c r="T14" s="17" t="s">
        <v>407</v>
      </c>
      <c r="U14" s="19">
        <v>27</v>
      </c>
      <c r="V14" s="15">
        <v>6.5</v>
      </c>
      <c r="W14" s="17" t="s">
        <v>407</v>
      </c>
      <c r="X14" s="2">
        <v>158.80000000000001</v>
      </c>
      <c r="Y14" s="10">
        <v>6.13</v>
      </c>
      <c r="Z14" s="10">
        <v>5.87</v>
      </c>
      <c r="AA14" s="17" t="s">
        <v>407</v>
      </c>
      <c r="AB14" s="20">
        <v>89.058999999999997</v>
      </c>
      <c r="AC14" s="21">
        <f>1/(AVERAGE(9,9,10,8,9,8,8))</f>
        <v>0.11475409836065575</v>
      </c>
      <c r="AD14" s="15">
        <f>AVERAGE(2,2)</f>
        <v>2</v>
      </c>
      <c r="AE14" s="15">
        <v>38</v>
      </c>
      <c r="AF14" s="15">
        <f>AVERAGE(26,38,26)</f>
        <v>30</v>
      </c>
      <c r="AG14" s="15">
        <f>AVERAGE(24,24,20,20)</f>
        <v>22</v>
      </c>
      <c r="AH14" s="20">
        <v>2.0499999999999998</v>
      </c>
      <c r="AI14" s="15">
        <f>AVERAGE(20,20,20,20)</f>
        <v>20</v>
      </c>
      <c r="AJ14" s="15">
        <f>AVERAGE(80,80,80,80)</f>
        <v>80</v>
      </c>
      <c r="AK14" s="15">
        <f t="shared" si="1"/>
        <v>0</v>
      </c>
      <c r="AL14" s="15">
        <f t="shared" si="1"/>
        <v>0</v>
      </c>
      <c r="AM14" s="15">
        <f t="shared" si="1"/>
        <v>0</v>
      </c>
      <c r="AN14" s="15">
        <f t="shared" si="1"/>
        <v>0</v>
      </c>
      <c r="AO14" s="15">
        <f t="shared" si="1"/>
        <v>0</v>
      </c>
      <c r="AP14" s="15">
        <f>AVERAGE(15,15,30,30)</f>
        <v>22.5</v>
      </c>
      <c r="AQ14" s="15">
        <f>AVERAGE(15,15,80,80)</f>
        <v>47.5</v>
      </c>
      <c r="AR14" s="15">
        <f>AVERAGE(5,5,5,5)</f>
        <v>5</v>
      </c>
      <c r="AS14" s="15">
        <f>AVERAGE(30,30,30,30)</f>
        <v>30</v>
      </c>
      <c r="AT14" s="15">
        <f>AVERAGE(30,30,30,30)</f>
        <v>30</v>
      </c>
      <c r="AU14" s="15">
        <f>AVERAGE(50,50,50,50)</f>
        <v>50</v>
      </c>
      <c r="AV14" s="15">
        <f t="shared" ref="AV14:AV20" si="3">AVERAGE(0,0,0,0)</f>
        <v>0</v>
      </c>
      <c r="AW14" s="15">
        <f>AVERAGE(0,0,0,0)</f>
        <v>0</v>
      </c>
      <c r="AX14" s="15">
        <f>AVERAGE(10,10,10,10)</f>
        <v>10</v>
      </c>
      <c r="AY14" s="15">
        <f>AVERAGE(5,5,5,5)</f>
        <v>5</v>
      </c>
      <c r="AZ14" s="5"/>
    </row>
    <row r="15" spans="1:52" ht="14.2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 t="s">
        <v>407</v>
      </c>
      <c r="N15" s="17">
        <v>1</v>
      </c>
      <c r="O15" s="15">
        <v>77.95</v>
      </c>
      <c r="P15" s="18">
        <v>0</v>
      </c>
      <c r="Q15" s="15">
        <v>18.29</v>
      </c>
      <c r="R15" s="18">
        <v>0</v>
      </c>
      <c r="S15" s="15">
        <v>22</v>
      </c>
      <c r="T15" s="17" t="s">
        <v>407</v>
      </c>
      <c r="U15" s="15">
        <v>27.3</v>
      </c>
      <c r="V15" s="15">
        <v>7.9</v>
      </c>
      <c r="W15" s="17" t="s">
        <v>407</v>
      </c>
      <c r="X15" s="2">
        <v>165.5</v>
      </c>
      <c r="Y15" s="10">
        <v>17.2</v>
      </c>
      <c r="Z15" s="10">
        <v>6.59</v>
      </c>
      <c r="AA15" s="17" t="s">
        <v>407</v>
      </c>
      <c r="AB15" s="20">
        <v>71.022999999999996</v>
      </c>
      <c r="AC15" s="21">
        <f>1/(AVERAGE(4,4,3,3,3,4,4))</f>
        <v>0.27999999999999997</v>
      </c>
      <c r="AD15" s="15">
        <f>AVERAGE(3,3)</f>
        <v>3</v>
      </c>
      <c r="AE15" s="15">
        <v>21</v>
      </c>
      <c r="AF15" s="19">
        <f>AVERAGE(16,21,10)</f>
        <v>15.666666666666666</v>
      </c>
      <c r="AG15" s="15">
        <f>AVERAGE(20,20,20,20)</f>
        <v>20</v>
      </c>
      <c r="AH15" s="10">
        <v>0.81</v>
      </c>
      <c r="AI15" s="15">
        <f>AVERAGE(80,80,80,80)</f>
        <v>80</v>
      </c>
      <c r="AJ15" s="15">
        <f>AVERAGE(20,20,20,20)</f>
        <v>20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>AVERAGE(10,10,10,10)</f>
        <v>10</v>
      </c>
      <c r="AS15" s="15">
        <f>AVERAGE(80,80,80,80)</f>
        <v>80</v>
      </c>
      <c r="AT15" s="15">
        <f>AVERAGE(30,30,30,30)</f>
        <v>30</v>
      </c>
      <c r="AU15" s="15">
        <f t="shared" ref="AU15:AU20" si="4">AVERAGE(0,0,0,0)</f>
        <v>0</v>
      </c>
      <c r="AV15" s="15">
        <f t="shared" si="3"/>
        <v>0</v>
      </c>
      <c r="AW15" s="15">
        <f>AVERAGE(50,50,50,50)</f>
        <v>50</v>
      </c>
      <c r="AX15" s="15">
        <f>AVERAGE(0,0,0,0)</f>
        <v>0</v>
      </c>
      <c r="AY15" s="15">
        <f>AVERAGE(1,1,1,1)</f>
        <v>1</v>
      </c>
      <c r="AZ15" s="5"/>
    </row>
    <row r="16" spans="1:52" ht="14.2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 t="s">
        <v>407</v>
      </c>
      <c r="N16" s="17">
        <v>2</v>
      </c>
      <c r="O16" s="15">
        <v>99.32</v>
      </c>
      <c r="P16" s="18">
        <v>0</v>
      </c>
      <c r="Q16" s="15">
        <v>16.86</v>
      </c>
      <c r="R16" s="18">
        <v>0</v>
      </c>
      <c r="S16" s="15">
        <v>20.329999999999998</v>
      </c>
      <c r="T16" s="17" t="s">
        <v>407</v>
      </c>
      <c r="U16" s="15">
        <v>26.9</v>
      </c>
      <c r="V16" s="15">
        <v>7.8</v>
      </c>
      <c r="W16" s="17" t="s">
        <v>407</v>
      </c>
      <c r="X16" s="2">
        <v>163.19999999999999</v>
      </c>
      <c r="Y16" s="10">
        <v>17.7</v>
      </c>
      <c r="Z16" s="10">
        <v>6.59</v>
      </c>
      <c r="AA16" s="17" t="s">
        <v>407</v>
      </c>
      <c r="AB16" s="20">
        <v>71.022999999999996</v>
      </c>
      <c r="AC16" s="21">
        <f>1/(AVERAGE(7,4,3,3,3,3,5))</f>
        <v>0.25</v>
      </c>
      <c r="AD16" s="15">
        <f>AVERAGE(3,3)</f>
        <v>3</v>
      </c>
      <c r="AE16" s="15">
        <v>22</v>
      </c>
      <c r="AF16" s="19">
        <f>AVERAGE(11,22,12)</f>
        <v>15</v>
      </c>
      <c r="AG16" s="15">
        <f>AVERAGE(20,20,20,20)</f>
        <v>20</v>
      </c>
      <c r="AH16" s="10">
        <v>1.6</v>
      </c>
      <c r="AI16" s="15">
        <f>AVERAGE(60,60,60,60)</f>
        <v>60</v>
      </c>
      <c r="AJ16" s="15">
        <f>AVERAGE(40,40,40,40)</f>
        <v>40</v>
      </c>
      <c r="AK16" s="15">
        <f t="shared" si="1"/>
        <v>0</v>
      </c>
      <c r="AL16" s="15">
        <f t="shared" si="1"/>
        <v>0</v>
      </c>
      <c r="AM16" s="15">
        <f t="shared" si="1"/>
        <v>0</v>
      </c>
      <c r="AN16" s="15">
        <f t="shared" si="1"/>
        <v>0</v>
      </c>
      <c r="AO16" s="15">
        <f t="shared" si="1"/>
        <v>0</v>
      </c>
      <c r="AP16" s="15">
        <f t="shared" si="1"/>
        <v>0</v>
      </c>
      <c r="AQ16" s="15">
        <f t="shared" si="1"/>
        <v>0</v>
      </c>
      <c r="AR16" s="15">
        <f>AVERAGE(20,20,20,20)</f>
        <v>20</v>
      </c>
      <c r="AS16" s="15">
        <f>AVERAGE(70,70,70,70)</f>
        <v>70</v>
      </c>
      <c r="AT16" s="15">
        <f>AVERAGE(1,1,1,1)</f>
        <v>1</v>
      </c>
      <c r="AU16" s="15">
        <f t="shared" si="4"/>
        <v>0</v>
      </c>
      <c r="AV16" s="15">
        <f t="shared" si="3"/>
        <v>0</v>
      </c>
      <c r="AW16" s="15">
        <f>AVERAGE(90,90,90,90)</f>
        <v>90</v>
      </c>
      <c r="AX16" s="15">
        <f>AVERAGE(0,0,0,0)</f>
        <v>0</v>
      </c>
      <c r="AY16" s="15">
        <f>AVERAGE(10,10,10,10)</f>
        <v>10</v>
      </c>
      <c r="AZ16" s="15"/>
    </row>
    <row r="17" spans="1:52" ht="14.2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 t="s">
        <v>407</v>
      </c>
      <c r="N17" s="17">
        <v>3</v>
      </c>
      <c r="O17" s="15">
        <v>65.23</v>
      </c>
      <c r="P17" s="18">
        <v>0</v>
      </c>
      <c r="Q17" s="15">
        <v>19.71</v>
      </c>
      <c r="R17" s="18">
        <v>0</v>
      </c>
      <c r="S17" s="15">
        <v>15.33</v>
      </c>
      <c r="T17" s="17" t="s">
        <v>407</v>
      </c>
      <c r="U17" s="15">
        <v>26.6</v>
      </c>
      <c r="V17" s="15">
        <v>7.9</v>
      </c>
      <c r="W17" s="17" t="s">
        <v>407</v>
      </c>
      <c r="X17" s="2">
        <v>161.19999999999999</v>
      </c>
      <c r="Y17" s="10">
        <v>17.5</v>
      </c>
      <c r="Z17" s="10">
        <v>6.59</v>
      </c>
      <c r="AA17" s="17" t="s">
        <v>407</v>
      </c>
      <c r="AB17" s="20">
        <v>71.022999999999996</v>
      </c>
      <c r="AC17" s="21">
        <f>1/(AVERAGE(9,2,2,2,2,2,2,2))</f>
        <v>0.34782608695652173</v>
      </c>
      <c r="AD17" s="15">
        <f>AVERAGE(2,2)</f>
        <v>2</v>
      </c>
      <c r="AE17" s="15">
        <v>20</v>
      </c>
      <c r="AF17" s="19">
        <f>AVERAGE(20,20,19)</f>
        <v>19.666666666666668</v>
      </c>
      <c r="AG17" s="15">
        <f>AVERAGE(20,20,20,20)</f>
        <v>20</v>
      </c>
      <c r="AH17" s="10">
        <v>1.33</v>
      </c>
      <c r="AI17" s="15">
        <f>AVERAGE(70,70,70,70)</f>
        <v>70</v>
      </c>
      <c r="AJ17" s="15">
        <f>AVERAGE(30,30,30,30)</f>
        <v>30</v>
      </c>
      <c r="AK17" s="15">
        <f t="shared" si="1"/>
        <v>0</v>
      </c>
      <c r="AL17" s="15">
        <f t="shared" si="1"/>
        <v>0</v>
      </c>
      <c r="AM17" s="15">
        <f t="shared" si="1"/>
        <v>0</v>
      </c>
      <c r="AN17" s="15">
        <f t="shared" si="1"/>
        <v>0</v>
      </c>
      <c r="AO17" s="15">
        <f t="shared" si="1"/>
        <v>0</v>
      </c>
      <c r="AP17" s="15">
        <f t="shared" si="1"/>
        <v>0</v>
      </c>
      <c r="AQ17" s="15">
        <f t="shared" si="1"/>
        <v>0</v>
      </c>
      <c r="AR17" s="15">
        <f>AVERAGE(20,20,20,20)</f>
        <v>20</v>
      </c>
      <c r="AS17" s="15">
        <f>AVERAGE(60,60,60,60)</f>
        <v>60</v>
      </c>
      <c r="AT17" s="15">
        <f>AVERAGE(10,10,10,10)</f>
        <v>10</v>
      </c>
      <c r="AU17" s="15">
        <f t="shared" si="4"/>
        <v>0</v>
      </c>
      <c r="AV17" s="15">
        <f t="shared" si="3"/>
        <v>0</v>
      </c>
      <c r="AW17" s="15">
        <f>AVERAGE(90,90,90,90)</f>
        <v>90</v>
      </c>
      <c r="AX17" s="15">
        <f>AVERAGE(10,10,10,10)</f>
        <v>10</v>
      </c>
      <c r="AY17" s="15">
        <f>AVERAGE(30,30,30,30)</f>
        <v>30</v>
      </c>
      <c r="AZ17" s="5"/>
    </row>
    <row r="18" spans="1:52" ht="14.2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 t="s">
        <v>407</v>
      </c>
      <c r="N18" s="17">
        <v>1</v>
      </c>
      <c r="O18" s="15">
        <v>203.86</v>
      </c>
      <c r="P18" s="18">
        <v>0</v>
      </c>
      <c r="Q18" s="15">
        <v>8.2899999999999991</v>
      </c>
      <c r="R18" s="18">
        <v>0</v>
      </c>
      <c r="S18" s="15">
        <v>47</v>
      </c>
      <c r="T18" s="17" t="s">
        <v>407</v>
      </c>
      <c r="U18" s="15">
        <v>26.5</v>
      </c>
      <c r="V18" s="15">
        <v>5.0999999999999996</v>
      </c>
      <c r="W18" s="17" t="s">
        <v>407</v>
      </c>
      <c r="X18" s="2">
        <v>155.19999999999999</v>
      </c>
      <c r="Y18" s="10">
        <v>24.2</v>
      </c>
      <c r="Z18" s="10">
        <v>7.26</v>
      </c>
      <c r="AA18" s="17" t="s">
        <v>407</v>
      </c>
      <c r="AB18" s="20">
        <v>41.473999999999997</v>
      </c>
      <c r="AC18" s="21">
        <f>1/(AVERAGE(51,40))</f>
        <v>2.197802197802198E-2</v>
      </c>
      <c r="AD18" s="15">
        <f>AVERAGE(1,2)</f>
        <v>1.5</v>
      </c>
      <c r="AE18" s="15">
        <v>47</v>
      </c>
      <c r="AF18" s="19">
        <f>AVERAGE(40,47,35)</f>
        <v>40.666666666666664</v>
      </c>
      <c r="AG18" s="15">
        <f>AVERAGE(52,52,52,52)</f>
        <v>52</v>
      </c>
      <c r="AH18" s="10">
        <v>7.2</v>
      </c>
      <c r="AI18" s="15">
        <f>AVERAGE(20,20,20,20)</f>
        <v>20</v>
      </c>
      <c r="AJ18" s="15">
        <f>AVERAGE(80,80,80,80)</f>
        <v>80</v>
      </c>
      <c r="AK18" s="15">
        <f t="shared" si="1"/>
        <v>0</v>
      </c>
      <c r="AL18" s="15">
        <f t="shared" si="1"/>
        <v>0</v>
      </c>
      <c r="AM18" s="15">
        <f t="shared" si="1"/>
        <v>0</v>
      </c>
      <c r="AN18" s="15">
        <f t="shared" si="1"/>
        <v>0</v>
      </c>
      <c r="AO18" s="15">
        <f t="shared" si="1"/>
        <v>0</v>
      </c>
      <c r="AP18" s="15">
        <f>AVERAGE(5,5,5,5)</f>
        <v>5</v>
      </c>
      <c r="AQ18" s="15">
        <f>AVERAGE(10,10,10,10)</f>
        <v>10</v>
      </c>
      <c r="AR18" s="15">
        <f>AVERAGE(5,5,5,5)</f>
        <v>5</v>
      </c>
      <c r="AS18" s="15">
        <f>AVERAGE(5,5,5,5)</f>
        <v>5</v>
      </c>
      <c r="AT18" s="15">
        <f>AVERAGE(10,10,10,10)</f>
        <v>10</v>
      </c>
      <c r="AU18" s="15">
        <f t="shared" si="4"/>
        <v>0</v>
      </c>
      <c r="AV18" s="15">
        <f t="shared" si="3"/>
        <v>0</v>
      </c>
      <c r="AW18" s="15">
        <v>0</v>
      </c>
      <c r="AX18" s="15">
        <f>AVERAGE(5,5,5,5)</f>
        <v>5</v>
      </c>
      <c r="AY18" s="15">
        <f>AVERAGE(10,10,10,10)</f>
        <v>10</v>
      </c>
      <c r="AZ18" s="5"/>
    </row>
    <row r="19" spans="1:52" ht="14.2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 t="s">
        <v>407</v>
      </c>
      <c r="N19" s="17">
        <v>2</v>
      </c>
      <c r="O19" s="15">
        <v>277.5</v>
      </c>
      <c r="P19" s="18">
        <v>0</v>
      </c>
      <c r="Q19" s="15">
        <v>5.43</v>
      </c>
      <c r="R19" s="18">
        <v>0</v>
      </c>
      <c r="S19" s="15">
        <v>55.33</v>
      </c>
      <c r="T19" s="17" t="s">
        <v>407</v>
      </c>
      <c r="U19" s="15">
        <v>26.3</v>
      </c>
      <c r="V19" s="15">
        <v>6.1</v>
      </c>
      <c r="W19" s="17" t="s">
        <v>407</v>
      </c>
      <c r="X19" s="2">
        <v>157.9</v>
      </c>
      <c r="Y19" s="10">
        <v>34.799999999999997</v>
      </c>
      <c r="Z19" s="10">
        <v>6.71</v>
      </c>
      <c r="AA19" s="17" t="s">
        <v>407</v>
      </c>
      <c r="AB19" s="20">
        <v>41.473999999999997</v>
      </c>
      <c r="AC19" s="21">
        <f>1/(AVERAGE(51,40))</f>
        <v>2.197802197802198E-2</v>
      </c>
      <c r="AD19" s="15">
        <f>AVERAGE(2,2)</f>
        <v>2</v>
      </c>
      <c r="AE19" s="15">
        <v>47</v>
      </c>
      <c r="AF19" s="19">
        <f>AVERAGE(40,47,35)</f>
        <v>40.666666666666664</v>
      </c>
      <c r="AG19" s="15">
        <f>AVERAGE(38,38,38,38)</f>
        <v>38</v>
      </c>
      <c r="AH19" s="10">
        <v>7.2</v>
      </c>
      <c r="AI19" s="15">
        <f>AVERAGE(20,20,20,20)</f>
        <v>20</v>
      </c>
      <c r="AJ19" s="15">
        <f>AVERAGE(80,80,80,80)</f>
        <v>80</v>
      </c>
      <c r="AK19" s="15">
        <f t="shared" ref="AK19:AO20" si="5">AVERAGE(0,0,0,0)</f>
        <v>0</v>
      </c>
      <c r="AL19" s="15">
        <f t="shared" si="5"/>
        <v>0</v>
      </c>
      <c r="AM19" s="15">
        <f t="shared" si="5"/>
        <v>0</v>
      </c>
      <c r="AN19" s="15">
        <f t="shared" si="5"/>
        <v>0</v>
      </c>
      <c r="AO19" s="15">
        <f t="shared" si="5"/>
        <v>0</v>
      </c>
      <c r="AP19" s="15">
        <f>AVERAGE(0,0,0,0)</f>
        <v>0</v>
      </c>
      <c r="AQ19" s="15">
        <f>AVERAGE(1,1,1,1)</f>
        <v>1</v>
      </c>
      <c r="AR19" s="15">
        <f>AVERAGE(10,10,10,10)</f>
        <v>10</v>
      </c>
      <c r="AS19" s="15">
        <f>AVERAGE(20,20,20,20)</f>
        <v>20</v>
      </c>
      <c r="AT19" s="15">
        <f>AVERAGE(5,5,5,5)</f>
        <v>5</v>
      </c>
      <c r="AU19" s="15">
        <f t="shared" si="4"/>
        <v>0</v>
      </c>
      <c r="AV19" s="15">
        <f t="shared" si="3"/>
        <v>0</v>
      </c>
      <c r="AW19" s="15">
        <f>AVERAGE(10,10,10,10)</f>
        <v>10</v>
      </c>
      <c r="AX19" s="15">
        <f>AVERAGE(5,5,5,5)</f>
        <v>5</v>
      </c>
      <c r="AY19" s="15">
        <f>AVERAGE(15,15,15,15)</f>
        <v>15</v>
      </c>
      <c r="AZ19" s="5"/>
    </row>
    <row r="20" spans="1:52" ht="14.2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 t="s">
        <v>407</v>
      </c>
      <c r="N20" s="17">
        <v>3</v>
      </c>
      <c r="O20" s="15">
        <v>249.77</v>
      </c>
      <c r="P20" s="18">
        <v>0</v>
      </c>
      <c r="Q20" s="15">
        <v>16.86</v>
      </c>
      <c r="R20" s="18">
        <v>0</v>
      </c>
      <c r="S20" s="15">
        <v>13.67</v>
      </c>
      <c r="T20" s="17" t="s">
        <v>407</v>
      </c>
      <c r="U20" s="15">
        <v>26.2</v>
      </c>
      <c r="V20" s="15">
        <v>4.9000000000000004</v>
      </c>
      <c r="W20" s="17" t="s">
        <v>407</v>
      </c>
      <c r="X20" s="2">
        <v>149.69999999999999</v>
      </c>
      <c r="Y20" s="10">
        <v>29.9</v>
      </c>
      <c r="Z20" s="10">
        <v>6.61</v>
      </c>
      <c r="AA20" s="17" t="s">
        <v>407</v>
      </c>
      <c r="AB20" s="20">
        <v>41.473999999999997</v>
      </c>
      <c r="AC20" s="21">
        <f>1/(AVERAGE(51,40))</f>
        <v>2.197802197802198E-2</v>
      </c>
      <c r="AD20" s="15">
        <f>AVERAGE(1,1)</f>
        <v>1</v>
      </c>
      <c r="AE20" s="15">
        <v>47</v>
      </c>
      <c r="AF20" s="19">
        <f>AVERAGE(40,47,35)</f>
        <v>40.666666666666664</v>
      </c>
      <c r="AG20" s="15">
        <f>AVERAGE(46,46,46,46)</f>
        <v>46</v>
      </c>
      <c r="AH20" s="10">
        <v>7.2</v>
      </c>
      <c r="AI20" s="15">
        <f>AVERAGE(50,50,50,50)</f>
        <v>50</v>
      </c>
      <c r="AJ20" s="15">
        <f>AVERAGE(50,50,50,50)</f>
        <v>50</v>
      </c>
      <c r="AK20" s="15">
        <f t="shared" si="5"/>
        <v>0</v>
      </c>
      <c r="AL20" s="15">
        <f t="shared" si="5"/>
        <v>0</v>
      </c>
      <c r="AM20" s="15">
        <f t="shared" si="5"/>
        <v>0</v>
      </c>
      <c r="AN20" s="15">
        <f t="shared" si="5"/>
        <v>0</v>
      </c>
      <c r="AO20" s="15">
        <f t="shared" si="5"/>
        <v>0</v>
      </c>
      <c r="AP20" s="15">
        <f>AVERAGE(0,0,0,0)</f>
        <v>0</v>
      </c>
      <c r="AQ20" s="15">
        <f>AVERAGE(30,30,30,30)</f>
        <v>30</v>
      </c>
      <c r="AR20" s="15">
        <f>AVERAGE(0,0,0,0)</f>
        <v>0</v>
      </c>
      <c r="AS20" s="15">
        <f>AVERAGE(0,0,0,0)</f>
        <v>0</v>
      </c>
      <c r="AT20" s="15">
        <f>AVERAGE(1,1,1,1)</f>
        <v>1</v>
      </c>
      <c r="AU20" s="15">
        <f t="shared" si="4"/>
        <v>0</v>
      </c>
      <c r="AV20" s="15">
        <f t="shared" si="3"/>
        <v>0</v>
      </c>
      <c r="AW20" s="15">
        <f>AVERAGE(0,0,0,0)</f>
        <v>0</v>
      </c>
      <c r="AX20" s="15">
        <f>AVERAGE(5,5,5,5)</f>
        <v>5</v>
      </c>
      <c r="AY20" s="15">
        <f>AVERAGE(5,5,5,5)</f>
        <v>5</v>
      </c>
      <c r="AZ20" s="5"/>
    </row>
    <row r="21" spans="1:52" ht="14.25" customHeight="1" x14ac:dyDescent="0.25">
      <c r="A21" s="6" t="s">
        <v>120</v>
      </c>
      <c r="B21" s="16" t="s">
        <v>96</v>
      </c>
      <c r="C21" s="16" t="s">
        <v>121</v>
      </c>
      <c r="D21" s="17" t="s">
        <v>407</v>
      </c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 t="s">
        <v>407</v>
      </c>
      <c r="N21" s="17">
        <v>1</v>
      </c>
      <c r="O21" s="17" t="s">
        <v>407</v>
      </c>
      <c r="P21" s="17" t="s">
        <v>407</v>
      </c>
      <c r="Q21" s="17" t="s">
        <v>407</v>
      </c>
      <c r="R21" s="17" t="s">
        <v>407</v>
      </c>
      <c r="S21" s="17" t="s">
        <v>407</v>
      </c>
      <c r="T21" s="17" t="s">
        <v>407</v>
      </c>
      <c r="U21" s="17" t="s">
        <v>407</v>
      </c>
      <c r="V21" s="17" t="s">
        <v>407</v>
      </c>
      <c r="W21" s="17" t="s">
        <v>407</v>
      </c>
      <c r="X21" s="17" t="s">
        <v>407</v>
      </c>
      <c r="Y21" s="17" t="s">
        <v>407</v>
      </c>
      <c r="Z21" s="17" t="s">
        <v>407</v>
      </c>
      <c r="AA21" s="17" t="s">
        <v>407</v>
      </c>
      <c r="AB21" s="20">
        <v>96</v>
      </c>
      <c r="AC21" s="17" t="s">
        <v>407</v>
      </c>
      <c r="AD21" s="15">
        <f>AVERAGE(2,3)</f>
        <v>2.5</v>
      </c>
      <c r="AE21" s="17" t="s">
        <v>407</v>
      </c>
      <c r="AF21" s="17" t="s">
        <v>407</v>
      </c>
      <c r="AG21" s="17" t="s">
        <v>407</v>
      </c>
      <c r="AH21" s="20">
        <v>18.3</v>
      </c>
      <c r="AI21" s="15">
        <v>0</v>
      </c>
      <c r="AJ21" s="15">
        <v>100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/>
    </row>
    <row r="22" spans="1:52" ht="14.25" customHeight="1" x14ac:dyDescent="0.25">
      <c r="A22" s="6" t="s">
        <v>125</v>
      </c>
      <c r="B22" s="16" t="s">
        <v>96</v>
      </c>
      <c r="C22" s="16" t="s">
        <v>121</v>
      </c>
      <c r="D22" s="17" t="s">
        <v>407</v>
      </c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 t="s">
        <v>407</v>
      </c>
      <c r="N22" s="17">
        <v>2</v>
      </c>
      <c r="O22" s="17" t="s">
        <v>407</v>
      </c>
      <c r="P22" s="17" t="s">
        <v>407</v>
      </c>
      <c r="Q22" s="17" t="s">
        <v>407</v>
      </c>
      <c r="R22" s="17" t="s">
        <v>407</v>
      </c>
      <c r="S22" s="17" t="s">
        <v>407</v>
      </c>
      <c r="T22" s="17" t="s">
        <v>407</v>
      </c>
      <c r="U22" s="17" t="s">
        <v>407</v>
      </c>
      <c r="V22" s="17" t="s">
        <v>407</v>
      </c>
      <c r="W22" s="17" t="s">
        <v>407</v>
      </c>
      <c r="X22" s="17" t="s">
        <v>407</v>
      </c>
      <c r="Y22" s="17" t="s">
        <v>407</v>
      </c>
      <c r="Z22" s="17" t="s">
        <v>407</v>
      </c>
      <c r="AA22" s="17" t="s">
        <v>407</v>
      </c>
      <c r="AB22" s="20">
        <v>96</v>
      </c>
      <c r="AC22" s="17" t="s">
        <v>407</v>
      </c>
      <c r="AD22" s="15">
        <f>AVERAGE(2,3)</f>
        <v>2.5</v>
      </c>
      <c r="AE22" s="17" t="s">
        <v>407</v>
      </c>
      <c r="AF22" s="17" t="s">
        <v>407</v>
      </c>
      <c r="AG22" s="17" t="s">
        <v>407</v>
      </c>
      <c r="AH22" s="5">
        <v>14.69</v>
      </c>
      <c r="AI22" s="15">
        <v>0</v>
      </c>
      <c r="AJ22" s="15">
        <v>100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/>
    </row>
    <row r="23" spans="1:52" ht="14.25" customHeight="1" x14ac:dyDescent="0.25">
      <c r="A23" s="6" t="s">
        <v>126</v>
      </c>
      <c r="B23" s="16" t="s">
        <v>96</v>
      </c>
      <c r="C23" s="16" t="s">
        <v>121</v>
      </c>
      <c r="D23" s="17" t="s">
        <v>407</v>
      </c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 t="s">
        <v>407</v>
      </c>
      <c r="N23" s="17">
        <v>3</v>
      </c>
      <c r="O23" s="17" t="s">
        <v>407</v>
      </c>
      <c r="P23" s="17" t="s">
        <v>407</v>
      </c>
      <c r="Q23" s="17" t="s">
        <v>407</v>
      </c>
      <c r="R23" s="17" t="s">
        <v>407</v>
      </c>
      <c r="S23" s="17" t="s">
        <v>407</v>
      </c>
      <c r="T23" s="17" t="s">
        <v>407</v>
      </c>
      <c r="U23" s="17" t="s">
        <v>407</v>
      </c>
      <c r="V23" s="17" t="s">
        <v>407</v>
      </c>
      <c r="W23" s="17" t="s">
        <v>407</v>
      </c>
      <c r="X23" s="17" t="s">
        <v>407</v>
      </c>
      <c r="Y23" s="17" t="s">
        <v>407</v>
      </c>
      <c r="Z23" s="17" t="s">
        <v>407</v>
      </c>
      <c r="AA23" s="17" t="s">
        <v>407</v>
      </c>
      <c r="AB23" s="20">
        <v>96</v>
      </c>
      <c r="AC23" s="17" t="s">
        <v>407</v>
      </c>
      <c r="AD23" s="15">
        <f>AVERAGE(2,3)</f>
        <v>2.5</v>
      </c>
      <c r="AE23" s="17" t="s">
        <v>407</v>
      </c>
      <c r="AF23" s="17" t="s">
        <v>407</v>
      </c>
      <c r="AG23" s="17" t="s">
        <v>407</v>
      </c>
      <c r="AH23" s="5">
        <v>14.69</v>
      </c>
      <c r="AI23" s="15">
        <v>0</v>
      </c>
      <c r="AJ23" s="15">
        <v>100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/>
    </row>
    <row r="24" spans="1:52" ht="14.2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 t="s">
        <v>407</v>
      </c>
      <c r="N24" s="17">
        <v>1</v>
      </c>
      <c r="O24" s="15">
        <v>64.318181818181799</v>
      </c>
      <c r="P24" s="15">
        <v>1.79411764705882</v>
      </c>
      <c r="Q24" s="15">
        <v>1379.7142857142901</v>
      </c>
      <c r="R24" s="15">
        <v>7.28571428571429</v>
      </c>
      <c r="S24" s="15">
        <v>8.6666666666666696</v>
      </c>
      <c r="T24" s="17" t="s">
        <v>407</v>
      </c>
      <c r="U24" s="5">
        <v>26.5</v>
      </c>
      <c r="V24" s="5">
        <v>6.8</v>
      </c>
      <c r="W24" s="17" t="s">
        <v>407</v>
      </c>
      <c r="X24" s="2">
        <v>120.2</v>
      </c>
      <c r="Y24" s="19">
        <v>8</v>
      </c>
      <c r="Z24" s="10">
        <v>6.44</v>
      </c>
      <c r="AA24" s="17" t="s">
        <v>407</v>
      </c>
      <c r="AB24" s="20">
        <v>80</v>
      </c>
      <c r="AC24" s="21">
        <f>1/(AVERAGE(8.64,6.68,4.63,6.03,4.33,4.77,4.56,4.44,4.77,4.41))</f>
        <v>0.18775816748028543</v>
      </c>
      <c r="AD24" s="19">
        <f>AVERAGE(1,1)</f>
        <v>1</v>
      </c>
      <c r="AE24" s="15">
        <v>6</v>
      </c>
      <c r="AF24" s="19">
        <f>AVERAGE(5,6,5)</f>
        <v>5.333333333333333</v>
      </c>
      <c r="AG24" s="15">
        <f>AVERAGE(6,6,6,6)</f>
        <v>6</v>
      </c>
      <c r="AH24" s="10">
        <v>0.19</v>
      </c>
      <c r="AI24" s="15">
        <f>AVERAGE(90,90,90,90)</f>
        <v>90</v>
      </c>
      <c r="AJ24" s="15">
        <f>AVERAGE(10,10,10,10)</f>
        <v>10</v>
      </c>
      <c r="AK24" s="15">
        <f t="shared" ref="AK24:AR39" si="6">AVERAGE(0,0,0,0)</f>
        <v>0</v>
      </c>
      <c r="AL24" s="15">
        <f t="shared" si="6"/>
        <v>0</v>
      </c>
      <c r="AM24" s="15">
        <f t="shared" si="6"/>
        <v>0</v>
      </c>
      <c r="AN24" s="15">
        <f t="shared" si="6"/>
        <v>0</v>
      </c>
      <c r="AO24" s="15">
        <f t="shared" si="6"/>
        <v>0</v>
      </c>
      <c r="AP24" s="15">
        <f t="shared" si="6"/>
        <v>0</v>
      </c>
      <c r="AQ24" s="15">
        <f t="shared" si="6"/>
        <v>0</v>
      </c>
      <c r="AR24" s="15">
        <f t="shared" si="6"/>
        <v>0</v>
      </c>
      <c r="AS24" s="15">
        <f>AVERAGE(90,90,90,90)</f>
        <v>90</v>
      </c>
      <c r="AT24" s="15">
        <f>AVERAGE(5,5,5,5)</f>
        <v>5</v>
      </c>
      <c r="AU24" s="15">
        <f>AVERAGE(0,0,0,0)</f>
        <v>0</v>
      </c>
      <c r="AV24" s="15">
        <f>AVERAGE(0,0,0,0)</f>
        <v>0</v>
      </c>
      <c r="AW24" s="15">
        <f>AVERAGE(5,5,5,5)</f>
        <v>5</v>
      </c>
      <c r="AX24" s="15">
        <f>AVERAGE(5,5,5,5)</f>
        <v>5</v>
      </c>
      <c r="AY24" s="15">
        <f>AVERAGE(3,3,3,3)</f>
        <v>3</v>
      </c>
      <c r="AZ24" s="5"/>
    </row>
    <row r="25" spans="1:52" ht="14.2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 t="s">
        <v>407</v>
      </c>
      <c r="N25" s="17">
        <v>2</v>
      </c>
      <c r="O25" s="15">
        <v>101.59090909090899</v>
      </c>
      <c r="P25" s="15">
        <v>2.3823529411764701</v>
      </c>
      <c r="Q25" s="15">
        <v>922.57142857142901</v>
      </c>
      <c r="R25" s="15">
        <v>7.28571428571429</v>
      </c>
      <c r="S25" s="15">
        <v>8.6666666666666696</v>
      </c>
      <c r="T25" s="17" t="s">
        <v>407</v>
      </c>
      <c r="U25" s="5">
        <v>26.7</v>
      </c>
      <c r="V25" s="5">
        <v>8.1</v>
      </c>
      <c r="W25" s="17" t="s">
        <v>407</v>
      </c>
      <c r="X25" s="2">
        <v>122.8</v>
      </c>
      <c r="Y25" s="19">
        <v>2</v>
      </c>
      <c r="Z25" s="10">
        <v>6.07</v>
      </c>
      <c r="AA25" s="17" t="s">
        <v>407</v>
      </c>
      <c r="AB25" s="20">
        <v>80</v>
      </c>
      <c r="AC25" s="21">
        <f>1/(AVERAGE(8.13,7.7,5.41,7.9,7.59,5.3,5,98))</f>
        <v>5.5161001172171271E-2</v>
      </c>
      <c r="AD25" s="2">
        <f>AVERAGE(1,2)</f>
        <v>1.5</v>
      </c>
      <c r="AE25" s="15">
        <v>10</v>
      </c>
      <c r="AF25" s="19">
        <f>AVERAGE(6,10,5)</f>
        <v>7</v>
      </c>
      <c r="AG25" s="15">
        <f>AVERAGE(9,9,9,9)</f>
        <v>9</v>
      </c>
      <c r="AH25" s="2">
        <v>0.53</v>
      </c>
      <c r="AI25" s="15">
        <f>AVERAGE(90,90,90,90)</f>
        <v>90</v>
      </c>
      <c r="AJ25" s="15">
        <f>AVERAGE(10,10,10,10)</f>
        <v>10</v>
      </c>
      <c r="AK25" s="15">
        <f t="shared" si="6"/>
        <v>0</v>
      </c>
      <c r="AL25" s="15">
        <f t="shared" si="6"/>
        <v>0</v>
      </c>
      <c r="AM25" s="15">
        <f t="shared" si="6"/>
        <v>0</v>
      </c>
      <c r="AN25" s="15">
        <f t="shared" si="6"/>
        <v>0</v>
      </c>
      <c r="AO25" s="15">
        <f t="shared" si="6"/>
        <v>0</v>
      </c>
      <c r="AP25" s="15">
        <f t="shared" si="6"/>
        <v>0</v>
      </c>
      <c r="AQ25" s="15">
        <f t="shared" si="6"/>
        <v>0</v>
      </c>
      <c r="AR25" s="15">
        <f t="shared" si="6"/>
        <v>0</v>
      </c>
      <c r="AS25" s="15">
        <f>AVERAGE(85,85,85,85)</f>
        <v>85</v>
      </c>
      <c r="AT25" s="15">
        <f>AVERAGE(15,15,15,15)</f>
        <v>15</v>
      </c>
      <c r="AU25" s="15">
        <f>AVERAGE(0,0,0,0)</f>
        <v>0</v>
      </c>
      <c r="AV25" s="15">
        <f>AVERAGE(0,0,0,0)</f>
        <v>0</v>
      </c>
      <c r="AW25" s="15">
        <f>AVERAGE(5,5,5,5)</f>
        <v>5</v>
      </c>
      <c r="AX25" s="15">
        <f>AVERAGE(10,10,10,10)</f>
        <v>10</v>
      </c>
      <c r="AY25" s="15">
        <f>AVERAGE(10,10,10,10)</f>
        <v>10</v>
      </c>
      <c r="AZ25" s="5"/>
    </row>
    <row r="26" spans="1:52" ht="14.2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 t="s">
        <v>407</v>
      </c>
      <c r="N26" s="17">
        <v>3</v>
      </c>
      <c r="O26" s="15">
        <v>82.5</v>
      </c>
      <c r="P26" s="15">
        <v>1.5</v>
      </c>
      <c r="Q26" s="15">
        <v>94</v>
      </c>
      <c r="R26" s="15">
        <v>8.7142857142857206</v>
      </c>
      <c r="S26" s="15">
        <v>12</v>
      </c>
      <c r="T26" s="17" t="s">
        <v>407</v>
      </c>
      <c r="U26" s="5">
        <v>27.4</v>
      </c>
      <c r="V26" s="5">
        <v>8.1</v>
      </c>
      <c r="W26" s="17" t="s">
        <v>407</v>
      </c>
      <c r="X26" s="2">
        <v>129.80000000000001</v>
      </c>
      <c r="Y26" s="19">
        <v>10</v>
      </c>
      <c r="Z26" s="10">
        <v>5.8</v>
      </c>
      <c r="AA26" s="17" t="s">
        <v>407</v>
      </c>
      <c r="AB26" s="20">
        <v>80</v>
      </c>
      <c r="AC26" s="21">
        <f>1/(AVERAGE(9.62,9.97,7.65,8.9,8.14,9.27,9.76))</f>
        <v>0.11056705101879641</v>
      </c>
      <c r="AD26" s="2">
        <f>AVERAGE(1,2)</f>
        <v>1.5</v>
      </c>
      <c r="AE26" s="15">
        <v>20</v>
      </c>
      <c r="AF26" s="19">
        <f>AVERAGE(16,20,15)</f>
        <v>17</v>
      </c>
      <c r="AG26" s="15">
        <f>AVERAGE(15,15,15,15)</f>
        <v>15</v>
      </c>
      <c r="AH26" s="2">
        <v>1.0900000000000001</v>
      </c>
      <c r="AI26" s="15">
        <f>AVERAGE(90,90,90,90)</f>
        <v>90</v>
      </c>
      <c r="AJ26" s="15">
        <f>AVERAGE(10,10,10,10)</f>
        <v>10</v>
      </c>
      <c r="AK26" s="15">
        <f t="shared" si="6"/>
        <v>0</v>
      </c>
      <c r="AL26" s="15">
        <f t="shared" si="6"/>
        <v>0</v>
      </c>
      <c r="AM26" s="15">
        <f t="shared" si="6"/>
        <v>0</v>
      </c>
      <c r="AN26" s="15">
        <f t="shared" si="6"/>
        <v>0</v>
      </c>
      <c r="AO26" s="15">
        <f t="shared" si="6"/>
        <v>0</v>
      </c>
      <c r="AP26" s="15">
        <f t="shared" si="6"/>
        <v>0</v>
      </c>
      <c r="AQ26" s="15">
        <f t="shared" si="6"/>
        <v>0</v>
      </c>
      <c r="AR26" s="15">
        <f t="shared" si="6"/>
        <v>0</v>
      </c>
      <c r="AS26" s="15">
        <f>AVERAGE(90,90,90,90)</f>
        <v>90</v>
      </c>
      <c r="AT26" s="15">
        <f>AVERAGE(10,10,10,10)</f>
        <v>10</v>
      </c>
      <c r="AU26" s="15">
        <f t="shared" ref="AU26:AY59" si="7">AVERAGE(0,0,0,0)</f>
        <v>0</v>
      </c>
      <c r="AV26" s="15">
        <f>AVERAGE(5,5,5,5)</f>
        <v>5</v>
      </c>
      <c r="AW26" s="15">
        <f>AVERAGE(0,0,0,0)</f>
        <v>0</v>
      </c>
      <c r="AX26" s="15">
        <f>AVERAGE(5,5,5,5)</f>
        <v>5</v>
      </c>
      <c r="AY26" s="15">
        <f>AVERAGE(10,10,10,10)</f>
        <v>10</v>
      </c>
      <c r="AZ26" s="5"/>
    </row>
    <row r="27" spans="1:52" ht="14.2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 t="s">
        <v>407</v>
      </c>
      <c r="N27" s="17">
        <v>1</v>
      </c>
      <c r="O27" s="15">
        <v>73.409090909090907</v>
      </c>
      <c r="P27" s="15">
        <v>1.20588235294118</v>
      </c>
      <c r="Q27" s="15">
        <v>144</v>
      </c>
      <c r="R27" s="15">
        <v>0.14285714285714299</v>
      </c>
      <c r="S27" s="15">
        <v>0.33333333333333398</v>
      </c>
      <c r="T27" s="17" t="s">
        <v>407</v>
      </c>
      <c r="U27" s="5">
        <v>27.2</v>
      </c>
      <c r="V27" s="5">
        <v>6.8</v>
      </c>
      <c r="W27" s="17" t="s">
        <v>407</v>
      </c>
      <c r="X27" s="2">
        <v>115.2</v>
      </c>
      <c r="Y27" s="19">
        <v>10</v>
      </c>
      <c r="Z27" s="10">
        <v>6.01</v>
      </c>
      <c r="AA27" s="17" t="s">
        <v>407</v>
      </c>
      <c r="AB27" s="20">
        <v>87</v>
      </c>
      <c r="AC27" s="21">
        <f>1/(AVERAGE(3.91,4.53,3.65,3.27,3.84,5.16,3.44))</f>
        <v>0.25179856115107913</v>
      </c>
      <c r="AD27" s="19">
        <f>AVERAGE(1,1)</f>
        <v>1</v>
      </c>
      <c r="AE27" s="15">
        <v>18</v>
      </c>
      <c r="AF27" s="19">
        <f>AVERAGE(10,18,10)</f>
        <v>12.666666666666666</v>
      </c>
      <c r="AG27" s="15">
        <f>AVERAGE(11,11,11,11)</f>
        <v>11</v>
      </c>
      <c r="AH27" s="10">
        <v>0.9</v>
      </c>
      <c r="AI27" s="15">
        <f>AVERAGE(10,10,10,10)</f>
        <v>10</v>
      </c>
      <c r="AJ27" s="15">
        <f>AVERAGE(90,90,90,90)</f>
        <v>90</v>
      </c>
      <c r="AK27" s="15">
        <f t="shared" si="6"/>
        <v>0</v>
      </c>
      <c r="AL27" s="15">
        <f t="shared" si="6"/>
        <v>0</v>
      </c>
      <c r="AM27" s="15">
        <f t="shared" si="6"/>
        <v>0</v>
      </c>
      <c r="AN27" s="15">
        <f t="shared" si="6"/>
        <v>0</v>
      </c>
      <c r="AO27" s="15">
        <f t="shared" si="6"/>
        <v>0</v>
      </c>
      <c r="AP27" s="15">
        <f t="shared" si="6"/>
        <v>0</v>
      </c>
      <c r="AQ27" s="15">
        <f t="shared" si="6"/>
        <v>0</v>
      </c>
      <c r="AR27" s="15">
        <f>AVERAGE(5,5,5,5)</f>
        <v>5</v>
      </c>
      <c r="AS27" s="15">
        <f>AVERAGE(80,80,80,80)</f>
        <v>80</v>
      </c>
      <c r="AT27" s="15">
        <f>AVERAGE(5,5,5,5)</f>
        <v>5</v>
      </c>
      <c r="AU27" s="15">
        <f t="shared" si="7"/>
        <v>0</v>
      </c>
      <c r="AV27" s="15">
        <f t="shared" si="7"/>
        <v>0</v>
      </c>
      <c r="AW27" s="15">
        <f>AVERAGE(10,10,10,10)</f>
        <v>10</v>
      </c>
      <c r="AX27" s="15">
        <f>AVERAGE(10,10,10,10)</f>
        <v>10</v>
      </c>
      <c r="AY27" s="15">
        <f>AVERAGE(5,5,5,5)</f>
        <v>5</v>
      </c>
      <c r="AZ27" s="5"/>
    </row>
    <row r="28" spans="1:52" ht="14.2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 t="s">
        <v>407</v>
      </c>
      <c r="N28" s="17">
        <v>2</v>
      </c>
      <c r="O28" s="15">
        <v>52.954545454545503</v>
      </c>
      <c r="P28" s="15">
        <v>23.264705882352899</v>
      </c>
      <c r="Q28" s="15">
        <v>165.42857142857099</v>
      </c>
      <c r="R28" s="15">
        <v>5.8571428571428603</v>
      </c>
      <c r="S28" s="15">
        <v>7</v>
      </c>
      <c r="T28" s="17" t="s">
        <v>407</v>
      </c>
      <c r="U28" s="5">
        <v>27.1</v>
      </c>
      <c r="V28" s="5">
        <v>7.5</v>
      </c>
      <c r="W28" s="17" t="s">
        <v>407</v>
      </c>
      <c r="X28" s="2">
        <v>122.4</v>
      </c>
      <c r="Y28" s="19">
        <v>8</v>
      </c>
      <c r="Z28" s="10">
        <v>6</v>
      </c>
      <c r="AA28" s="17" t="s">
        <v>407</v>
      </c>
      <c r="AB28" s="20">
        <v>87</v>
      </c>
      <c r="AC28" s="21">
        <f>1/(AVERAGE(4.61,4.47,5.16))</f>
        <v>0.21067415730337077</v>
      </c>
      <c r="AD28" s="19">
        <f>AVERAGE(2,2)</f>
        <v>2</v>
      </c>
      <c r="AE28" s="15">
        <v>13</v>
      </c>
      <c r="AF28" s="19">
        <f>AVERAGE(11,13,7)</f>
        <v>10.333333333333334</v>
      </c>
      <c r="AG28" s="15">
        <f>AVERAGE(14,14,14,14)</f>
        <v>14</v>
      </c>
      <c r="AH28" s="2">
        <v>1.08</v>
      </c>
      <c r="AI28" s="15">
        <f>AVERAGE(10,10,10,10)</f>
        <v>10</v>
      </c>
      <c r="AJ28" s="15">
        <f>AVERAGE(90,90,90,90)</f>
        <v>90</v>
      </c>
      <c r="AK28" s="15">
        <f t="shared" si="6"/>
        <v>0</v>
      </c>
      <c r="AL28" s="15">
        <f t="shared" si="6"/>
        <v>0</v>
      </c>
      <c r="AM28" s="15">
        <f t="shared" si="6"/>
        <v>0</v>
      </c>
      <c r="AN28" s="15">
        <f t="shared" si="6"/>
        <v>0</v>
      </c>
      <c r="AO28" s="15">
        <f t="shared" si="6"/>
        <v>0</v>
      </c>
      <c r="AP28" s="15">
        <f>AVERAGE(5,5,5,5)</f>
        <v>5</v>
      </c>
      <c r="AQ28" s="15">
        <f t="shared" si="6"/>
        <v>0</v>
      </c>
      <c r="AR28" s="15">
        <f t="shared" si="6"/>
        <v>0</v>
      </c>
      <c r="AS28" s="15">
        <f>AVERAGE(30,30,30,30)</f>
        <v>30</v>
      </c>
      <c r="AT28" s="15">
        <f>AVERAGE(10,10,10,10)</f>
        <v>10</v>
      </c>
      <c r="AU28" s="15">
        <f t="shared" si="7"/>
        <v>0</v>
      </c>
      <c r="AV28" s="15">
        <f t="shared" si="7"/>
        <v>0</v>
      </c>
      <c r="AW28" s="15">
        <f>AVERAGE(5,5,5,5)</f>
        <v>5</v>
      </c>
      <c r="AX28" s="15">
        <f>AVERAGE(0,0,0,0)</f>
        <v>0</v>
      </c>
      <c r="AY28" s="15">
        <f>AVERAGE(10,10,10,10)</f>
        <v>10</v>
      </c>
      <c r="AZ28" s="5"/>
    </row>
    <row r="29" spans="1:52" ht="14.2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 t="s">
        <v>407</v>
      </c>
      <c r="N29" s="17">
        <v>3</v>
      </c>
      <c r="O29" s="15">
        <v>55.227272727272698</v>
      </c>
      <c r="P29" s="15">
        <v>20.323529411764699</v>
      </c>
      <c r="Q29" s="15">
        <v>189.71428571428601</v>
      </c>
      <c r="R29" s="15">
        <v>5.8571428571428603</v>
      </c>
      <c r="S29" s="15">
        <v>7</v>
      </c>
      <c r="T29" s="17" t="s">
        <v>407</v>
      </c>
      <c r="U29" s="15">
        <v>27</v>
      </c>
      <c r="V29" s="5">
        <v>6.6</v>
      </c>
      <c r="W29" s="17" t="s">
        <v>407</v>
      </c>
      <c r="X29" s="2">
        <v>111.4</v>
      </c>
      <c r="Y29" s="19">
        <v>2</v>
      </c>
      <c r="Z29" s="10">
        <v>6.19</v>
      </c>
      <c r="AA29" s="17" t="s">
        <v>407</v>
      </c>
      <c r="AB29" s="20">
        <v>87</v>
      </c>
      <c r="AC29" s="21">
        <f>1/(AVERAGE(28.6/0.5,17.42/0.5,20.88/0.5,26.9/0.5))</f>
        <v>2.1321961620469079E-2</v>
      </c>
      <c r="AD29" s="19">
        <f>AVERAGE(2,2)</f>
        <v>2</v>
      </c>
      <c r="AE29" s="15">
        <v>42</v>
      </c>
      <c r="AF29" s="19">
        <f>AVERAGE(7,42,26)</f>
        <v>25</v>
      </c>
      <c r="AG29" s="15">
        <f>AVERAGE(38,38,38,38)</f>
        <v>38</v>
      </c>
      <c r="AH29" s="10">
        <v>1.5</v>
      </c>
      <c r="AI29" s="15">
        <f>AVERAGE(80,80,80,80)</f>
        <v>80</v>
      </c>
      <c r="AJ29" s="15">
        <f>AVERAGE(20,20,20,20)</f>
        <v>20</v>
      </c>
      <c r="AK29" s="15">
        <f t="shared" si="6"/>
        <v>0</v>
      </c>
      <c r="AL29" s="15">
        <f t="shared" si="6"/>
        <v>0</v>
      </c>
      <c r="AM29" s="15">
        <f t="shared" si="6"/>
        <v>0</v>
      </c>
      <c r="AN29" s="15">
        <f t="shared" si="6"/>
        <v>0</v>
      </c>
      <c r="AO29" s="15">
        <f t="shared" si="6"/>
        <v>0</v>
      </c>
      <c r="AP29" s="15">
        <f t="shared" si="6"/>
        <v>0</v>
      </c>
      <c r="AQ29" s="15">
        <f t="shared" si="6"/>
        <v>0</v>
      </c>
      <c r="AR29" s="15">
        <f t="shared" si="6"/>
        <v>0</v>
      </c>
      <c r="AS29" s="15">
        <f>AVERAGE(40,40,40,40)</f>
        <v>40</v>
      </c>
      <c r="AT29" s="15">
        <f>AVERAGE(10,10,10,10)</f>
        <v>10</v>
      </c>
      <c r="AU29" s="15">
        <f t="shared" si="7"/>
        <v>0</v>
      </c>
      <c r="AV29" s="15">
        <f t="shared" si="7"/>
        <v>0</v>
      </c>
      <c r="AW29" s="15">
        <f>AVERAGE(15,15,15,15)</f>
        <v>15</v>
      </c>
      <c r="AX29" s="15">
        <f>AVERAGE(25,25,25,25)</f>
        <v>25</v>
      </c>
      <c r="AY29" s="15">
        <f>AVERAGE(15,15,15,15)</f>
        <v>15</v>
      </c>
      <c r="AZ29" s="5"/>
    </row>
    <row r="30" spans="1:52" ht="14.2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 t="s">
        <v>407</v>
      </c>
      <c r="N30" s="17">
        <v>1</v>
      </c>
      <c r="O30" s="15">
        <v>53.409090909090899</v>
      </c>
      <c r="P30" s="15">
        <v>4.1470588235294104</v>
      </c>
      <c r="Q30" s="15">
        <v>1652.57142857143</v>
      </c>
      <c r="R30" s="15">
        <v>4.4285714285714297</v>
      </c>
      <c r="S30" s="15">
        <v>5.3333333333333401</v>
      </c>
      <c r="T30" s="17" t="s">
        <v>407</v>
      </c>
      <c r="U30" s="5">
        <v>27.5</v>
      </c>
      <c r="V30" s="5">
        <v>5.0999999999999996</v>
      </c>
      <c r="W30" s="17" t="s">
        <v>407</v>
      </c>
      <c r="X30" s="19">
        <v>145.69999999999999</v>
      </c>
      <c r="Y30" s="19">
        <v>7</v>
      </c>
      <c r="Z30" s="2">
        <v>5.99</v>
      </c>
      <c r="AA30" s="17" t="s">
        <v>407</v>
      </c>
      <c r="AB30" s="20">
        <v>76</v>
      </c>
      <c r="AC30" s="21">
        <f>1/(AVERAGE(14.98,22.13,26.78))</f>
        <v>4.6955705118171855E-2</v>
      </c>
      <c r="AD30" s="19">
        <f>AVERAGE(3,4)</f>
        <v>3.5</v>
      </c>
      <c r="AE30" s="15">
        <v>20</v>
      </c>
      <c r="AF30" s="19">
        <f>AVERAGE(10,20,19)</f>
        <v>16.333333333333332</v>
      </c>
      <c r="AG30" s="15">
        <f>AVERAGE(13,13,13,13)</f>
        <v>13</v>
      </c>
      <c r="AH30" s="2">
        <v>2.2400000000000002</v>
      </c>
      <c r="AI30" s="15">
        <f>AVERAGE(5,5,5,5)</f>
        <v>5</v>
      </c>
      <c r="AJ30" s="15">
        <f>AVERAGE(95,95,95,95)</f>
        <v>95</v>
      </c>
      <c r="AK30" s="15">
        <f t="shared" si="6"/>
        <v>0</v>
      </c>
      <c r="AL30" s="15">
        <f t="shared" si="6"/>
        <v>0</v>
      </c>
      <c r="AM30" s="15">
        <f t="shared" si="6"/>
        <v>0</v>
      </c>
      <c r="AN30" s="15">
        <f t="shared" si="6"/>
        <v>0</v>
      </c>
      <c r="AO30" s="15">
        <f t="shared" si="6"/>
        <v>0</v>
      </c>
      <c r="AP30" s="15">
        <f t="shared" si="6"/>
        <v>0</v>
      </c>
      <c r="AQ30" s="15">
        <f t="shared" si="6"/>
        <v>0</v>
      </c>
      <c r="AR30" s="15">
        <f t="shared" si="6"/>
        <v>0</v>
      </c>
      <c r="AS30" s="15">
        <f>AVERAGE(60,60,60,60)</f>
        <v>60</v>
      </c>
      <c r="AT30" s="15">
        <f>AVERAGE(5,5,5,5)</f>
        <v>5</v>
      </c>
      <c r="AU30" s="15">
        <f t="shared" si="7"/>
        <v>0</v>
      </c>
      <c r="AV30" s="15">
        <f t="shared" si="7"/>
        <v>0</v>
      </c>
      <c r="AW30" s="15">
        <f>AVERAGE(20,20,20,20)</f>
        <v>20</v>
      </c>
      <c r="AX30" s="15">
        <f>AVERAGE(15,15,15,15)</f>
        <v>15</v>
      </c>
      <c r="AY30" s="15">
        <f>AVERAGE(10,10,10,10)</f>
        <v>10</v>
      </c>
      <c r="AZ30" s="5"/>
    </row>
    <row r="31" spans="1:52" ht="14.2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 t="s">
        <v>407</v>
      </c>
      <c r="N31" s="17">
        <v>2</v>
      </c>
      <c r="O31" s="15">
        <v>125.681818181818</v>
      </c>
      <c r="P31" s="15">
        <v>6.2058823529411802</v>
      </c>
      <c r="Q31" s="15">
        <v>2046.8571428571399</v>
      </c>
      <c r="R31" s="15">
        <v>7.28571428571429</v>
      </c>
      <c r="S31" s="15">
        <v>12</v>
      </c>
      <c r="T31" s="17" t="s">
        <v>407</v>
      </c>
      <c r="U31" s="5">
        <v>27.9</v>
      </c>
      <c r="V31" s="5">
        <v>6.5</v>
      </c>
      <c r="W31" s="17" t="s">
        <v>407</v>
      </c>
      <c r="X31" s="19">
        <v>117</v>
      </c>
      <c r="Y31" s="19">
        <v>28</v>
      </c>
      <c r="Z31" s="2">
        <v>6.46</v>
      </c>
      <c r="AA31" s="17" t="s">
        <v>407</v>
      </c>
      <c r="AB31" s="20">
        <v>76</v>
      </c>
      <c r="AC31" s="21">
        <f>1/(AVERAGE(2.77,1.84,2.08,2.24,2.1,1.88,2.29))</f>
        <v>0.46052631578947373</v>
      </c>
      <c r="AD31" s="19">
        <f>AVERAGE(3,3)</f>
        <v>3</v>
      </c>
      <c r="AE31" s="15">
        <v>17</v>
      </c>
      <c r="AF31" s="19">
        <f>AVERAGE(10,17,15)</f>
        <v>14</v>
      </c>
      <c r="AG31" s="15">
        <f>AVERAGE(11,11,11,11)</f>
        <v>11</v>
      </c>
      <c r="AH31" s="10">
        <v>1.4</v>
      </c>
      <c r="AI31" s="15">
        <f>AVERAGE(5,5,5,5)</f>
        <v>5</v>
      </c>
      <c r="AJ31" s="15">
        <f>AVERAGE(95,95,95,95)</f>
        <v>95</v>
      </c>
      <c r="AK31" s="15">
        <f t="shared" si="6"/>
        <v>0</v>
      </c>
      <c r="AL31" s="15">
        <f t="shared" si="6"/>
        <v>0</v>
      </c>
      <c r="AM31" s="15">
        <f t="shared" si="6"/>
        <v>0</v>
      </c>
      <c r="AN31" s="15">
        <f t="shared" si="6"/>
        <v>0</v>
      </c>
      <c r="AO31" s="15">
        <f t="shared" si="6"/>
        <v>0</v>
      </c>
      <c r="AP31" s="15">
        <f t="shared" si="6"/>
        <v>0</v>
      </c>
      <c r="AQ31" s="15">
        <f t="shared" si="6"/>
        <v>0</v>
      </c>
      <c r="AR31" s="15">
        <f t="shared" si="6"/>
        <v>0</v>
      </c>
      <c r="AS31" s="15">
        <f>AVERAGE(50,50,50,50)</f>
        <v>50</v>
      </c>
      <c r="AT31" s="15">
        <f>AVERAGE(5,5,5,5)</f>
        <v>5</v>
      </c>
      <c r="AU31" s="15">
        <f t="shared" si="7"/>
        <v>0</v>
      </c>
      <c r="AV31" s="15">
        <f t="shared" si="7"/>
        <v>0</v>
      </c>
      <c r="AW31" s="15">
        <f>AVERAGE(15,15,15,15)</f>
        <v>15</v>
      </c>
      <c r="AX31" s="15">
        <f>AVERAGE(15,15,15,15)</f>
        <v>15</v>
      </c>
      <c r="AY31" s="15">
        <f>AVERAGE(15,15,15,15)</f>
        <v>15</v>
      </c>
      <c r="AZ31" s="5"/>
    </row>
    <row r="32" spans="1:52" ht="14.2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 t="s">
        <v>407</v>
      </c>
      <c r="N32" s="17">
        <v>3</v>
      </c>
      <c r="O32" s="15">
        <v>103.40909090909101</v>
      </c>
      <c r="P32" s="15">
        <v>4.7352941176470598</v>
      </c>
      <c r="Q32" s="15">
        <v>2309.7142857142899</v>
      </c>
      <c r="R32" s="15">
        <v>5.8571428571428603</v>
      </c>
      <c r="S32" s="15">
        <v>7</v>
      </c>
      <c r="T32" s="17" t="s">
        <v>407</v>
      </c>
      <c r="U32" s="15">
        <v>28</v>
      </c>
      <c r="V32" s="5">
        <v>6.8</v>
      </c>
      <c r="W32" s="17" t="s">
        <v>407</v>
      </c>
      <c r="X32" s="19">
        <v>184.2</v>
      </c>
      <c r="Y32" s="19">
        <v>14</v>
      </c>
      <c r="Z32" s="2">
        <v>6.31</v>
      </c>
      <c r="AA32" s="17" t="s">
        <v>407</v>
      </c>
      <c r="AB32" s="20">
        <v>76</v>
      </c>
      <c r="AC32" s="21">
        <f>1/(AVERAGE(5.15,5.18,5.89,6.33,8.85,6.79,7))</f>
        <v>0.15490152688647932</v>
      </c>
      <c r="AD32" s="19">
        <f>AVERAGE(3,3)</f>
        <v>3</v>
      </c>
      <c r="AE32" s="15">
        <v>19</v>
      </c>
      <c r="AF32" s="19">
        <f>AVERAGE(4,9,19)</f>
        <v>10.666666666666666</v>
      </c>
      <c r="AG32" s="15">
        <f>AVERAGE(10,10,10,10)</f>
        <v>10</v>
      </c>
      <c r="AH32" s="2">
        <v>0.96</v>
      </c>
      <c r="AI32" s="15">
        <f>AVERAGE(5,5,5,5)</f>
        <v>5</v>
      </c>
      <c r="AJ32" s="15">
        <f>AVERAGE(90,90,90,90)</f>
        <v>90</v>
      </c>
      <c r="AK32" s="15">
        <f>AVERAGE(5,5,5,5)</f>
        <v>5</v>
      </c>
      <c r="AL32" s="15">
        <f t="shared" si="6"/>
        <v>0</v>
      </c>
      <c r="AM32" s="15">
        <f t="shared" si="6"/>
        <v>0</v>
      </c>
      <c r="AN32" s="15">
        <f t="shared" si="6"/>
        <v>0</v>
      </c>
      <c r="AO32" s="15">
        <f t="shared" si="6"/>
        <v>0</v>
      </c>
      <c r="AP32" s="15">
        <f t="shared" si="6"/>
        <v>0</v>
      </c>
      <c r="AQ32" s="15">
        <f t="shared" si="6"/>
        <v>0</v>
      </c>
      <c r="AR32" s="15">
        <f t="shared" si="6"/>
        <v>0</v>
      </c>
      <c r="AS32" s="15">
        <f>AVERAGE(60,60,60,60)</f>
        <v>60</v>
      </c>
      <c r="AT32" s="15">
        <f>AVERAGE(5,5,5,5)</f>
        <v>5</v>
      </c>
      <c r="AU32" s="15">
        <f t="shared" si="7"/>
        <v>0</v>
      </c>
      <c r="AV32" s="15">
        <f t="shared" si="7"/>
        <v>0</v>
      </c>
      <c r="AW32" s="15">
        <f>AVERAGE(10,10,10,10)</f>
        <v>10</v>
      </c>
      <c r="AX32" s="15">
        <f>AVERAGE(15,15,15,15)</f>
        <v>15</v>
      </c>
      <c r="AY32" s="15">
        <f>AVERAGE(15,15,15,15)</f>
        <v>15</v>
      </c>
      <c r="AZ32" s="5"/>
    </row>
    <row r="33" spans="1:52" ht="14.2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 t="s">
        <v>407</v>
      </c>
      <c r="N33" s="17">
        <v>1</v>
      </c>
      <c r="O33" s="15">
        <v>173.863636363636</v>
      </c>
      <c r="P33" s="15">
        <v>1.20588235294118</v>
      </c>
      <c r="Q33" s="15">
        <v>352.57142857142901</v>
      </c>
      <c r="R33" s="15">
        <v>5.8571428571428603</v>
      </c>
      <c r="S33" s="15">
        <v>7</v>
      </c>
      <c r="T33" s="17" t="s">
        <v>407</v>
      </c>
      <c r="U33" s="5">
        <v>29.3</v>
      </c>
      <c r="V33" s="5">
        <v>5.4</v>
      </c>
      <c r="W33" s="17" t="s">
        <v>407</v>
      </c>
      <c r="X33" s="19">
        <v>250.8</v>
      </c>
      <c r="Y33" s="19">
        <v>11</v>
      </c>
      <c r="Z33" s="2">
        <v>6.37</v>
      </c>
      <c r="AA33" s="17" t="s">
        <v>407</v>
      </c>
      <c r="AB33" s="20">
        <v>86</v>
      </c>
      <c r="AC33" s="21">
        <f>1/(AVERAGE(6.79,6.23,6.76,5.91,6.23,5.73,6.35))</f>
        <v>0.15909090909090906</v>
      </c>
      <c r="AD33" s="2">
        <f>AVERAGE(2,3)</f>
        <v>2.5</v>
      </c>
      <c r="AE33" s="15">
        <v>30</v>
      </c>
      <c r="AF33" s="19">
        <f>AVERAGE(21,30,27)</f>
        <v>26</v>
      </c>
      <c r="AG33" s="15">
        <f>AVERAGE(14,14,14,14)</f>
        <v>14</v>
      </c>
      <c r="AH33" s="2">
        <v>1.08</v>
      </c>
      <c r="AI33" s="15">
        <f>AVERAGE(10,10,10,10)</f>
        <v>10</v>
      </c>
      <c r="AJ33" s="15">
        <f>AVERAGE(90,90,90,90)</f>
        <v>90</v>
      </c>
      <c r="AK33" s="15">
        <f>AVERAGE(0,0,0,0)</f>
        <v>0</v>
      </c>
      <c r="AL33" s="15">
        <f t="shared" si="6"/>
        <v>0</v>
      </c>
      <c r="AM33" s="15">
        <f t="shared" si="6"/>
        <v>0</v>
      </c>
      <c r="AN33" s="15">
        <f t="shared" si="6"/>
        <v>0</v>
      </c>
      <c r="AO33" s="15">
        <f t="shared" si="6"/>
        <v>0</v>
      </c>
      <c r="AP33" s="15">
        <f t="shared" si="6"/>
        <v>0</v>
      </c>
      <c r="AQ33" s="15">
        <f t="shared" si="6"/>
        <v>0</v>
      </c>
      <c r="AR33" s="15">
        <f t="shared" si="6"/>
        <v>0</v>
      </c>
      <c r="AS33" s="15">
        <f>AVERAGE(40,40,40,40)</f>
        <v>40</v>
      </c>
      <c r="AT33" s="19">
        <f>AVERAGE(10,10,10,10)</f>
        <v>10</v>
      </c>
      <c r="AU33" s="15">
        <f t="shared" si="7"/>
        <v>0</v>
      </c>
      <c r="AV33" s="15">
        <f t="shared" si="7"/>
        <v>0</v>
      </c>
      <c r="AW33" s="15">
        <f>AVERAGE(5,5,5,5)</f>
        <v>5</v>
      </c>
      <c r="AX33" s="15">
        <f>AVERAGE(10,10,10,10)</f>
        <v>10</v>
      </c>
      <c r="AY33" s="15">
        <f>AVERAGE(10,10,10,10)</f>
        <v>10</v>
      </c>
      <c r="AZ33" s="5"/>
    </row>
    <row r="34" spans="1:52" ht="14.2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 t="s">
        <v>407</v>
      </c>
      <c r="N34" s="17">
        <v>2</v>
      </c>
      <c r="O34" s="15">
        <v>141.136363636364</v>
      </c>
      <c r="P34" s="15">
        <v>2.6764705882352899</v>
      </c>
      <c r="Q34" s="15">
        <v>908.28571428571399</v>
      </c>
      <c r="R34" s="15">
        <v>8.7142857142857206</v>
      </c>
      <c r="S34" s="15">
        <v>15.3333333333333</v>
      </c>
      <c r="T34" s="17" t="s">
        <v>407</v>
      </c>
      <c r="U34" s="5">
        <v>29.1</v>
      </c>
      <c r="V34" s="15">
        <v>5</v>
      </c>
      <c r="W34" s="17" t="s">
        <v>407</v>
      </c>
      <c r="X34" s="19">
        <v>232.3</v>
      </c>
      <c r="Y34" s="19">
        <v>8</v>
      </c>
      <c r="Z34" s="2">
        <v>6.27</v>
      </c>
      <c r="AA34" s="17" t="s">
        <v>407</v>
      </c>
      <c r="AB34" s="20">
        <v>86</v>
      </c>
      <c r="AC34" s="21">
        <f>1/(AVERAGE(9.25,8.36,10.74,8.45,9.79,10.12,8.1))</f>
        <v>0.10800802345317083</v>
      </c>
      <c r="AD34" s="2">
        <f>AVERAGE(2,3)</f>
        <v>2.5</v>
      </c>
      <c r="AE34" s="15">
        <v>22</v>
      </c>
      <c r="AF34" s="19">
        <f>AVERAGE(22,20,21)</f>
        <v>21</v>
      </c>
      <c r="AG34" s="15">
        <f>AVERAGE(19,19,19,19)</f>
        <v>19</v>
      </c>
      <c r="AH34" s="2">
        <v>0.56000000000000005</v>
      </c>
      <c r="AI34" s="15">
        <f>AVERAGE(10,10,10,10)</f>
        <v>10</v>
      </c>
      <c r="AJ34" s="15">
        <f>AVERAGE(90,90,90,90)</f>
        <v>90</v>
      </c>
      <c r="AK34" s="15">
        <f>AVERAGE(0,0,0,0)</f>
        <v>0</v>
      </c>
      <c r="AL34" s="15">
        <f t="shared" si="6"/>
        <v>0</v>
      </c>
      <c r="AM34" s="15">
        <f t="shared" si="6"/>
        <v>0</v>
      </c>
      <c r="AN34" s="15">
        <f t="shared" si="6"/>
        <v>0</v>
      </c>
      <c r="AO34" s="15">
        <f t="shared" si="6"/>
        <v>0</v>
      </c>
      <c r="AP34" s="15">
        <f t="shared" si="6"/>
        <v>0</v>
      </c>
      <c r="AQ34" s="15">
        <f t="shared" si="6"/>
        <v>0</v>
      </c>
      <c r="AR34" s="15">
        <f t="shared" si="6"/>
        <v>0</v>
      </c>
      <c r="AS34" s="19">
        <f>AVERAGE(40,40,40,40)</f>
        <v>40</v>
      </c>
      <c r="AT34" s="19">
        <f>AVERAGE(5,5,5,5)</f>
        <v>5</v>
      </c>
      <c r="AU34" s="15">
        <f t="shared" si="7"/>
        <v>0</v>
      </c>
      <c r="AV34" s="15">
        <f t="shared" si="7"/>
        <v>0</v>
      </c>
      <c r="AW34" s="15">
        <f>AVERAGE(0,0,0,0)</f>
        <v>0</v>
      </c>
      <c r="AX34" s="15">
        <f>AVERAGE(5,5,5,5)</f>
        <v>5</v>
      </c>
      <c r="AY34" s="15">
        <f>AVERAGE(5,5,5,5)</f>
        <v>5</v>
      </c>
      <c r="AZ34" s="5"/>
    </row>
    <row r="35" spans="1:52" ht="14.2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 t="s">
        <v>407</v>
      </c>
      <c r="N35" s="17">
        <v>3</v>
      </c>
      <c r="O35" s="15">
        <v>191.59090909090901</v>
      </c>
      <c r="P35" s="15">
        <v>2.6764705882352899</v>
      </c>
      <c r="Q35" s="15">
        <v>1044</v>
      </c>
      <c r="R35" s="15">
        <v>7.28571428571429</v>
      </c>
      <c r="S35" s="15">
        <v>33.6666666666667</v>
      </c>
      <c r="T35" s="17" t="s">
        <v>407</v>
      </c>
      <c r="U35" s="15">
        <v>29</v>
      </c>
      <c r="V35" s="5">
        <v>5.4</v>
      </c>
      <c r="W35" s="17" t="s">
        <v>407</v>
      </c>
      <c r="X35" s="19">
        <v>243</v>
      </c>
      <c r="Y35" s="19">
        <v>21</v>
      </c>
      <c r="Z35" s="2">
        <v>6.57</v>
      </c>
      <c r="AA35" s="17" t="s">
        <v>407</v>
      </c>
      <c r="AB35" s="20">
        <v>86</v>
      </c>
      <c r="AC35" s="21">
        <f>1/(AVERAGE(10.79,9.69,10.11,12.72,11.58,10.95,11.72))</f>
        <v>9.0252707581227457E-2</v>
      </c>
      <c r="AD35" s="2">
        <f>AVERAGE(1,2)</f>
        <v>1.5</v>
      </c>
      <c r="AE35" s="15">
        <v>14</v>
      </c>
      <c r="AF35" s="19">
        <f>AVERAGE(12,14,6)</f>
        <v>10.666666666666666</v>
      </c>
      <c r="AG35" s="15">
        <f>AVERAGE(23,23,23,23)</f>
        <v>23</v>
      </c>
      <c r="AH35" s="2">
        <v>1.1499999999999999</v>
      </c>
      <c r="AI35" s="15">
        <f>AVERAGE(10,10,10,10)</f>
        <v>10</v>
      </c>
      <c r="AJ35" s="15">
        <f>AVERAGE(80,80,80,80)</f>
        <v>80</v>
      </c>
      <c r="AK35" s="15">
        <f>AVERAGE(10,10,10,10)</f>
        <v>10</v>
      </c>
      <c r="AL35" s="15">
        <f t="shared" si="6"/>
        <v>0</v>
      </c>
      <c r="AM35" s="15">
        <f t="shared" si="6"/>
        <v>0</v>
      </c>
      <c r="AN35" s="15">
        <f t="shared" si="6"/>
        <v>0</v>
      </c>
      <c r="AO35" s="15">
        <f t="shared" si="6"/>
        <v>0</v>
      </c>
      <c r="AP35" s="15">
        <f t="shared" si="6"/>
        <v>0</v>
      </c>
      <c r="AQ35" s="15">
        <f t="shared" si="6"/>
        <v>0</v>
      </c>
      <c r="AR35" s="15">
        <f t="shared" si="6"/>
        <v>0</v>
      </c>
      <c r="AS35" s="19">
        <f>AVERAGE(40,40,40,40)</f>
        <v>40</v>
      </c>
      <c r="AT35" s="19">
        <f>AVERAGE(5,5,5,5)</f>
        <v>5</v>
      </c>
      <c r="AU35" s="15">
        <f t="shared" si="7"/>
        <v>0</v>
      </c>
      <c r="AV35" s="15">
        <f t="shared" si="7"/>
        <v>0</v>
      </c>
      <c r="AW35" s="15">
        <f>AVERAGE(10,10,10,10)</f>
        <v>10</v>
      </c>
      <c r="AX35" s="15">
        <f>AVERAGE(15,15,15,15)</f>
        <v>15</v>
      </c>
      <c r="AY35" s="15">
        <f>AVERAGE(25,25,25,25)</f>
        <v>25</v>
      </c>
      <c r="AZ35" s="5"/>
    </row>
    <row r="36" spans="1:52" ht="14.2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 t="s">
        <v>407</v>
      </c>
      <c r="N36" s="17">
        <v>1</v>
      </c>
      <c r="O36" s="15">
        <v>61.590909090909101</v>
      </c>
      <c r="P36" s="15">
        <v>10.323529411764699</v>
      </c>
      <c r="Q36" s="15">
        <v>4106.8571428571404</v>
      </c>
      <c r="R36" s="15">
        <v>7.28571428571429</v>
      </c>
      <c r="S36" s="15">
        <v>10.3333333333333</v>
      </c>
      <c r="T36" s="17" t="s">
        <v>407</v>
      </c>
      <c r="U36" s="5">
        <v>31.4</v>
      </c>
      <c r="V36" s="5">
        <v>7.1</v>
      </c>
      <c r="W36" s="17" t="s">
        <v>407</v>
      </c>
      <c r="X36" s="2">
        <v>139.1</v>
      </c>
      <c r="Y36" s="19">
        <v>8</v>
      </c>
      <c r="Z36" s="2">
        <v>6.5</v>
      </c>
      <c r="AA36" s="17" t="s">
        <v>407</v>
      </c>
      <c r="AB36" s="20">
        <v>76</v>
      </c>
      <c r="AC36" s="21">
        <v>0</v>
      </c>
      <c r="AD36" s="19">
        <f>AVERAGE(1,1)</f>
        <v>1</v>
      </c>
      <c r="AE36" s="15">
        <v>200</v>
      </c>
      <c r="AF36" s="19">
        <f>AVERAGE(40,40,40,40)</f>
        <v>40</v>
      </c>
      <c r="AG36" s="15">
        <f>AVERAGE(18,18,18,18)</f>
        <v>18</v>
      </c>
      <c r="AH36" s="2">
        <v>12.22</v>
      </c>
      <c r="AI36" s="15">
        <f>AVERAGE(100,100,100,100)</f>
        <v>100</v>
      </c>
      <c r="AJ36" s="15">
        <f t="shared" ref="AJ36:AK38" si="8">AVERAGE(0,0,0,0)</f>
        <v>0</v>
      </c>
      <c r="AK36" s="15">
        <f t="shared" si="8"/>
        <v>0</v>
      </c>
      <c r="AL36" s="15">
        <f t="shared" si="6"/>
        <v>0</v>
      </c>
      <c r="AM36" s="15">
        <f t="shared" si="6"/>
        <v>0</v>
      </c>
      <c r="AN36" s="15">
        <f t="shared" si="6"/>
        <v>0</v>
      </c>
      <c r="AO36" s="15">
        <f t="shared" si="6"/>
        <v>0</v>
      </c>
      <c r="AP36" s="15">
        <f>AVERAGE(0+25,0+25,0+25,0+25)</f>
        <v>25</v>
      </c>
      <c r="AQ36" s="15">
        <f>AVERAGE(50,50,50,50)</f>
        <v>50</v>
      </c>
      <c r="AR36" s="15">
        <f>AVERAGE(20,20,20,20)</f>
        <v>20</v>
      </c>
      <c r="AS36" s="15">
        <f>AVERAGE(5,5,5,5)</f>
        <v>5</v>
      </c>
      <c r="AT36" s="15">
        <f>AVERAGE(5,5,5,5)</f>
        <v>5</v>
      </c>
      <c r="AU36" s="15">
        <f t="shared" si="7"/>
        <v>0</v>
      </c>
      <c r="AV36" s="15">
        <f t="shared" si="7"/>
        <v>0</v>
      </c>
      <c r="AW36" s="15">
        <f>AVERAGE(5,5,5,5)</f>
        <v>5</v>
      </c>
      <c r="AX36" s="15">
        <f>AVERAGE(5,5,5,5)</f>
        <v>5</v>
      </c>
      <c r="AY36" s="15">
        <f>AVERAGE(5,5,5,5)</f>
        <v>5</v>
      </c>
      <c r="AZ36" s="5"/>
    </row>
    <row r="37" spans="1:52" ht="14.2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 t="s">
        <v>407</v>
      </c>
      <c r="N37" s="17">
        <v>2</v>
      </c>
      <c r="O37" s="15">
        <v>73.863636363636402</v>
      </c>
      <c r="P37" s="15">
        <v>5.0294117647058796</v>
      </c>
      <c r="Q37" s="15">
        <v>322.57142857142901</v>
      </c>
      <c r="R37" s="15">
        <v>13</v>
      </c>
      <c r="S37" s="15">
        <v>15.3333333333333</v>
      </c>
      <c r="T37" s="17" t="s">
        <v>407</v>
      </c>
      <c r="U37" s="5">
        <v>32.700000000000003</v>
      </c>
      <c r="V37" s="5">
        <v>6.4</v>
      </c>
      <c r="W37" s="17" t="s">
        <v>407</v>
      </c>
      <c r="X37" s="2">
        <v>162.19999999999999</v>
      </c>
      <c r="Y37" s="19">
        <v>5</v>
      </c>
      <c r="Z37" s="2">
        <v>6.3</v>
      </c>
      <c r="AA37" s="17" t="s">
        <v>407</v>
      </c>
      <c r="AB37" s="20">
        <v>76</v>
      </c>
      <c r="AC37" s="21">
        <v>0</v>
      </c>
      <c r="AD37" s="19">
        <f>AVERAGE(1,1)</f>
        <v>1</v>
      </c>
      <c r="AE37" s="15">
        <v>200</v>
      </c>
      <c r="AF37" s="19">
        <f>AVERAGE(41,41,41,41)</f>
        <v>41</v>
      </c>
      <c r="AG37" s="15">
        <f>AVERAGE(27,27,27,27)</f>
        <v>27</v>
      </c>
      <c r="AH37" s="2">
        <v>8.4600000000000009</v>
      </c>
      <c r="AI37" s="15">
        <f>AVERAGE(100,100,100,100)</f>
        <v>100</v>
      </c>
      <c r="AJ37" s="15">
        <f t="shared" si="8"/>
        <v>0</v>
      </c>
      <c r="AK37" s="15">
        <f t="shared" si="8"/>
        <v>0</v>
      </c>
      <c r="AL37" s="15">
        <f t="shared" si="6"/>
        <v>0</v>
      </c>
      <c r="AM37" s="15">
        <f t="shared" si="6"/>
        <v>0</v>
      </c>
      <c r="AN37" s="15">
        <f t="shared" si="6"/>
        <v>0</v>
      </c>
      <c r="AO37" s="15">
        <f t="shared" si="6"/>
        <v>0</v>
      </c>
      <c r="AP37" s="15">
        <f>AVERAGE(25+25,25+25,25+25,25+25)</f>
        <v>50</v>
      </c>
      <c r="AQ37" s="15">
        <f>AVERAGE(50,50,50,50)</f>
        <v>50</v>
      </c>
      <c r="AR37" s="15">
        <f>AVERAGE(20,20,20,20)</f>
        <v>20</v>
      </c>
      <c r="AS37" s="15">
        <f>AVERAGE(0,0,0,0)</f>
        <v>0</v>
      </c>
      <c r="AT37" s="15">
        <f>AVERAGE(0,0,0,0)</f>
        <v>0</v>
      </c>
      <c r="AU37" s="15">
        <f t="shared" si="7"/>
        <v>0</v>
      </c>
      <c r="AV37" s="15">
        <f t="shared" si="7"/>
        <v>0</v>
      </c>
      <c r="AW37" s="15">
        <f t="shared" si="7"/>
        <v>0</v>
      </c>
      <c r="AX37" s="15">
        <f t="shared" si="7"/>
        <v>0</v>
      </c>
      <c r="AY37" s="15">
        <f t="shared" si="7"/>
        <v>0</v>
      </c>
      <c r="AZ37" s="5"/>
    </row>
    <row r="38" spans="1:52" ht="14.2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 t="s">
        <v>407</v>
      </c>
      <c r="N38" s="17">
        <v>3</v>
      </c>
      <c r="O38" s="15">
        <v>67.954545454545496</v>
      </c>
      <c r="P38" s="15">
        <v>4.7352941176470598</v>
      </c>
      <c r="Q38" s="15">
        <v>442.57142857142901</v>
      </c>
      <c r="R38" s="15">
        <v>75.857142857142904</v>
      </c>
      <c r="S38" s="15">
        <v>170.333333333333</v>
      </c>
      <c r="T38" s="17" t="s">
        <v>407</v>
      </c>
      <c r="U38" s="5">
        <v>33.4</v>
      </c>
      <c r="V38" s="5">
        <v>7.3</v>
      </c>
      <c r="W38" s="17" t="s">
        <v>407</v>
      </c>
      <c r="X38" s="2">
        <v>156.4</v>
      </c>
      <c r="Y38" s="19">
        <v>12</v>
      </c>
      <c r="Z38" s="2">
        <v>6.8</v>
      </c>
      <c r="AA38" s="17" t="s">
        <v>407</v>
      </c>
      <c r="AB38" s="20">
        <v>76</v>
      </c>
      <c r="AC38" s="21">
        <v>0</v>
      </c>
      <c r="AD38" s="19">
        <f>AVERAGE(1,1)</f>
        <v>1</v>
      </c>
      <c r="AE38" s="15">
        <v>200</v>
      </c>
      <c r="AF38" s="19">
        <f>AVERAGE(42,42,42,42)</f>
        <v>42</v>
      </c>
      <c r="AG38" s="15">
        <f>AVERAGE(33,33,33,33)</f>
        <v>33</v>
      </c>
      <c r="AH38" s="2">
        <v>18.760000000000002</v>
      </c>
      <c r="AI38" s="15">
        <f>AVERAGE(100,100,100,100)</f>
        <v>100</v>
      </c>
      <c r="AJ38" s="15">
        <f t="shared" si="8"/>
        <v>0</v>
      </c>
      <c r="AK38" s="15">
        <f t="shared" si="8"/>
        <v>0</v>
      </c>
      <c r="AL38" s="15">
        <f t="shared" si="6"/>
        <v>0</v>
      </c>
      <c r="AM38" s="15">
        <f t="shared" si="6"/>
        <v>0</v>
      </c>
      <c r="AN38" s="15">
        <f t="shared" si="6"/>
        <v>0</v>
      </c>
      <c r="AO38" s="15">
        <f t="shared" si="6"/>
        <v>0</v>
      </c>
      <c r="AP38" s="15">
        <f>AVERAGE(30+20,30+20,30+20,30+20)</f>
        <v>50</v>
      </c>
      <c r="AQ38" s="15">
        <f>AVERAGE(40,40,40,40)</f>
        <v>40</v>
      </c>
      <c r="AR38" s="15">
        <f>AVERAGE(20,20,20,20)</f>
        <v>20</v>
      </c>
      <c r="AS38" s="15">
        <f>AVERAGE(0,0,0,0)</f>
        <v>0</v>
      </c>
      <c r="AT38" s="15">
        <f>AVERAGE(0,0,0,0)</f>
        <v>0</v>
      </c>
      <c r="AU38" s="15">
        <f t="shared" si="7"/>
        <v>0</v>
      </c>
      <c r="AV38" s="15">
        <f t="shared" si="7"/>
        <v>0</v>
      </c>
      <c r="AW38" s="15">
        <f t="shared" si="7"/>
        <v>0</v>
      </c>
      <c r="AX38" s="15">
        <f t="shared" si="7"/>
        <v>0</v>
      </c>
      <c r="AY38" s="15">
        <f t="shared" si="7"/>
        <v>0</v>
      </c>
      <c r="AZ38" s="5"/>
    </row>
    <row r="39" spans="1:52" ht="14.2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 t="s">
        <v>407</v>
      </c>
      <c r="N39" s="17">
        <v>1</v>
      </c>
      <c r="O39" s="15">
        <v>80.227272727272705</v>
      </c>
      <c r="P39" s="15">
        <v>2.6764705882352899</v>
      </c>
      <c r="Q39" s="15">
        <v>461.142857142857</v>
      </c>
      <c r="R39" s="15">
        <v>8.7142857142857206</v>
      </c>
      <c r="S39" s="15">
        <v>12</v>
      </c>
      <c r="T39" s="17" t="s">
        <v>407</v>
      </c>
      <c r="U39" s="5">
        <v>28.8</v>
      </c>
      <c r="V39" s="5">
        <v>6.1</v>
      </c>
      <c r="W39" s="17" t="s">
        <v>407</v>
      </c>
      <c r="X39" s="2">
        <v>127.9</v>
      </c>
      <c r="Y39" s="2">
        <v>13.5</v>
      </c>
      <c r="Z39" s="2">
        <v>6.6</v>
      </c>
      <c r="AA39" s="17" t="s">
        <v>407</v>
      </c>
      <c r="AB39" s="20">
        <v>49</v>
      </c>
      <c r="AC39" s="21">
        <f>1/(AVERAGE(11.08,8.98,10.67,10.97,13.85,11.08,11.04,13.94,16.38,11.31))</f>
        <v>8.3822296730930418E-2</v>
      </c>
      <c r="AD39" s="19">
        <f>AVERAGE(2,1)</f>
        <v>1.5</v>
      </c>
      <c r="AE39" s="15">
        <v>100</v>
      </c>
      <c r="AF39" s="19">
        <f>AVERAGE(100,98,98)</f>
        <v>98.666666666666671</v>
      </c>
      <c r="AG39" s="15">
        <f>AVERAGE(100,100,100,100)</f>
        <v>100</v>
      </c>
      <c r="AH39" s="10">
        <v>5.5</v>
      </c>
      <c r="AI39" s="15">
        <f>AVERAGE(95,95,95,95)</f>
        <v>95</v>
      </c>
      <c r="AJ39" s="15">
        <f>AVERAGE(5,5,5,5)</f>
        <v>5</v>
      </c>
      <c r="AK39" s="15">
        <f>AVERAGE(0,0,0,0)</f>
        <v>0</v>
      </c>
      <c r="AL39" s="15">
        <f t="shared" si="6"/>
        <v>0</v>
      </c>
      <c r="AM39" s="15">
        <f t="shared" si="6"/>
        <v>0</v>
      </c>
      <c r="AN39" s="15">
        <f t="shared" si="6"/>
        <v>0</v>
      </c>
      <c r="AO39" s="15">
        <f t="shared" si="6"/>
        <v>0</v>
      </c>
      <c r="AP39" s="15">
        <f>AVERAGE(0,0,0,0)</f>
        <v>0</v>
      </c>
      <c r="AQ39" s="15">
        <f>AVERAGE(5,5,5,5)</f>
        <v>5</v>
      </c>
      <c r="AR39" s="15">
        <f>AVERAGE(15,15,15,15)</f>
        <v>15</v>
      </c>
      <c r="AS39" s="15">
        <f>AVERAGE(10,10,10,10)</f>
        <v>10</v>
      </c>
      <c r="AT39" s="15">
        <f>AVERAGE(5,5,5,5)</f>
        <v>5</v>
      </c>
      <c r="AU39" s="15">
        <f t="shared" si="7"/>
        <v>0</v>
      </c>
      <c r="AV39" s="15">
        <f t="shared" si="7"/>
        <v>0</v>
      </c>
      <c r="AW39" s="15">
        <f>AVERAGE(15,15,15,15)</f>
        <v>15</v>
      </c>
      <c r="AX39" s="15">
        <f>AVERAGE(25,25,25,25)</f>
        <v>25</v>
      </c>
      <c r="AY39" s="15">
        <f>AVERAGE(20,20,20,20)</f>
        <v>20</v>
      </c>
      <c r="AZ39" s="17"/>
    </row>
    <row r="40" spans="1:52" ht="14.2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 t="s">
        <v>407</v>
      </c>
      <c r="N40" s="17">
        <v>2</v>
      </c>
      <c r="O40" s="15">
        <v>79.318181818181799</v>
      </c>
      <c r="P40" s="15">
        <v>3.8529411764705901</v>
      </c>
      <c r="Q40" s="15">
        <v>566.857142857143</v>
      </c>
      <c r="R40" s="15">
        <v>7.28571428571429</v>
      </c>
      <c r="S40" s="15">
        <v>22</v>
      </c>
      <c r="T40" s="17" t="s">
        <v>407</v>
      </c>
      <c r="U40" s="5">
        <v>29.1</v>
      </c>
      <c r="V40" s="5">
        <v>7.6</v>
      </c>
      <c r="W40" s="17" t="s">
        <v>407</v>
      </c>
      <c r="X40" s="2">
        <v>129.4</v>
      </c>
      <c r="Y40" s="2">
        <v>14.6</v>
      </c>
      <c r="Z40" s="2">
        <v>6.51</v>
      </c>
      <c r="AA40" s="17" t="s">
        <v>407</v>
      </c>
      <c r="AB40" s="20">
        <v>49</v>
      </c>
      <c r="AC40" s="21">
        <f>1/(AVERAGE(9.43,9.44,7.99,11.27,10.08,10.25,10.15,8.25,9.99,8.74))</f>
        <v>0.10461345329009311</v>
      </c>
      <c r="AD40" s="19">
        <f>AVERAGE(1,1)</f>
        <v>1</v>
      </c>
      <c r="AE40" s="15">
        <v>82</v>
      </c>
      <c r="AF40" s="19">
        <f>AVERAGE(64,82,64)</f>
        <v>70</v>
      </c>
      <c r="AG40" s="15">
        <f>AVERAGE(74,74,74,74)</f>
        <v>74</v>
      </c>
      <c r="AH40" s="10">
        <v>3.4</v>
      </c>
      <c r="AI40" s="15">
        <f>AVERAGE(100,100,100,100)</f>
        <v>100</v>
      </c>
      <c r="AJ40" s="15">
        <f>AVERAGE(0,0,0,0)</f>
        <v>0</v>
      </c>
      <c r="AK40" s="15">
        <f>AVERAGE(0,0,0,0)</f>
        <v>0</v>
      </c>
      <c r="AL40" s="15">
        <f t="shared" ref="AL40:AQ55" si="9">AVERAGE(0,0,0,0)</f>
        <v>0</v>
      </c>
      <c r="AM40" s="15">
        <f t="shared" si="9"/>
        <v>0</v>
      </c>
      <c r="AN40" s="15">
        <f t="shared" si="9"/>
        <v>0</v>
      </c>
      <c r="AO40" s="15">
        <f t="shared" si="9"/>
        <v>0</v>
      </c>
      <c r="AP40" s="15">
        <f>AVERAGE(0,0,0,0)</f>
        <v>0</v>
      </c>
      <c r="AQ40" s="15">
        <f>AVERAGE(5,5,5,5)</f>
        <v>5</v>
      </c>
      <c r="AR40" s="15">
        <f>AVERAGE(5,5,5,5)</f>
        <v>5</v>
      </c>
      <c r="AS40" s="15">
        <f>AVERAGE(30,30,30,30)</f>
        <v>30</v>
      </c>
      <c r="AT40" s="15">
        <f>AVERAGE(5,5,5,5)</f>
        <v>5</v>
      </c>
      <c r="AU40" s="15">
        <f t="shared" si="7"/>
        <v>0</v>
      </c>
      <c r="AV40" s="15">
        <f t="shared" si="7"/>
        <v>0</v>
      </c>
      <c r="AW40" s="15">
        <f>AVERAGE(5,5,5,5)</f>
        <v>5</v>
      </c>
      <c r="AX40" s="15">
        <f>AVERAGE(25,25,25,25)</f>
        <v>25</v>
      </c>
      <c r="AY40" s="15">
        <f>AVERAGE(20,20,20,20)</f>
        <v>20</v>
      </c>
      <c r="AZ40" s="5"/>
    </row>
    <row r="41" spans="1:52" ht="14.2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 t="s">
        <v>407</v>
      </c>
      <c r="N41" s="17">
        <v>3</v>
      </c>
      <c r="O41" s="15">
        <v>87.045454545454604</v>
      </c>
      <c r="P41" s="15">
        <v>4.1470588235294104</v>
      </c>
      <c r="Q41" s="15">
        <v>1004</v>
      </c>
      <c r="R41" s="15">
        <v>10.1428571428571</v>
      </c>
      <c r="S41" s="15">
        <v>25.3333333333333</v>
      </c>
      <c r="T41" s="17" t="s">
        <v>407</v>
      </c>
      <c r="U41" s="15">
        <v>28</v>
      </c>
      <c r="V41" s="5">
        <v>7.8</v>
      </c>
      <c r="W41" s="17" t="s">
        <v>407</v>
      </c>
      <c r="X41" s="2">
        <v>130.6</v>
      </c>
      <c r="Y41" s="2">
        <v>11.9</v>
      </c>
      <c r="Z41" s="2">
        <v>6.52</v>
      </c>
      <c r="AA41" s="17" t="s">
        <v>407</v>
      </c>
      <c r="AB41" s="20">
        <v>49</v>
      </c>
      <c r="AC41" s="21">
        <f>1/(AVERAGE(16.49,7.08,9.79,10.18,6.29,6.64,7.97,7.72,8.71,6.09))</f>
        <v>0.11499540018399262</v>
      </c>
      <c r="AD41" s="19">
        <f>AVERAGE(1,1)</f>
        <v>1</v>
      </c>
      <c r="AE41" s="15">
        <v>70</v>
      </c>
      <c r="AF41" s="19">
        <f>AVERAGE(66,70,45)</f>
        <v>60.333333333333336</v>
      </c>
      <c r="AG41" s="15">
        <f>AVERAGE(5,5,5,5)</f>
        <v>5</v>
      </c>
      <c r="AH41" s="10">
        <v>4.03</v>
      </c>
      <c r="AI41" s="15">
        <f>AVERAGE(90,90,90,90)</f>
        <v>90</v>
      </c>
      <c r="AJ41" s="15">
        <f>AVERAGE(0,0,0,0)</f>
        <v>0</v>
      </c>
      <c r="AK41" s="15">
        <f>AVERAGE(0,0,0,0)</f>
        <v>0</v>
      </c>
      <c r="AL41" s="15">
        <f t="shared" si="9"/>
        <v>0</v>
      </c>
      <c r="AM41" s="15">
        <f t="shared" si="9"/>
        <v>0</v>
      </c>
      <c r="AN41" s="15">
        <f>AVERAGE(10,10,10,10)</f>
        <v>10</v>
      </c>
      <c r="AO41" s="15">
        <f t="shared" si="9"/>
        <v>0</v>
      </c>
      <c r="AP41" s="15">
        <f>AVERAGE(0,0,0,0)</f>
        <v>0</v>
      </c>
      <c r="AQ41" s="15">
        <f>AVERAGE(5,5,5,5)</f>
        <v>5</v>
      </c>
      <c r="AR41" s="15">
        <f>AVERAGE(5,5,5,5)</f>
        <v>5</v>
      </c>
      <c r="AS41" s="15">
        <f>AVERAGE(15,15,15,15)</f>
        <v>15</v>
      </c>
      <c r="AT41" s="15">
        <f>AVERAGE(5,5,5,5)</f>
        <v>5</v>
      </c>
      <c r="AU41" s="15">
        <f t="shared" si="7"/>
        <v>0</v>
      </c>
      <c r="AV41" s="15">
        <f t="shared" si="7"/>
        <v>0</v>
      </c>
      <c r="AW41" s="15">
        <f>AVERAGE(5,5,5,5)</f>
        <v>5</v>
      </c>
      <c r="AX41" s="15">
        <f>AVERAGE(0,0,0,0)</f>
        <v>0</v>
      </c>
      <c r="AY41" s="15">
        <f>AVERAGE(0,0,0,0)</f>
        <v>0</v>
      </c>
      <c r="AZ41" s="5"/>
    </row>
    <row r="42" spans="1:52" ht="14.2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 t="s">
        <v>407</v>
      </c>
      <c r="N42" s="17">
        <v>1</v>
      </c>
      <c r="O42" s="15">
        <v>43.863636363636402</v>
      </c>
      <c r="P42" s="15">
        <v>3.2647058823529398</v>
      </c>
      <c r="Q42" s="15">
        <v>626.857142857143</v>
      </c>
      <c r="R42" s="15">
        <v>7.28571428571429</v>
      </c>
      <c r="S42" s="15">
        <v>8.6666666666666696</v>
      </c>
      <c r="T42" s="17" t="s">
        <v>407</v>
      </c>
      <c r="U42" s="5">
        <v>28.7</v>
      </c>
      <c r="V42" s="5">
        <v>5.4</v>
      </c>
      <c r="W42" s="17" t="s">
        <v>407</v>
      </c>
      <c r="X42" s="2">
        <v>130.69999999999999</v>
      </c>
      <c r="Y42" s="2">
        <v>11.7</v>
      </c>
      <c r="Z42" s="2">
        <v>6.84</v>
      </c>
      <c r="AA42" s="17" t="s">
        <v>407</v>
      </c>
      <c r="AB42" s="20">
        <v>47</v>
      </c>
      <c r="AC42" s="21">
        <f>1/(AVERAGE(12.77,13.58,11.74,10.54,8.53,,7.06,6.63,11.02,7.64,8.99))</f>
        <v>0.11167512690355332</v>
      </c>
      <c r="AD42" s="19">
        <f>AVERAGE(1,1)</f>
        <v>1</v>
      </c>
      <c r="AE42" s="15">
        <v>72</v>
      </c>
      <c r="AF42" s="19">
        <f>AVERAGE(72,60,58)</f>
        <v>63.333333333333336</v>
      </c>
      <c r="AG42" s="15">
        <f>AVERAGE(50,50,50,50)</f>
        <v>50</v>
      </c>
      <c r="AH42" s="10">
        <v>11.5</v>
      </c>
      <c r="AI42" s="15">
        <f>AVERAGE(100,100,100,100)</f>
        <v>100</v>
      </c>
      <c r="AJ42" s="15">
        <f>AVERAGE(0,0,0,0)</f>
        <v>0</v>
      </c>
      <c r="AK42" s="15">
        <f>AVERAGE(0,0,0,0)</f>
        <v>0</v>
      </c>
      <c r="AL42" s="15">
        <f t="shared" si="9"/>
        <v>0</v>
      </c>
      <c r="AM42" s="15">
        <f t="shared" si="9"/>
        <v>0</v>
      </c>
      <c r="AN42" s="15">
        <f t="shared" si="9"/>
        <v>0</v>
      </c>
      <c r="AO42" s="15">
        <f t="shared" si="9"/>
        <v>0</v>
      </c>
      <c r="AP42" s="15">
        <f>AVERAGE(15,15,15,15)</f>
        <v>15</v>
      </c>
      <c r="AQ42" s="15">
        <f>AVERAGE(5,5,5,5)</f>
        <v>5</v>
      </c>
      <c r="AR42" s="15">
        <f>AVERAGE(15,15,15,15)</f>
        <v>15</v>
      </c>
      <c r="AS42" s="15">
        <f>AVERAGE(0,0,0,0)</f>
        <v>0</v>
      </c>
      <c r="AT42" s="15">
        <f>AVERAGE(5,5,5,5)</f>
        <v>5</v>
      </c>
      <c r="AU42" s="15">
        <f t="shared" si="7"/>
        <v>0</v>
      </c>
      <c r="AV42" s="15">
        <f t="shared" si="7"/>
        <v>0</v>
      </c>
      <c r="AW42" s="15">
        <f>AVERAGE(0,0,0,0)</f>
        <v>0</v>
      </c>
      <c r="AX42" s="15">
        <f>AVERAGE(0,0,0,0)</f>
        <v>0</v>
      </c>
      <c r="AY42" s="15">
        <f>AVERAGE(0,0,0,0)</f>
        <v>0</v>
      </c>
      <c r="AZ42" s="5"/>
    </row>
    <row r="43" spans="1:52" ht="14.2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 t="s">
        <v>407</v>
      </c>
      <c r="N43" s="17">
        <v>2</v>
      </c>
      <c r="O43" s="15">
        <v>48.863636363636402</v>
      </c>
      <c r="P43" s="15">
        <v>3.8529411764705901</v>
      </c>
      <c r="Q43" s="15">
        <v>486.857142857143</v>
      </c>
      <c r="R43" s="15">
        <v>8.7142857142857206</v>
      </c>
      <c r="S43" s="15">
        <v>17</v>
      </c>
      <c r="T43" s="17" t="s">
        <v>407</v>
      </c>
      <c r="U43" s="5">
        <v>28.9</v>
      </c>
      <c r="V43" s="15">
        <v>7</v>
      </c>
      <c r="W43" s="17" t="s">
        <v>407</v>
      </c>
      <c r="X43" s="2">
        <v>136.6</v>
      </c>
      <c r="Y43" s="2">
        <v>9.32</v>
      </c>
      <c r="Z43" s="2">
        <v>6.7</v>
      </c>
      <c r="AA43" s="17" t="s">
        <v>407</v>
      </c>
      <c r="AB43" s="20">
        <v>47</v>
      </c>
      <c r="AC43" s="21">
        <f>1/(AVERAGE(7.95,5.65,5.83,8.71,5.02,6.75,4.77,3.86,3.36,3.01))</f>
        <v>0.18211619012930252</v>
      </c>
      <c r="AD43" s="19">
        <f>AVERAGE(1,1)</f>
        <v>1</v>
      </c>
      <c r="AE43" s="15">
        <v>85</v>
      </c>
      <c r="AF43" s="19">
        <f>AVERAGE(50,85,60)</f>
        <v>65</v>
      </c>
      <c r="AG43" s="15">
        <f>AVERAGE(40,40,40,40)</f>
        <v>40</v>
      </c>
      <c r="AH43" s="2">
        <v>10.68</v>
      </c>
      <c r="AI43" s="15">
        <f>AVERAGE(5,5,5,5)</f>
        <v>5</v>
      </c>
      <c r="AJ43" s="15">
        <f>AVERAGE(85,85,85,85)</f>
        <v>85</v>
      </c>
      <c r="AK43" s="15">
        <f>AVERAGE(10,10,10,10)</f>
        <v>10</v>
      </c>
      <c r="AL43" s="15">
        <f t="shared" si="9"/>
        <v>0</v>
      </c>
      <c r="AM43" s="15">
        <f t="shared" si="9"/>
        <v>0</v>
      </c>
      <c r="AN43" s="15">
        <f t="shared" si="9"/>
        <v>0</v>
      </c>
      <c r="AO43" s="15">
        <f t="shared" si="9"/>
        <v>0</v>
      </c>
      <c r="AP43" s="15">
        <f t="shared" si="9"/>
        <v>0</v>
      </c>
      <c r="AQ43" s="15">
        <f t="shared" si="9"/>
        <v>0</v>
      </c>
      <c r="AR43" s="15">
        <f>AVERAGE(5,5,5,5)</f>
        <v>5</v>
      </c>
      <c r="AS43" s="15">
        <f>AVERAGE(30,30,30,30)</f>
        <v>30</v>
      </c>
      <c r="AT43" s="15">
        <f>AVERAGE(5,5,5,5)</f>
        <v>5</v>
      </c>
      <c r="AU43" s="15">
        <f t="shared" si="7"/>
        <v>0</v>
      </c>
      <c r="AV43" s="15">
        <f t="shared" si="7"/>
        <v>0</v>
      </c>
      <c r="AW43" s="15">
        <f>AVERAGE(15,15,15,15)</f>
        <v>15</v>
      </c>
      <c r="AX43" s="15">
        <f>AVERAGE(15,15,15,15)</f>
        <v>15</v>
      </c>
      <c r="AY43" s="15">
        <f>AVERAGE(20,20,20,20)</f>
        <v>20</v>
      </c>
      <c r="AZ43" s="5"/>
    </row>
    <row r="44" spans="1:52" ht="14.2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 t="s">
        <v>407</v>
      </c>
      <c r="N44" s="17">
        <v>3</v>
      </c>
      <c r="O44" s="15">
        <v>54.772727272727302</v>
      </c>
      <c r="P44" s="15">
        <v>3.2647058823529398</v>
      </c>
      <c r="Q44" s="15">
        <v>754</v>
      </c>
      <c r="R44" s="15">
        <v>10.1428571428571</v>
      </c>
      <c r="S44" s="15">
        <v>12</v>
      </c>
      <c r="T44" s="17" t="s">
        <v>407</v>
      </c>
      <c r="U44" s="5">
        <v>28.5</v>
      </c>
      <c r="V44" s="5">
        <v>5.8</v>
      </c>
      <c r="W44" s="17" t="s">
        <v>407</v>
      </c>
      <c r="X44" s="2">
        <v>134</v>
      </c>
      <c r="Y44" s="2">
        <v>12.5</v>
      </c>
      <c r="Z44" s="2">
        <v>6.6</v>
      </c>
      <c r="AA44" s="17" t="s">
        <v>407</v>
      </c>
      <c r="AB44" s="20">
        <v>47</v>
      </c>
      <c r="AC44" s="21">
        <f>1/(AVERAGE(9.13,6.19,5.45,7.14,5.11,4.91,5.44,5.08,4.9,5.37))</f>
        <v>0.17029972752043598</v>
      </c>
      <c r="AD44" s="19">
        <f>AVERAGE(1,1)</f>
        <v>1</v>
      </c>
      <c r="AE44" s="15">
        <v>93</v>
      </c>
      <c r="AF44" s="19">
        <f>AVERAGE(93,62,35)</f>
        <v>63.333333333333336</v>
      </c>
      <c r="AG44" s="15">
        <f>AVERAGE(39,39,39,39)</f>
        <v>39</v>
      </c>
      <c r="AH44" s="10">
        <v>5.3</v>
      </c>
      <c r="AI44" s="15">
        <f>AVERAGE(5,5,5,5)</f>
        <v>5</v>
      </c>
      <c r="AJ44" s="15">
        <f>AVERAGE(95,95,95,95)</f>
        <v>95</v>
      </c>
      <c r="AK44" s="15">
        <f t="shared" ref="AK44:AP68" si="10">AVERAGE(0,0,0,0)</f>
        <v>0</v>
      </c>
      <c r="AL44" s="15">
        <f t="shared" si="9"/>
        <v>0</v>
      </c>
      <c r="AM44" s="15">
        <f t="shared" si="9"/>
        <v>0</v>
      </c>
      <c r="AN44" s="15">
        <f t="shared" si="9"/>
        <v>0</v>
      </c>
      <c r="AO44" s="15">
        <f t="shared" si="9"/>
        <v>0</v>
      </c>
      <c r="AP44" s="15">
        <f t="shared" si="9"/>
        <v>0</v>
      </c>
      <c r="AQ44" s="15">
        <f t="shared" si="9"/>
        <v>0</v>
      </c>
      <c r="AR44" s="15">
        <f>AVERAGE(0,0,0,0)</f>
        <v>0</v>
      </c>
      <c r="AS44" s="15">
        <f>AVERAGE(50,50,50,50)</f>
        <v>50</v>
      </c>
      <c r="AT44" s="15">
        <f>AVERAGE(0,0,0,0)</f>
        <v>0</v>
      </c>
      <c r="AU44" s="15">
        <f t="shared" si="7"/>
        <v>0</v>
      </c>
      <c r="AV44" s="15">
        <f t="shared" si="7"/>
        <v>0</v>
      </c>
      <c r="AW44" s="15">
        <f>AVERAGE(10,10,10,10)</f>
        <v>10</v>
      </c>
      <c r="AX44" s="15">
        <f>AVERAGE(15,15,15,15)</f>
        <v>15</v>
      </c>
      <c r="AY44" s="15">
        <f>AVERAGE(10,10,10,10)</f>
        <v>10</v>
      </c>
      <c r="AZ44" s="5"/>
    </row>
    <row r="45" spans="1:52" ht="14.2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 t="s">
        <v>407</v>
      </c>
      <c r="N45" s="17">
        <v>1</v>
      </c>
      <c r="O45" s="15">
        <v>54.318181818181799</v>
      </c>
      <c r="P45" s="15">
        <v>2.6764705882352899</v>
      </c>
      <c r="Q45" s="15">
        <v>655.42857142857099</v>
      </c>
      <c r="R45" s="15">
        <v>10.1428571428571</v>
      </c>
      <c r="S45" s="15">
        <v>12</v>
      </c>
      <c r="T45" s="17" t="s">
        <v>407</v>
      </c>
      <c r="U45" s="5">
        <v>28.6</v>
      </c>
      <c r="V45" s="5">
        <v>7.7</v>
      </c>
      <c r="W45" s="17" t="s">
        <v>407</v>
      </c>
      <c r="X45" s="2">
        <v>139.69999999999999</v>
      </c>
      <c r="Y45" s="2">
        <v>11.1</v>
      </c>
      <c r="Z45" s="2">
        <v>6.7</v>
      </c>
      <c r="AA45" s="17" t="s">
        <v>407</v>
      </c>
      <c r="AB45" s="20">
        <v>54</v>
      </c>
      <c r="AC45" s="21">
        <f>1/(AVERAGE(3.23,3.38,3.34,2.7,2.94,2.78,3.02,3.28,2.78,2.83))</f>
        <v>0.33025099075297226</v>
      </c>
      <c r="AD45" s="19">
        <f>AVERAGE(3,1)</f>
        <v>2</v>
      </c>
      <c r="AE45" s="15">
        <v>36</v>
      </c>
      <c r="AF45" s="19">
        <f>AVERAGE(36,32,36)</f>
        <v>34.666666666666664</v>
      </c>
      <c r="AG45" s="15">
        <f>AVERAGE(28,28,28,28)</f>
        <v>28</v>
      </c>
      <c r="AH45" s="10">
        <v>2.1</v>
      </c>
      <c r="AI45" s="15">
        <f>AVERAGE(0,0,0,0)</f>
        <v>0</v>
      </c>
      <c r="AJ45" s="15">
        <f>AVERAGE(100,100,100,100)</f>
        <v>100</v>
      </c>
      <c r="AK45" s="15">
        <f t="shared" si="10"/>
        <v>0</v>
      </c>
      <c r="AL45" s="15">
        <f t="shared" si="9"/>
        <v>0</v>
      </c>
      <c r="AM45" s="15">
        <f t="shared" si="9"/>
        <v>0</v>
      </c>
      <c r="AN45" s="15">
        <f t="shared" si="9"/>
        <v>0</v>
      </c>
      <c r="AO45" s="15">
        <f t="shared" si="9"/>
        <v>0</v>
      </c>
      <c r="AP45" s="15">
        <f t="shared" si="9"/>
        <v>0</v>
      </c>
      <c r="AQ45" s="15">
        <f t="shared" si="9"/>
        <v>0</v>
      </c>
      <c r="AR45" s="15">
        <f>AVERAGE(5,5,5,5)</f>
        <v>5</v>
      </c>
      <c r="AS45" s="15">
        <f>AVERAGE(60,60,60,60)</f>
        <v>60</v>
      </c>
      <c r="AT45" s="15">
        <f>AVERAGE(5,5,5,5)</f>
        <v>5</v>
      </c>
      <c r="AU45" s="15">
        <f t="shared" si="7"/>
        <v>0</v>
      </c>
      <c r="AV45" s="15">
        <f t="shared" si="7"/>
        <v>0</v>
      </c>
      <c r="AW45" s="15">
        <f>AVERAGE(5,5,5,5)</f>
        <v>5</v>
      </c>
      <c r="AX45" s="15">
        <f>AVERAGE(0,0,0,0)</f>
        <v>0</v>
      </c>
      <c r="AY45" s="15">
        <f>AVERAGE(5,5,5,5)</f>
        <v>5</v>
      </c>
      <c r="AZ45" s="5"/>
    </row>
    <row r="46" spans="1:52" ht="14.2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 t="s">
        <v>407</v>
      </c>
      <c r="N46" s="17">
        <v>2</v>
      </c>
      <c r="O46" s="15">
        <v>50.227272727272698</v>
      </c>
      <c r="P46" s="15">
        <v>3.8529411764705901</v>
      </c>
      <c r="Q46" s="15">
        <v>695.42857142857099</v>
      </c>
      <c r="R46" s="15">
        <v>13</v>
      </c>
      <c r="S46" s="15">
        <v>18.6666666666667</v>
      </c>
      <c r="T46" s="17" t="s">
        <v>407</v>
      </c>
      <c r="U46" s="5">
        <v>28.5</v>
      </c>
      <c r="V46" s="5">
        <v>6.2</v>
      </c>
      <c r="W46" s="17" t="s">
        <v>407</v>
      </c>
      <c r="X46" s="2">
        <v>134</v>
      </c>
      <c r="Y46" s="2">
        <v>4.2699999999999996</v>
      </c>
      <c r="Z46" s="2">
        <v>6.54</v>
      </c>
      <c r="AA46" s="17" t="s">
        <v>407</v>
      </c>
      <c r="AB46" s="20">
        <v>54</v>
      </c>
      <c r="AC46" s="21">
        <f>1/(AVERAGE(3.74,3.37,2.7,2.87,2.61,3.37,2.94,2.17,2.57,3.34))</f>
        <v>0.33692722371967648</v>
      </c>
      <c r="AD46" s="19">
        <f>AVERAGE(3,1)</f>
        <v>2</v>
      </c>
      <c r="AE46" s="15">
        <v>56</v>
      </c>
      <c r="AF46" s="19">
        <f>AVERAGE(43,56,43)</f>
        <v>47.333333333333336</v>
      </c>
      <c r="AG46" s="15">
        <f>AVERAGE(41,41,41,41)</f>
        <v>41</v>
      </c>
      <c r="AH46" s="10">
        <v>2.59</v>
      </c>
      <c r="AI46" s="15">
        <f>AVERAGE(0,0,0,0)</f>
        <v>0</v>
      </c>
      <c r="AJ46" s="15">
        <f>AVERAGE(100,100,100,100)</f>
        <v>100</v>
      </c>
      <c r="AK46" s="15">
        <f t="shared" si="10"/>
        <v>0</v>
      </c>
      <c r="AL46" s="15">
        <f t="shared" si="9"/>
        <v>0</v>
      </c>
      <c r="AM46" s="15">
        <f t="shared" si="9"/>
        <v>0</v>
      </c>
      <c r="AN46" s="15">
        <f t="shared" si="9"/>
        <v>0</v>
      </c>
      <c r="AO46" s="15">
        <f t="shared" si="9"/>
        <v>0</v>
      </c>
      <c r="AP46" s="15">
        <f t="shared" si="9"/>
        <v>0</v>
      </c>
      <c r="AQ46" s="15">
        <f t="shared" si="9"/>
        <v>0</v>
      </c>
      <c r="AR46" s="15">
        <f>AVERAGE(0,0,0,0)</f>
        <v>0</v>
      </c>
      <c r="AS46" s="15">
        <f>AVERAGE(60,60,60,60)</f>
        <v>60</v>
      </c>
      <c r="AT46" s="15">
        <f>AVERAGE(5,5,5,5)</f>
        <v>5</v>
      </c>
      <c r="AU46" s="15">
        <f t="shared" si="7"/>
        <v>0</v>
      </c>
      <c r="AV46" s="15">
        <f t="shared" si="7"/>
        <v>0</v>
      </c>
      <c r="AW46" s="15">
        <f>AVERAGE(15,15,15,15)</f>
        <v>15</v>
      </c>
      <c r="AX46" s="15">
        <f>AVERAGE(0,0,0,0)</f>
        <v>0</v>
      </c>
      <c r="AY46" s="15">
        <f>AVERAGE(5,5,5,5)</f>
        <v>5</v>
      </c>
      <c r="AZ46" s="5"/>
    </row>
    <row r="47" spans="1:52" ht="14.2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 t="s">
        <v>407</v>
      </c>
      <c r="N47" s="17">
        <v>3</v>
      </c>
      <c r="O47" s="15">
        <v>46.136363636363598</v>
      </c>
      <c r="P47" s="15">
        <v>2.6764705882352899</v>
      </c>
      <c r="Q47" s="15">
        <v>581.142857142857</v>
      </c>
      <c r="R47" s="15">
        <v>11.5714285714286</v>
      </c>
      <c r="S47" s="15">
        <v>13.6666666666667</v>
      </c>
      <c r="T47" s="17" t="s">
        <v>407</v>
      </c>
      <c r="U47" s="5">
        <v>28.6</v>
      </c>
      <c r="V47" s="5">
        <v>6.2</v>
      </c>
      <c r="W47" s="17" t="s">
        <v>407</v>
      </c>
      <c r="X47" s="2">
        <v>123.7</v>
      </c>
      <c r="Y47" s="2">
        <v>8.8699999999999992</v>
      </c>
      <c r="Z47" s="2">
        <v>6.64</v>
      </c>
      <c r="AA47" s="17" t="s">
        <v>407</v>
      </c>
      <c r="AB47" s="20">
        <v>54</v>
      </c>
      <c r="AC47" s="21">
        <f>1/(AVERAGE(2.16,2.1,3.29,2.3,2.47,1.98,2.33,1.98,2.54,2.43))</f>
        <v>0.42408821034775229</v>
      </c>
      <c r="AD47" s="19">
        <f>AVERAGE(3,1)</f>
        <v>2</v>
      </c>
      <c r="AE47" s="15">
        <v>42</v>
      </c>
      <c r="AF47" s="19">
        <f>AVERAGE(33,42,33)</f>
        <v>36</v>
      </c>
      <c r="AG47" s="15">
        <f>AVERAGE(40,40,40,40)</f>
        <v>40</v>
      </c>
      <c r="AH47" s="10">
        <v>2.67</v>
      </c>
      <c r="AI47" s="15">
        <f>AVERAGE(0,0,0,0)</f>
        <v>0</v>
      </c>
      <c r="AJ47" s="15">
        <f>AVERAGE(100,100,100,100)</f>
        <v>100</v>
      </c>
      <c r="AK47" s="15">
        <f t="shared" si="10"/>
        <v>0</v>
      </c>
      <c r="AL47" s="15">
        <f t="shared" si="9"/>
        <v>0</v>
      </c>
      <c r="AM47" s="15">
        <f t="shared" si="9"/>
        <v>0</v>
      </c>
      <c r="AN47" s="15">
        <f t="shared" si="9"/>
        <v>0</v>
      </c>
      <c r="AO47" s="15">
        <f t="shared" si="9"/>
        <v>0</v>
      </c>
      <c r="AP47" s="15">
        <f t="shared" si="9"/>
        <v>0</v>
      </c>
      <c r="AQ47" s="15">
        <f t="shared" si="9"/>
        <v>0</v>
      </c>
      <c r="AR47" s="15">
        <f>AVERAGE(0,0,0,0)</f>
        <v>0</v>
      </c>
      <c r="AS47" s="15">
        <f>AVERAGE(60,60,60,60)</f>
        <v>60</v>
      </c>
      <c r="AT47" s="15">
        <f>AVERAGE(5,5,5,5)</f>
        <v>5</v>
      </c>
      <c r="AU47" s="15">
        <f t="shared" si="7"/>
        <v>0</v>
      </c>
      <c r="AV47" s="15">
        <f t="shared" si="7"/>
        <v>0</v>
      </c>
      <c r="AW47" s="15">
        <f>AVERAGE(5,5,5,5)</f>
        <v>5</v>
      </c>
      <c r="AX47" s="15">
        <f>AVERAGE(0,0,0,0)</f>
        <v>0</v>
      </c>
      <c r="AY47" s="15">
        <f>AVERAGE(15,15,15,15)</f>
        <v>15</v>
      </c>
      <c r="AZ47" s="5"/>
    </row>
    <row r="48" spans="1:52" ht="14.2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 t="s">
        <v>407</v>
      </c>
      <c r="N48" s="17">
        <v>1</v>
      </c>
      <c r="O48" s="15">
        <v>81.136363636363598</v>
      </c>
      <c r="P48" s="15">
        <v>2.97058823529412</v>
      </c>
      <c r="Q48" s="15">
        <v>702.57142857142901</v>
      </c>
      <c r="R48" s="15">
        <v>7.28571428571429</v>
      </c>
      <c r="S48" s="15">
        <v>8.6666666666666696</v>
      </c>
      <c r="T48" s="17" t="s">
        <v>407</v>
      </c>
      <c r="U48" s="5">
        <v>28.2</v>
      </c>
      <c r="V48" s="5">
        <v>7.7</v>
      </c>
      <c r="W48" s="17" t="s">
        <v>407</v>
      </c>
      <c r="X48" s="2">
        <v>138.69999999999999</v>
      </c>
      <c r="Y48" s="2">
        <v>14.2</v>
      </c>
      <c r="Z48" s="2">
        <v>6.71</v>
      </c>
      <c r="AA48" s="17" t="s">
        <v>407</v>
      </c>
      <c r="AB48" s="20">
        <v>49</v>
      </c>
      <c r="AC48" s="21">
        <f>1/(AVERAGE(9.54,8.97,6.81,7.71,8.87,10.2,8.54,8.37,10.83,7.26))</f>
        <v>0.11481056257175662</v>
      </c>
      <c r="AD48" s="19">
        <f>AVERAGE(2,1)</f>
        <v>1.5</v>
      </c>
      <c r="AE48" s="15">
        <v>70</v>
      </c>
      <c r="AF48" s="19">
        <f>AVERAGE(94,70,94)</f>
        <v>86</v>
      </c>
      <c r="AG48" s="15">
        <f>AVERAGE(94,94,94,94)</f>
        <v>94</v>
      </c>
      <c r="AH48" s="10">
        <v>2.8</v>
      </c>
      <c r="AI48" s="15">
        <f t="shared" ref="AI48:AI61" si="11">AVERAGE(100,100,100,100)</f>
        <v>100</v>
      </c>
      <c r="AJ48" s="15">
        <f t="shared" ref="AJ48:AJ61" si="12">AVERAGE(0,0,0,0)</f>
        <v>0</v>
      </c>
      <c r="AK48" s="15">
        <f t="shared" si="10"/>
        <v>0</v>
      </c>
      <c r="AL48" s="15">
        <f t="shared" si="9"/>
        <v>0</v>
      </c>
      <c r="AM48" s="15">
        <f t="shared" si="9"/>
        <v>0</v>
      </c>
      <c r="AN48" s="15">
        <f t="shared" si="9"/>
        <v>0</v>
      </c>
      <c r="AO48" s="15">
        <f t="shared" si="9"/>
        <v>0</v>
      </c>
      <c r="AP48" s="15">
        <f t="shared" si="9"/>
        <v>0</v>
      </c>
      <c r="AQ48" s="15">
        <f t="shared" si="9"/>
        <v>0</v>
      </c>
      <c r="AR48" s="15">
        <f>AVERAGE(10,10,10,10)</f>
        <v>10</v>
      </c>
      <c r="AS48" s="15">
        <f>AVERAGE(50,50,50,50)</f>
        <v>50</v>
      </c>
      <c r="AT48" s="15">
        <f>AVERAGE(15,15,15,15)</f>
        <v>15</v>
      </c>
      <c r="AU48" s="15">
        <f t="shared" si="7"/>
        <v>0</v>
      </c>
      <c r="AV48" s="15">
        <f t="shared" si="7"/>
        <v>0</v>
      </c>
      <c r="AW48" s="15">
        <f>AVERAGE(10,10,10,10)</f>
        <v>10</v>
      </c>
      <c r="AX48" s="15">
        <f>AVERAGE(15,15,15,15)</f>
        <v>15</v>
      </c>
      <c r="AY48" s="15">
        <f>AVERAGE(10,10,10,10)</f>
        <v>10</v>
      </c>
      <c r="AZ48" s="5"/>
    </row>
    <row r="49" spans="1:52" ht="14.2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 t="s">
        <v>407</v>
      </c>
      <c r="N49" s="17">
        <v>2</v>
      </c>
      <c r="O49" s="15">
        <v>194.772727272727</v>
      </c>
      <c r="P49" s="15">
        <v>96.794117647058798</v>
      </c>
      <c r="Q49" s="15">
        <v>889.71428571428601</v>
      </c>
      <c r="R49" s="15">
        <v>23</v>
      </c>
      <c r="S49" s="15">
        <v>30.3333333333333</v>
      </c>
      <c r="T49" s="17" t="s">
        <v>407</v>
      </c>
      <c r="U49" s="5">
        <v>28.2</v>
      </c>
      <c r="V49" s="5">
        <v>7.2</v>
      </c>
      <c r="W49" s="17" t="s">
        <v>407</v>
      </c>
      <c r="X49" s="2">
        <v>125.6</v>
      </c>
      <c r="Y49" s="2">
        <v>9.01</v>
      </c>
      <c r="Z49" s="2">
        <v>6.89</v>
      </c>
      <c r="AA49" s="17" t="s">
        <v>407</v>
      </c>
      <c r="AB49" s="20">
        <v>49</v>
      </c>
      <c r="AC49" s="21">
        <f>1/(AVERAGE(7.66,7.43,7.98,8.21,6.63,7.26,8.79,8.06,8.51,8.16))</f>
        <v>0.12708095056551022</v>
      </c>
      <c r="AD49" s="19">
        <f>AVERAGE(2,1)</f>
        <v>1.5</v>
      </c>
      <c r="AE49" s="5">
        <v>105</v>
      </c>
      <c r="AF49" s="19">
        <f>AVERAGE(70,105,70)</f>
        <v>81.666666666666671</v>
      </c>
      <c r="AG49" s="15">
        <f>AVERAGE(55,55,55,55)</f>
        <v>55</v>
      </c>
      <c r="AH49" s="10">
        <v>2.2999999999999998</v>
      </c>
      <c r="AI49" s="15">
        <f t="shared" si="11"/>
        <v>100</v>
      </c>
      <c r="AJ49" s="15">
        <f t="shared" si="12"/>
        <v>0</v>
      </c>
      <c r="AK49" s="15">
        <f t="shared" si="10"/>
        <v>0</v>
      </c>
      <c r="AL49" s="15">
        <f t="shared" si="9"/>
        <v>0</v>
      </c>
      <c r="AM49" s="15">
        <f t="shared" si="9"/>
        <v>0</v>
      </c>
      <c r="AN49" s="15">
        <f t="shared" si="9"/>
        <v>0</v>
      </c>
      <c r="AO49" s="15">
        <f t="shared" si="9"/>
        <v>0</v>
      </c>
      <c r="AP49" s="15">
        <f t="shared" si="9"/>
        <v>0</v>
      </c>
      <c r="AQ49" s="15">
        <f t="shared" si="9"/>
        <v>0</v>
      </c>
      <c r="AR49" s="15">
        <f>AVERAGE(10,10,10,10)</f>
        <v>10</v>
      </c>
      <c r="AS49" s="15">
        <f>AVERAGE(50,50,50,50)</f>
        <v>50</v>
      </c>
      <c r="AT49" s="15">
        <f>AVERAGE(15,15,15,15)</f>
        <v>15</v>
      </c>
      <c r="AU49" s="15">
        <f t="shared" si="7"/>
        <v>0</v>
      </c>
      <c r="AV49" s="15">
        <f t="shared" si="7"/>
        <v>0</v>
      </c>
      <c r="AW49" s="15">
        <f>AVERAGE(10,10,10,10)</f>
        <v>10</v>
      </c>
      <c r="AX49" s="15">
        <f>AVERAGE(15,15,15,15)</f>
        <v>15</v>
      </c>
      <c r="AY49" s="15">
        <f>AVERAGE(10,10,10,10)</f>
        <v>10</v>
      </c>
      <c r="AZ49" s="5"/>
    </row>
    <row r="50" spans="1:52" ht="14.2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 t="s">
        <v>407</v>
      </c>
      <c r="N50" s="17">
        <v>3</v>
      </c>
      <c r="O50" s="15">
        <v>53.409090909090899</v>
      </c>
      <c r="P50" s="15">
        <v>2.97058823529412</v>
      </c>
      <c r="Q50" s="15">
        <v>594</v>
      </c>
      <c r="R50" s="15">
        <v>8.7142857142857206</v>
      </c>
      <c r="S50" s="15">
        <v>10.3333333333333</v>
      </c>
      <c r="T50" s="17" t="s">
        <v>407</v>
      </c>
      <c r="U50" s="5">
        <v>28.1</v>
      </c>
      <c r="V50" s="5">
        <v>5.2</v>
      </c>
      <c r="W50" s="17" t="s">
        <v>407</v>
      </c>
      <c r="X50" s="2">
        <v>138.69999999999999</v>
      </c>
      <c r="Y50" s="2">
        <v>13.8</v>
      </c>
      <c r="Z50" s="2">
        <v>6.68</v>
      </c>
      <c r="AA50" s="17" t="s">
        <v>407</v>
      </c>
      <c r="AB50" s="20">
        <v>49</v>
      </c>
      <c r="AC50" s="21">
        <f>1/(AVERAGE(6.83,7.3,6.05,4.82,7.15,5.34,5.38,5.06,7.46,5.09))</f>
        <v>0.16534391534391535</v>
      </c>
      <c r="AD50" s="19">
        <f>AVERAGE(2,1)</f>
        <v>1.5</v>
      </c>
      <c r="AE50" s="5">
        <v>110</v>
      </c>
      <c r="AF50" s="19">
        <f>AVERAGE(110,110,110)</f>
        <v>110</v>
      </c>
      <c r="AG50" s="15">
        <f>AVERAGE(33,33,33,33)</f>
        <v>33</v>
      </c>
      <c r="AH50" s="10">
        <v>5.3</v>
      </c>
      <c r="AI50" s="15">
        <f t="shared" si="11"/>
        <v>100</v>
      </c>
      <c r="AJ50" s="15">
        <f t="shared" si="12"/>
        <v>0</v>
      </c>
      <c r="AK50" s="15">
        <f t="shared" si="10"/>
        <v>0</v>
      </c>
      <c r="AL50" s="15">
        <f t="shared" si="9"/>
        <v>0</v>
      </c>
      <c r="AM50" s="15">
        <f t="shared" si="9"/>
        <v>0</v>
      </c>
      <c r="AN50" s="15">
        <f t="shared" si="9"/>
        <v>0</v>
      </c>
      <c r="AO50" s="15">
        <f t="shared" si="9"/>
        <v>0</v>
      </c>
      <c r="AP50" s="15">
        <f t="shared" si="9"/>
        <v>0</v>
      </c>
      <c r="AQ50" s="15">
        <f t="shared" si="9"/>
        <v>0</v>
      </c>
      <c r="AR50" s="15">
        <f>AVERAGE(25,25,25,25)</f>
        <v>25</v>
      </c>
      <c r="AS50" s="15">
        <f>AVERAGE(70,70,70,70)</f>
        <v>70</v>
      </c>
      <c r="AT50" s="15">
        <f>AVERAGE(15,15,15,15)</f>
        <v>15</v>
      </c>
      <c r="AU50" s="15">
        <f t="shared" si="7"/>
        <v>0</v>
      </c>
      <c r="AV50" s="15">
        <f t="shared" si="7"/>
        <v>0</v>
      </c>
      <c r="AW50" s="15">
        <f>AVERAGE(10,10,10,10)</f>
        <v>10</v>
      </c>
      <c r="AX50" s="15">
        <f>AVERAGE(15,15,15,15)</f>
        <v>15</v>
      </c>
      <c r="AY50" s="15">
        <f>AVERAGE(10,10,10,10)</f>
        <v>10</v>
      </c>
      <c r="AZ50" s="5"/>
    </row>
    <row r="51" spans="1:52" ht="14.2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 t="s">
        <v>407</v>
      </c>
      <c r="N51" s="26">
        <v>1</v>
      </c>
      <c r="O51" s="28" t="s">
        <v>407</v>
      </c>
      <c r="P51" s="28" t="s">
        <v>407</v>
      </c>
      <c r="Q51" s="28" t="s">
        <v>407</v>
      </c>
      <c r="R51" s="28" t="s">
        <v>407</v>
      </c>
      <c r="S51" s="28" t="s">
        <v>407</v>
      </c>
      <c r="T51" s="28" t="s">
        <v>407</v>
      </c>
      <c r="U51" s="28" t="s">
        <v>407</v>
      </c>
      <c r="V51" s="28" t="s">
        <v>407</v>
      </c>
      <c r="W51" s="28" t="s">
        <v>407</v>
      </c>
      <c r="X51" s="29">
        <v>128.80000000000001</v>
      </c>
      <c r="Y51" s="30">
        <v>2</v>
      </c>
      <c r="Z51" s="30">
        <v>4.8099999999999996</v>
      </c>
      <c r="AA51" s="28" t="s">
        <v>407</v>
      </c>
      <c r="AB51" s="28" t="s">
        <v>407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11"/>
        <v>100</v>
      </c>
      <c r="AJ51" s="28">
        <f t="shared" si="12"/>
        <v>0</v>
      </c>
      <c r="AK51" s="28">
        <f t="shared" si="10"/>
        <v>0</v>
      </c>
      <c r="AL51" s="28">
        <f t="shared" si="9"/>
        <v>0</v>
      </c>
      <c r="AM51" s="28">
        <f t="shared" si="9"/>
        <v>0</v>
      </c>
      <c r="AN51" s="28">
        <f t="shared" si="9"/>
        <v>0</v>
      </c>
      <c r="AO51" s="28">
        <f t="shared" si="9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7"/>
        <v>0</v>
      </c>
      <c r="AV51" s="28">
        <f t="shared" si="7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 t="s">
        <v>407</v>
      </c>
      <c r="N52" s="26">
        <v>2</v>
      </c>
      <c r="O52" s="28" t="s">
        <v>407</v>
      </c>
      <c r="P52" s="28" t="s">
        <v>407</v>
      </c>
      <c r="Q52" s="28" t="s">
        <v>407</v>
      </c>
      <c r="R52" s="28" t="s">
        <v>407</v>
      </c>
      <c r="S52" s="28" t="s">
        <v>407</v>
      </c>
      <c r="T52" s="28" t="s">
        <v>407</v>
      </c>
      <c r="U52" s="28" t="s">
        <v>407</v>
      </c>
      <c r="V52" s="28" t="s">
        <v>407</v>
      </c>
      <c r="W52" s="28" t="s">
        <v>407</v>
      </c>
      <c r="X52" s="29">
        <v>137.9</v>
      </c>
      <c r="Y52" s="30">
        <v>3</v>
      </c>
      <c r="Z52" s="30">
        <v>4.87</v>
      </c>
      <c r="AA52" s="28" t="s">
        <v>407</v>
      </c>
      <c r="AB52" s="28" t="s">
        <v>407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11"/>
        <v>100</v>
      </c>
      <c r="AJ52" s="28">
        <f t="shared" si="12"/>
        <v>0</v>
      </c>
      <c r="AK52" s="28">
        <f t="shared" si="10"/>
        <v>0</v>
      </c>
      <c r="AL52" s="28">
        <f t="shared" si="9"/>
        <v>0</v>
      </c>
      <c r="AM52" s="28">
        <f t="shared" si="9"/>
        <v>0</v>
      </c>
      <c r="AN52" s="28">
        <f t="shared" si="9"/>
        <v>0</v>
      </c>
      <c r="AO52" s="28">
        <f t="shared" si="9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7"/>
        <v>0</v>
      </c>
      <c r="AV52" s="28">
        <f t="shared" si="7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 t="s">
        <v>407</v>
      </c>
      <c r="N53" s="26">
        <v>3</v>
      </c>
      <c r="O53" s="28" t="s">
        <v>407</v>
      </c>
      <c r="P53" s="28" t="s">
        <v>407</v>
      </c>
      <c r="Q53" s="28" t="s">
        <v>407</v>
      </c>
      <c r="R53" s="28" t="s">
        <v>407</v>
      </c>
      <c r="S53" s="28" t="s">
        <v>407</v>
      </c>
      <c r="T53" s="28" t="s">
        <v>407</v>
      </c>
      <c r="U53" s="28" t="s">
        <v>407</v>
      </c>
      <c r="V53" s="28" t="s">
        <v>407</v>
      </c>
      <c r="W53" s="28" t="s">
        <v>407</v>
      </c>
      <c r="X53" s="29">
        <v>119.2</v>
      </c>
      <c r="Y53" s="30">
        <v>3</v>
      </c>
      <c r="Z53" s="30">
        <v>4.72</v>
      </c>
      <c r="AA53" s="28" t="s">
        <v>407</v>
      </c>
      <c r="AB53" s="28" t="s">
        <v>407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11"/>
        <v>100</v>
      </c>
      <c r="AJ53" s="28">
        <f t="shared" si="12"/>
        <v>0</v>
      </c>
      <c r="AK53" s="28">
        <f t="shared" si="10"/>
        <v>0</v>
      </c>
      <c r="AL53" s="28">
        <f t="shared" si="9"/>
        <v>0</v>
      </c>
      <c r="AM53" s="28">
        <f t="shared" si="9"/>
        <v>0</v>
      </c>
      <c r="AN53" s="28">
        <f t="shared" si="9"/>
        <v>0</v>
      </c>
      <c r="AO53" s="28">
        <f t="shared" si="9"/>
        <v>0</v>
      </c>
      <c r="AP53" s="28">
        <f>AVERAGE(5,5,5,5)</f>
        <v>5</v>
      </c>
      <c r="AQ53" s="28">
        <f t="shared" ref="AQ53:AR55" si="13">AVERAGE(10,10,10,10)</f>
        <v>10</v>
      </c>
      <c r="AR53" s="28">
        <f t="shared" si="13"/>
        <v>10</v>
      </c>
      <c r="AS53" s="28">
        <f>AVERAGE(50,50,50,50)</f>
        <v>50</v>
      </c>
      <c r="AT53" s="28">
        <f>AVERAGE(5,5,5,5)</f>
        <v>5</v>
      </c>
      <c r="AU53" s="28">
        <f t="shared" si="7"/>
        <v>0</v>
      </c>
      <c r="AV53" s="28">
        <f t="shared" si="7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 t="s">
        <v>407</v>
      </c>
      <c r="N54" s="26">
        <v>1</v>
      </c>
      <c r="O54" s="28" t="s">
        <v>407</v>
      </c>
      <c r="P54" s="28" t="s">
        <v>407</v>
      </c>
      <c r="Q54" s="28" t="s">
        <v>407</v>
      </c>
      <c r="R54" s="28" t="s">
        <v>407</v>
      </c>
      <c r="S54" s="28" t="s">
        <v>407</v>
      </c>
      <c r="T54" s="28" t="s">
        <v>407</v>
      </c>
      <c r="U54" s="28" t="s">
        <v>407</v>
      </c>
      <c r="V54" s="28" t="s">
        <v>407</v>
      </c>
      <c r="W54" s="28" t="s">
        <v>407</v>
      </c>
      <c r="X54" s="29">
        <v>142.80000000000001</v>
      </c>
      <c r="Y54" s="30">
        <v>4</v>
      </c>
      <c r="Z54" s="30">
        <v>4.58</v>
      </c>
      <c r="AA54" s="28" t="s">
        <v>407</v>
      </c>
      <c r="AB54" s="28" t="s">
        <v>407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11"/>
        <v>100</v>
      </c>
      <c r="AJ54" s="28">
        <f t="shared" si="12"/>
        <v>0</v>
      </c>
      <c r="AK54" s="28">
        <f t="shared" si="10"/>
        <v>0</v>
      </c>
      <c r="AL54" s="28">
        <f t="shared" si="9"/>
        <v>0</v>
      </c>
      <c r="AM54" s="28">
        <f t="shared" si="9"/>
        <v>0</v>
      </c>
      <c r="AN54" s="28">
        <f t="shared" si="9"/>
        <v>0</v>
      </c>
      <c r="AO54" s="28">
        <f t="shared" si="9"/>
        <v>0</v>
      </c>
      <c r="AP54" s="28">
        <f t="shared" si="9"/>
        <v>0</v>
      </c>
      <c r="AQ54" s="28">
        <f t="shared" si="13"/>
        <v>10</v>
      </c>
      <c r="AR54" s="28">
        <f t="shared" si="13"/>
        <v>10</v>
      </c>
      <c r="AS54" s="28">
        <f>AVERAGE(50,50,50,50)</f>
        <v>50</v>
      </c>
      <c r="AT54" s="28">
        <f>AVERAGE(25,25,25,25)</f>
        <v>25</v>
      </c>
      <c r="AU54" s="28">
        <f t="shared" si="7"/>
        <v>0</v>
      </c>
      <c r="AV54" s="28">
        <f t="shared" si="7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 t="s">
        <v>407</v>
      </c>
      <c r="N55" s="26">
        <v>2</v>
      </c>
      <c r="O55" s="28" t="s">
        <v>407</v>
      </c>
      <c r="P55" s="28" t="s">
        <v>407</v>
      </c>
      <c r="Q55" s="28" t="s">
        <v>407</v>
      </c>
      <c r="R55" s="28" t="s">
        <v>407</v>
      </c>
      <c r="S55" s="28" t="s">
        <v>407</v>
      </c>
      <c r="T55" s="28" t="s">
        <v>407</v>
      </c>
      <c r="U55" s="28" t="s">
        <v>407</v>
      </c>
      <c r="V55" s="28" t="s">
        <v>407</v>
      </c>
      <c r="W55" s="28" t="s">
        <v>407</v>
      </c>
      <c r="X55" s="29">
        <v>148.1</v>
      </c>
      <c r="Y55" s="30">
        <v>4</v>
      </c>
      <c r="Z55" s="30">
        <v>4.55</v>
      </c>
      <c r="AA55" s="28" t="s">
        <v>407</v>
      </c>
      <c r="AB55" s="28" t="s">
        <v>407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11"/>
        <v>100</v>
      </c>
      <c r="AJ55" s="28">
        <f t="shared" si="12"/>
        <v>0</v>
      </c>
      <c r="AK55" s="28">
        <f t="shared" si="10"/>
        <v>0</v>
      </c>
      <c r="AL55" s="28">
        <f t="shared" si="9"/>
        <v>0</v>
      </c>
      <c r="AM55" s="28">
        <f t="shared" si="9"/>
        <v>0</v>
      </c>
      <c r="AN55" s="28">
        <f t="shared" si="9"/>
        <v>0</v>
      </c>
      <c r="AO55" s="28">
        <f t="shared" si="9"/>
        <v>0</v>
      </c>
      <c r="AP55" s="28">
        <f t="shared" si="9"/>
        <v>0</v>
      </c>
      <c r="AQ55" s="28">
        <f t="shared" si="13"/>
        <v>10</v>
      </c>
      <c r="AR55" s="28">
        <f t="shared" si="13"/>
        <v>10</v>
      </c>
      <c r="AS55" s="28">
        <f>AVERAGE(50,50,50,50)</f>
        <v>50</v>
      </c>
      <c r="AT55" s="28">
        <f>AVERAGE(25,25,25,25)</f>
        <v>25</v>
      </c>
      <c r="AU55" s="28">
        <f t="shared" si="7"/>
        <v>0</v>
      </c>
      <c r="AV55" s="28">
        <f t="shared" si="7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 t="s">
        <v>407</v>
      </c>
      <c r="N56" s="26">
        <v>3</v>
      </c>
      <c r="O56" s="28" t="s">
        <v>407</v>
      </c>
      <c r="P56" s="28" t="s">
        <v>407</v>
      </c>
      <c r="Q56" s="28" t="s">
        <v>407</v>
      </c>
      <c r="R56" s="28" t="s">
        <v>407</v>
      </c>
      <c r="S56" s="28" t="s">
        <v>407</v>
      </c>
      <c r="T56" s="28" t="s">
        <v>407</v>
      </c>
      <c r="U56" s="28" t="s">
        <v>407</v>
      </c>
      <c r="V56" s="28" t="s">
        <v>407</v>
      </c>
      <c r="W56" s="28" t="s">
        <v>407</v>
      </c>
      <c r="X56" s="29">
        <v>152.19999999999999</v>
      </c>
      <c r="Y56" s="30">
        <v>3</v>
      </c>
      <c r="Z56" s="30">
        <v>4.7699999999999996</v>
      </c>
      <c r="AA56" s="28" t="s">
        <v>407</v>
      </c>
      <c r="AB56" s="28" t="s">
        <v>407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11"/>
        <v>100</v>
      </c>
      <c r="AJ56" s="28">
        <f t="shared" si="12"/>
        <v>0</v>
      </c>
      <c r="AK56" s="28">
        <f t="shared" si="10"/>
        <v>0</v>
      </c>
      <c r="AL56" s="28">
        <f t="shared" si="10"/>
        <v>0</v>
      </c>
      <c r="AM56" s="28">
        <f t="shared" si="10"/>
        <v>0</v>
      </c>
      <c r="AN56" s="28">
        <f t="shared" si="10"/>
        <v>0</v>
      </c>
      <c r="AO56" s="28">
        <f t="shared" si="10"/>
        <v>0</v>
      </c>
      <c r="AP56" s="28">
        <f t="shared" si="10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7"/>
        <v>0</v>
      </c>
      <c r="AV56" s="28">
        <f t="shared" si="7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 t="s">
        <v>407</v>
      </c>
      <c r="N57" s="26">
        <v>1</v>
      </c>
      <c r="O57" s="28" t="s">
        <v>407</v>
      </c>
      <c r="P57" s="28" t="s">
        <v>407</v>
      </c>
      <c r="Q57" s="28" t="s">
        <v>407</v>
      </c>
      <c r="R57" s="28" t="s">
        <v>407</v>
      </c>
      <c r="S57" s="28" t="s">
        <v>407</v>
      </c>
      <c r="T57" s="28" t="s">
        <v>407</v>
      </c>
      <c r="U57" s="28" t="s">
        <v>407</v>
      </c>
      <c r="V57" s="28" t="s">
        <v>407</v>
      </c>
      <c r="W57" s="28" t="s">
        <v>407</v>
      </c>
      <c r="X57" s="29">
        <v>154.4</v>
      </c>
      <c r="Y57" s="30">
        <v>7</v>
      </c>
      <c r="Z57" s="30">
        <v>5.08</v>
      </c>
      <c r="AA57" s="28" t="s">
        <v>407</v>
      </c>
      <c r="AB57" s="28" t="s">
        <v>407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11"/>
        <v>100</v>
      </c>
      <c r="AJ57" s="28">
        <f t="shared" si="12"/>
        <v>0</v>
      </c>
      <c r="AK57" s="28">
        <f t="shared" si="10"/>
        <v>0</v>
      </c>
      <c r="AL57" s="28">
        <f t="shared" si="10"/>
        <v>0</v>
      </c>
      <c r="AM57" s="28">
        <f t="shared" si="10"/>
        <v>0</v>
      </c>
      <c r="AN57" s="28">
        <f t="shared" si="10"/>
        <v>0</v>
      </c>
      <c r="AO57" s="28">
        <f t="shared" si="10"/>
        <v>0</v>
      </c>
      <c r="AP57" s="28">
        <f t="shared" si="10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7"/>
        <v>0</v>
      </c>
      <c r="AV57" s="28">
        <f t="shared" si="7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 t="s">
        <v>407</v>
      </c>
      <c r="N58" s="26">
        <v>2</v>
      </c>
      <c r="O58" s="28" t="s">
        <v>407</v>
      </c>
      <c r="P58" s="28" t="s">
        <v>407</v>
      </c>
      <c r="Q58" s="28" t="s">
        <v>407</v>
      </c>
      <c r="R58" s="28" t="s">
        <v>407</v>
      </c>
      <c r="S58" s="28" t="s">
        <v>407</v>
      </c>
      <c r="T58" s="28" t="s">
        <v>407</v>
      </c>
      <c r="U58" s="28" t="s">
        <v>407</v>
      </c>
      <c r="V58" s="28" t="s">
        <v>407</v>
      </c>
      <c r="W58" s="28" t="s">
        <v>407</v>
      </c>
      <c r="X58" s="29">
        <v>152.6</v>
      </c>
      <c r="Y58" s="30">
        <v>3</v>
      </c>
      <c r="Z58" s="30">
        <v>4.53</v>
      </c>
      <c r="AA58" s="28" t="s">
        <v>407</v>
      </c>
      <c r="AB58" s="28" t="s">
        <v>407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11"/>
        <v>100</v>
      </c>
      <c r="AJ58" s="28">
        <f t="shared" si="12"/>
        <v>0</v>
      </c>
      <c r="AK58" s="28">
        <f t="shared" si="10"/>
        <v>0</v>
      </c>
      <c r="AL58" s="28">
        <f t="shared" si="10"/>
        <v>0</v>
      </c>
      <c r="AM58" s="28">
        <f t="shared" si="10"/>
        <v>0</v>
      </c>
      <c r="AN58" s="28">
        <f t="shared" si="10"/>
        <v>0</v>
      </c>
      <c r="AO58" s="28">
        <f t="shared" si="10"/>
        <v>0</v>
      </c>
      <c r="AP58" s="28">
        <f t="shared" si="10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7"/>
        <v>0</v>
      </c>
      <c r="AV58" s="28">
        <f t="shared" si="7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 t="s">
        <v>407</v>
      </c>
      <c r="N59" s="26">
        <v>3</v>
      </c>
      <c r="O59" s="28" t="s">
        <v>407</v>
      </c>
      <c r="P59" s="28" t="s">
        <v>407</v>
      </c>
      <c r="Q59" s="28" t="s">
        <v>407</v>
      </c>
      <c r="R59" s="28" t="s">
        <v>407</v>
      </c>
      <c r="S59" s="28" t="s">
        <v>407</v>
      </c>
      <c r="T59" s="28" t="s">
        <v>407</v>
      </c>
      <c r="U59" s="28" t="s">
        <v>407</v>
      </c>
      <c r="V59" s="28" t="s">
        <v>407</v>
      </c>
      <c r="W59" s="28" t="s">
        <v>407</v>
      </c>
      <c r="X59" s="29">
        <v>130.80000000000001</v>
      </c>
      <c r="Y59" s="30">
        <v>6</v>
      </c>
      <c r="Z59" s="30">
        <v>4.74</v>
      </c>
      <c r="AA59" s="28" t="s">
        <v>407</v>
      </c>
      <c r="AB59" s="28" t="s">
        <v>407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11"/>
        <v>100</v>
      </c>
      <c r="AJ59" s="28">
        <f t="shared" si="12"/>
        <v>0</v>
      </c>
      <c r="AK59" s="28">
        <f t="shared" si="10"/>
        <v>0</v>
      </c>
      <c r="AL59" s="28">
        <f t="shared" si="10"/>
        <v>0</v>
      </c>
      <c r="AM59" s="28">
        <f t="shared" si="10"/>
        <v>0</v>
      </c>
      <c r="AN59" s="28">
        <f t="shared" si="10"/>
        <v>0</v>
      </c>
      <c r="AO59" s="28">
        <f t="shared" si="10"/>
        <v>0</v>
      </c>
      <c r="AP59" s="28">
        <f t="shared" si="10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7"/>
        <v>0</v>
      </c>
      <c r="AV59" s="28">
        <f t="shared" si="7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 t="s">
        <v>407</v>
      </c>
      <c r="N60" s="26">
        <v>1</v>
      </c>
      <c r="O60" s="28" t="s">
        <v>407</v>
      </c>
      <c r="P60" s="28" t="s">
        <v>407</v>
      </c>
      <c r="Q60" s="28" t="s">
        <v>407</v>
      </c>
      <c r="R60" s="28" t="s">
        <v>407</v>
      </c>
      <c r="S60" s="28" t="s">
        <v>407</v>
      </c>
      <c r="T60" s="28" t="s">
        <v>407</v>
      </c>
      <c r="U60" s="28" t="s">
        <v>407</v>
      </c>
      <c r="V60" s="28" t="s">
        <v>407</v>
      </c>
      <c r="W60" s="28" t="s">
        <v>407</v>
      </c>
      <c r="X60" s="29">
        <v>148.80000000000001</v>
      </c>
      <c r="Y60" s="30">
        <v>4</v>
      </c>
      <c r="Z60" s="30">
        <v>4.99</v>
      </c>
      <c r="AA60" s="28" t="s">
        <v>407</v>
      </c>
      <c r="AB60" s="28" t="s">
        <v>407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11"/>
        <v>100</v>
      </c>
      <c r="AJ60" s="28">
        <f t="shared" si="12"/>
        <v>0</v>
      </c>
      <c r="AK60" s="28">
        <f t="shared" si="10"/>
        <v>0</v>
      </c>
      <c r="AL60" s="28">
        <f t="shared" si="10"/>
        <v>0</v>
      </c>
      <c r="AM60" s="28">
        <f t="shared" si="10"/>
        <v>0</v>
      </c>
      <c r="AN60" s="28">
        <f t="shared" si="10"/>
        <v>0</v>
      </c>
      <c r="AO60" s="28">
        <f t="shared" si="10"/>
        <v>0</v>
      </c>
      <c r="AP60" s="28">
        <f t="shared" si="10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4"/>
    </row>
    <row r="61" spans="1:52" ht="14.2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 t="s">
        <v>407</v>
      </c>
      <c r="N61" s="26">
        <v>2</v>
      </c>
      <c r="O61" s="28" t="s">
        <v>407</v>
      </c>
      <c r="P61" s="28" t="s">
        <v>407</v>
      </c>
      <c r="Q61" s="28" t="s">
        <v>407</v>
      </c>
      <c r="R61" s="28" t="s">
        <v>407</v>
      </c>
      <c r="S61" s="28" t="s">
        <v>407</v>
      </c>
      <c r="T61" s="28" t="s">
        <v>407</v>
      </c>
      <c r="U61" s="28" t="s">
        <v>407</v>
      </c>
      <c r="V61" s="28" t="s">
        <v>407</v>
      </c>
      <c r="W61" s="28" t="s">
        <v>407</v>
      </c>
      <c r="X61" s="35">
        <v>141.6</v>
      </c>
      <c r="Y61" s="30">
        <v>5</v>
      </c>
      <c r="Z61" s="30">
        <v>5.21</v>
      </c>
      <c r="AA61" s="28" t="s">
        <v>407</v>
      </c>
      <c r="AB61" s="28" t="s">
        <v>407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11"/>
        <v>100</v>
      </c>
      <c r="AJ61" s="28">
        <f t="shared" si="12"/>
        <v>0</v>
      </c>
      <c r="AK61" s="28">
        <f t="shared" si="10"/>
        <v>0</v>
      </c>
      <c r="AL61" s="28">
        <f t="shared" si="10"/>
        <v>0</v>
      </c>
      <c r="AM61" s="28">
        <f t="shared" si="10"/>
        <v>0</v>
      </c>
      <c r="AN61" s="28">
        <f t="shared" si="10"/>
        <v>0</v>
      </c>
      <c r="AO61" s="28">
        <f t="shared" si="10"/>
        <v>0</v>
      </c>
      <c r="AP61" s="28">
        <f t="shared" si="10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 t="s">
        <v>407</v>
      </c>
      <c r="N62" s="26">
        <v>3</v>
      </c>
      <c r="O62" s="28" t="s">
        <v>407</v>
      </c>
      <c r="P62" s="28" t="s">
        <v>407</v>
      </c>
      <c r="Q62" s="28" t="s">
        <v>407</v>
      </c>
      <c r="R62" s="28" t="s">
        <v>407</v>
      </c>
      <c r="S62" s="28" t="s">
        <v>407</v>
      </c>
      <c r="T62" s="28" t="s">
        <v>407</v>
      </c>
      <c r="U62" s="28" t="s">
        <v>407</v>
      </c>
      <c r="V62" s="28" t="s">
        <v>407</v>
      </c>
      <c r="W62" s="28" t="s">
        <v>407</v>
      </c>
      <c r="X62" s="35">
        <v>152.69999999999999</v>
      </c>
      <c r="Y62" s="30">
        <v>6</v>
      </c>
      <c r="Z62" s="30">
        <v>4.97</v>
      </c>
      <c r="AA62" s="28" t="s">
        <v>407</v>
      </c>
      <c r="AB62" s="28" t="s">
        <v>407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10"/>
        <v>0</v>
      </c>
      <c r="AL62" s="28">
        <f t="shared" si="10"/>
        <v>0</v>
      </c>
      <c r="AM62" s="28">
        <f t="shared" si="10"/>
        <v>0</v>
      </c>
      <c r="AN62" s="28">
        <f t="shared" si="10"/>
        <v>0</v>
      </c>
      <c r="AO62" s="28">
        <f t="shared" si="10"/>
        <v>0</v>
      </c>
      <c r="AP62" s="28">
        <f t="shared" si="10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14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 t="s">
        <v>407</v>
      </c>
      <c r="N63" s="26">
        <v>1</v>
      </c>
      <c r="O63" s="28" t="s">
        <v>407</v>
      </c>
      <c r="P63" s="28" t="s">
        <v>407</v>
      </c>
      <c r="Q63" s="28" t="s">
        <v>407</v>
      </c>
      <c r="R63" s="28" t="s">
        <v>407</v>
      </c>
      <c r="S63" s="28" t="s">
        <v>407</v>
      </c>
      <c r="T63" s="28" t="s">
        <v>407</v>
      </c>
      <c r="U63" s="28" t="s">
        <v>407</v>
      </c>
      <c r="V63" s="28" t="s">
        <v>407</v>
      </c>
      <c r="W63" s="28" t="s">
        <v>407</v>
      </c>
      <c r="X63" s="35">
        <v>139.9</v>
      </c>
      <c r="Y63" s="30">
        <v>11</v>
      </c>
      <c r="Z63" s="30">
        <v>5.43</v>
      </c>
      <c r="AA63" s="28" t="s">
        <v>407</v>
      </c>
      <c r="AB63" s="28" t="s">
        <v>407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10"/>
        <v>0</v>
      </c>
      <c r="AL63" s="28">
        <f t="shared" si="10"/>
        <v>0</v>
      </c>
      <c r="AM63" s="28">
        <f t="shared" si="10"/>
        <v>0</v>
      </c>
      <c r="AN63" s="28">
        <f t="shared" si="10"/>
        <v>0</v>
      </c>
      <c r="AO63" s="28">
        <f t="shared" si="10"/>
        <v>0</v>
      </c>
      <c r="AP63" s="28">
        <f t="shared" si="10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14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 t="s">
        <v>407</v>
      </c>
      <c r="N64" s="26">
        <v>2</v>
      </c>
      <c r="O64" s="28" t="s">
        <v>407</v>
      </c>
      <c r="P64" s="28" t="s">
        <v>407</v>
      </c>
      <c r="Q64" s="28" t="s">
        <v>407</v>
      </c>
      <c r="R64" s="28" t="s">
        <v>407</v>
      </c>
      <c r="S64" s="28" t="s">
        <v>407</v>
      </c>
      <c r="T64" s="28" t="s">
        <v>407</v>
      </c>
      <c r="U64" s="28" t="s">
        <v>407</v>
      </c>
      <c r="V64" s="28" t="s">
        <v>407</v>
      </c>
      <c r="W64" s="28" t="s">
        <v>407</v>
      </c>
      <c r="X64" s="35">
        <v>120.8</v>
      </c>
      <c r="Y64" s="30">
        <v>12</v>
      </c>
      <c r="Z64" s="30">
        <v>5.5</v>
      </c>
      <c r="AA64" s="28" t="s">
        <v>407</v>
      </c>
      <c r="AB64" s="28" t="s">
        <v>407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10"/>
        <v>0</v>
      </c>
      <c r="AL64" s="28">
        <f t="shared" si="10"/>
        <v>0</v>
      </c>
      <c r="AM64" s="28">
        <f t="shared" si="10"/>
        <v>0</v>
      </c>
      <c r="AN64" s="28">
        <f t="shared" si="10"/>
        <v>0</v>
      </c>
      <c r="AO64" s="28">
        <f t="shared" si="10"/>
        <v>0</v>
      </c>
      <c r="AP64" s="28">
        <f t="shared" si="10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14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4"/>
    </row>
    <row r="65" spans="1:52" ht="14.2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 t="s">
        <v>407</v>
      </c>
      <c r="N65" s="26">
        <v>3</v>
      </c>
      <c r="O65" s="28" t="s">
        <v>407</v>
      </c>
      <c r="P65" s="28" t="s">
        <v>407</v>
      </c>
      <c r="Q65" s="28" t="s">
        <v>407</v>
      </c>
      <c r="R65" s="28" t="s">
        <v>407</v>
      </c>
      <c r="S65" s="28" t="s">
        <v>407</v>
      </c>
      <c r="T65" s="28" t="s">
        <v>407</v>
      </c>
      <c r="U65" s="28" t="s">
        <v>407</v>
      </c>
      <c r="V65" s="28" t="s">
        <v>407</v>
      </c>
      <c r="W65" s="28" t="s">
        <v>407</v>
      </c>
      <c r="X65" s="35">
        <v>138.30000000000001</v>
      </c>
      <c r="Y65" s="30">
        <v>15</v>
      </c>
      <c r="Z65" s="30">
        <v>5.32</v>
      </c>
      <c r="AA65" s="28" t="s">
        <v>407</v>
      </c>
      <c r="AB65" s="28" t="s">
        <v>407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10"/>
        <v>0</v>
      </c>
      <c r="AL65" s="28">
        <f t="shared" si="10"/>
        <v>0</v>
      </c>
      <c r="AM65" s="28">
        <f t="shared" si="10"/>
        <v>0</v>
      </c>
      <c r="AN65" s="28">
        <f t="shared" si="10"/>
        <v>0</v>
      </c>
      <c r="AO65" s="28">
        <f t="shared" si="10"/>
        <v>0</v>
      </c>
      <c r="AP65" s="28">
        <f t="shared" si="10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14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 t="s">
        <v>407</v>
      </c>
      <c r="N66" s="26">
        <v>1</v>
      </c>
      <c r="O66" s="28" t="s">
        <v>407</v>
      </c>
      <c r="P66" s="28" t="s">
        <v>407</v>
      </c>
      <c r="Q66" s="28" t="s">
        <v>407</v>
      </c>
      <c r="R66" s="28" t="s">
        <v>407</v>
      </c>
      <c r="S66" s="28" t="s">
        <v>407</v>
      </c>
      <c r="T66" s="28" t="s">
        <v>407</v>
      </c>
      <c r="U66" s="28" t="s">
        <v>407</v>
      </c>
      <c r="V66" s="28" t="s">
        <v>407</v>
      </c>
      <c r="W66" s="28" t="s">
        <v>407</v>
      </c>
      <c r="X66" s="35">
        <v>105</v>
      </c>
      <c r="Y66" s="30">
        <v>10</v>
      </c>
      <c r="Z66" s="30">
        <v>5.64</v>
      </c>
      <c r="AA66" s="28" t="s">
        <v>407</v>
      </c>
      <c r="AB66" s="28" t="s">
        <v>407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10"/>
        <v>0</v>
      </c>
      <c r="AL66" s="28">
        <f t="shared" si="10"/>
        <v>0</v>
      </c>
      <c r="AM66" s="28">
        <f t="shared" si="10"/>
        <v>0</v>
      </c>
      <c r="AN66" s="28">
        <f t="shared" si="10"/>
        <v>0</v>
      </c>
      <c r="AO66" s="28">
        <f t="shared" si="10"/>
        <v>0</v>
      </c>
      <c r="AP66" s="28">
        <f t="shared" si="10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14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 t="s">
        <v>407</v>
      </c>
      <c r="N67" s="26">
        <v>2</v>
      </c>
      <c r="O67" s="28" t="s">
        <v>407</v>
      </c>
      <c r="P67" s="28" t="s">
        <v>407</v>
      </c>
      <c r="Q67" s="28" t="s">
        <v>407</v>
      </c>
      <c r="R67" s="28" t="s">
        <v>407</v>
      </c>
      <c r="S67" s="28" t="s">
        <v>407</v>
      </c>
      <c r="T67" s="28" t="s">
        <v>407</v>
      </c>
      <c r="U67" s="28" t="s">
        <v>407</v>
      </c>
      <c r="V67" s="28" t="s">
        <v>407</v>
      </c>
      <c r="W67" s="28" t="s">
        <v>407</v>
      </c>
      <c r="X67" s="35">
        <v>144.30000000000001</v>
      </c>
      <c r="Y67" s="30">
        <v>18</v>
      </c>
      <c r="Z67" s="30">
        <v>5.33</v>
      </c>
      <c r="AA67" s="28" t="s">
        <v>407</v>
      </c>
      <c r="AB67" s="28" t="s">
        <v>407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10"/>
        <v>0</v>
      </c>
      <c r="AL67" s="28">
        <f t="shared" si="10"/>
        <v>0</v>
      </c>
      <c r="AM67" s="28">
        <f t="shared" si="10"/>
        <v>0</v>
      </c>
      <c r="AN67" s="28">
        <f t="shared" si="10"/>
        <v>0</v>
      </c>
      <c r="AO67" s="28">
        <f t="shared" si="10"/>
        <v>0</v>
      </c>
      <c r="AP67" s="28">
        <f t="shared" si="10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14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 t="s">
        <v>407</v>
      </c>
      <c r="N68" s="26">
        <v>3</v>
      </c>
      <c r="O68" s="28" t="s">
        <v>407</v>
      </c>
      <c r="P68" s="28" t="s">
        <v>407</v>
      </c>
      <c r="Q68" s="28" t="s">
        <v>407</v>
      </c>
      <c r="R68" s="28" t="s">
        <v>407</v>
      </c>
      <c r="S68" s="28" t="s">
        <v>407</v>
      </c>
      <c r="T68" s="28" t="s">
        <v>407</v>
      </c>
      <c r="U68" s="28" t="s">
        <v>407</v>
      </c>
      <c r="V68" s="28" t="s">
        <v>407</v>
      </c>
      <c r="W68" s="28" t="s">
        <v>407</v>
      </c>
      <c r="X68" s="35">
        <v>132.19999999999999</v>
      </c>
      <c r="Y68" s="30">
        <v>12</v>
      </c>
      <c r="Z68" s="30">
        <v>5.29</v>
      </c>
      <c r="AA68" s="28" t="s">
        <v>407</v>
      </c>
      <c r="AB68" s="28" t="s">
        <v>407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10"/>
        <v>0</v>
      </c>
      <c r="AL68" s="28">
        <f t="shared" si="10"/>
        <v>0</v>
      </c>
      <c r="AM68" s="28">
        <f t="shared" si="10"/>
        <v>0</v>
      </c>
      <c r="AN68" s="28">
        <f t="shared" si="10"/>
        <v>0</v>
      </c>
      <c r="AO68" s="28">
        <f t="shared" si="10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14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25">
      <c r="A69" s="23" t="s">
        <v>194</v>
      </c>
      <c r="B69" s="24" t="s">
        <v>176</v>
      </c>
      <c r="C69" s="24" t="s">
        <v>121</v>
      </c>
      <c r="D69" s="26" t="s">
        <v>407</v>
      </c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 t="s">
        <v>407</v>
      </c>
      <c r="N69" s="26">
        <v>1</v>
      </c>
      <c r="O69" s="28" t="s">
        <v>407</v>
      </c>
      <c r="P69" s="28" t="s">
        <v>407</v>
      </c>
      <c r="Q69" s="28" t="s">
        <v>407</v>
      </c>
      <c r="R69" s="28" t="s">
        <v>407</v>
      </c>
      <c r="S69" s="28" t="s">
        <v>407</v>
      </c>
      <c r="T69" s="28" t="s">
        <v>407</v>
      </c>
      <c r="U69" s="28" t="s">
        <v>407</v>
      </c>
      <c r="V69" s="28" t="s">
        <v>407</v>
      </c>
      <c r="W69" s="28" t="s">
        <v>407</v>
      </c>
      <c r="X69" s="28" t="s">
        <v>407</v>
      </c>
      <c r="Y69" s="28" t="s">
        <v>407</v>
      </c>
      <c r="Z69" s="28" t="s">
        <v>407</v>
      </c>
      <c r="AA69" s="28" t="s">
        <v>407</v>
      </c>
      <c r="AB69" s="28" t="s">
        <v>407</v>
      </c>
      <c r="AC69" s="28" t="s">
        <v>407</v>
      </c>
      <c r="AD69" s="28" t="s">
        <v>407</v>
      </c>
      <c r="AE69" s="28" t="s">
        <v>407</v>
      </c>
      <c r="AF69" s="28" t="s">
        <v>407</v>
      </c>
      <c r="AG69" s="28" t="s">
        <v>407</v>
      </c>
      <c r="AH69" s="28" t="s">
        <v>407</v>
      </c>
      <c r="AI69" s="28" t="s">
        <v>407</v>
      </c>
      <c r="AJ69" s="28" t="s">
        <v>407</v>
      </c>
      <c r="AK69" s="28" t="s">
        <v>407</v>
      </c>
      <c r="AL69" s="28" t="s">
        <v>407</v>
      </c>
      <c r="AM69" s="28" t="s">
        <v>407</v>
      </c>
      <c r="AN69" s="28" t="s">
        <v>407</v>
      </c>
      <c r="AO69" s="28" t="s">
        <v>407</v>
      </c>
      <c r="AP69" s="28" t="s">
        <v>407</v>
      </c>
      <c r="AQ69" s="28" t="s">
        <v>407</v>
      </c>
      <c r="AR69" s="28" t="s">
        <v>407</v>
      </c>
      <c r="AS69" s="28" t="s">
        <v>407</v>
      </c>
      <c r="AT69" s="28" t="s">
        <v>407</v>
      </c>
      <c r="AU69" s="28" t="s">
        <v>407</v>
      </c>
      <c r="AV69" s="28" t="s">
        <v>407</v>
      </c>
      <c r="AW69" s="28" t="s">
        <v>407</v>
      </c>
      <c r="AX69" s="28" t="s">
        <v>407</v>
      </c>
      <c r="AY69" s="28" t="s">
        <v>407</v>
      </c>
      <c r="AZ69" s="34"/>
    </row>
    <row r="70" spans="1:52" ht="14.25" customHeight="1" x14ac:dyDescent="0.25">
      <c r="A70" s="23" t="s">
        <v>195</v>
      </c>
      <c r="B70" s="24" t="s">
        <v>176</v>
      </c>
      <c r="C70" s="24" t="s">
        <v>121</v>
      </c>
      <c r="D70" s="26" t="s">
        <v>407</v>
      </c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 t="s">
        <v>407</v>
      </c>
      <c r="N70" s="26">
        <v>2</v>
      </c>
      <c r="O70" s="28" t="s">
        <v>407</v>
      </c>
      <c r="P70" s="28" t="s">
        <v>407</v>
      </c>
      <c r="Q70" s="28" t="s">
        <v>407</v>
      </c>
      <c r="R70" s="28" t="s">
        <v>407</v>
      </c>
      <c r="S70" s="28" t="s">
        <v>407</v>
      </c>
      <c r="T70" s="28" t="s">
        <v>407</v>
      </c>
      <c r="U70" s="28" t="s">
        <v>407</v>
      </c>
      <c r="V70" s="28" t="s">
        <v>407</v>
      </c>
      <c r="W70" s="28" t="s">
        <v>407</v>
      </c>
      <c r="X70" s="28" t="s">
        <v>407</v>
      </c>
      <c r="Y70" s="28" t="s">
        <v>407</v>
      </c>
      <c r="Z70" s="28" t="s">
        <v>407</v>
      </c>
      <c r="AA70" s="28" t="s">
        <v>407</v>
      </c>
      <c r="AB70" s="28" t="s">
        <v>407</v>
      </c>
      <c r="AC70" s="28" t="s">
        <v>407</v>
      </c>
      <c r="AD70" s="28" t="s">
        <v>407</v>
      </c>
      <c r="AE70" s="28" t="s">
        <v>407</v>
      </c>
      <c r="AF70" s="28" t="s">
        <v>407</v>
      </c>
      <c r="AG70" s="28" t="s">
        <v>407</v>
      </c>
      <c r="AH70" s="28" t="s">
        <v>407</v>
      </c>
      <c r="AI70" s="28" t="s">
        <v>407</v>
      </c>
      <c r="AJ70" s="28" t="s">
        <v>407</v>
      </c>
      <c r="AK70" s="28" t="s">
        <v>407</v>
      </c>
      <c r="AL70" s="28" t="s">
        <v>407</v>
      </c>
      <c r="AM70" s="28" t="s">
        <v>407</v>
      </c>
      <c r="AN70" s="28" t="s">
        <v>407</v>
      </c>
      <c r="AO70" s="28" t="s">
        <v>407</v>
      </c>
      <c r="AP70" s="28" t="s">
        <v>407</v>
      </c>
      <c r="AQ70" s="28" t="s">
        <v>407</v>
      </c>
      <c r="AR70" s="28" t="s">
        <v>407</v>
      </c>
      <c r="AS70" s="28" t="s">
        <v>407</v>
      </c>
      <c r="AT70" s="28" t="s">
        <v>407</v>
      </c>
      <c r="AU70" s="28" t="s">
        <v>407</v>
      </c>
      <c r="AV70" s="28" t="s">
        <v>407</v>
      </c>
      <c r="AW70" s="28" t="s">
        <v>407</v>
      </c>
      <c r="AX70" s="28" t="s">
        <v>407</v>
      </c>
      <c r="AY70" s="28" t="s">
        <v>407</v>
      </c>
      <c r="AZ70" s="34"/>
    </row>
    <row r="71" spans="1:52" ht="14.25" customHeight="1" x14ac:dyDescent="0.25">
      <c r="A71" s="23" t="s">
        <v>196</v>
      </c>
      <c r="B71" s="24" t="s">
        <v>176</v>
      </c>
      <c r="C71" s="24" t="s">
        <v>121</v>
      </c>
      <c r="D71" s="26" t="s">
        <v>407</v>
      </c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 t="s">
        <v>407</v>
      </c>
      <c r="N71" s="26">
        <v>3</v>
      </c>
      <c r="O71" s="28" t="s">
        <v>407</v>
      </c>
      <c r="P71" s="28" t="s">
        <v>407</v>
      </c>
      <c r="Q71" s="28" t="s">
        <v>407</v>
      </c>
      <c r="R71" s="28" t="s">
        <v>407</v>
      </c>
      <c r="S71" s="28" t="s">
        <v>407</v>
      </c>
      <c r="T71" s="28" t="s">
        <v>407</v>
      </c>
      <c r="U71" s="28" t="s">
        <v>407</v>
      </c>
      <c r="V71" s="28" t="s">
        <v>407</v>
      </c>
      <c r="W71" s="28" t="s">
        <v>407</v>
      </c>
      <c r="X71" s="28" t="s">
        <v>407</v>
      </c>
      <c r="Y71" s="28" t="s">
        <v>407</v>
      </c>
      <c r="Z71" s="28" t="s">
        <v>407</v>
      </c>
      <c r="AA71" s="28" t="s">
        <v>407</v>
      </c>
      <c r="AB71" s="28" t="s">
        <v>407</v>
      </c>
      <c r="AC71" s="28" t="s">
        <v>407</v>
      </c>
      <c r="AD71" s="28" t="s">
        <v>407</v>
      </c>
      <c r="AE71" s="28" t="s">
        <v>407</v>
      </c>
      <c r="AF71" s="28" t="s">
        <v>407</v>
      </c>
      <c r="AG71" s="28" t="s">
        <v>407</v>
      </c>
      <c r="AH71" s="28" t="s">
        <v>407</v>
      </c>
      <c r="AI71" s="28" t="s">
        <v>407</v>
      </c>
      <c r="AJ71" s="28" t="s">
        <v>407</v>
      </c>
      <c r="AK71" s="28" t="s">
        <v>407</v>
      </c>
      <c r="AL71" s="28" t="s">
        <v>407</v>
      </c>
      <c r="AM71" s="28" t="s">
        <v>407</v>
      </c>
      <c r="AN71" s="28" t="s">
        <v>407</v>
      </c>
      <c r="AO71" s="28" t="s">
        <v>407</v>
      </c>
      <c r="AP71" s="28" t="s">
        <v>407</v>
      </c>
      <c r="AQ71" s="28" t="s">
        <v>407</v>
      </c>
      <c r="AR71" s="28" t="s">
        <v>407</v>
      </c>
      <c r="AS71" s="28" t="s">
        <v>407</v>
      </c>
      <c r="AT71" s="28" t="s">
        <v>407</v>
      </c>
      <c r="AU71" s="28" t="s">
        <v>407</v>
      </c>
      <c r="AV71" s="28" t="s">
        <v>407</v>
      </c>
      <c r="AW71" s="28" t="s">
        <v>407</v>
      </c>
      <c r="AX71" s="28" t="s">
        <v>407</v>
      </c>
      <c r="AY71" s="28" t="s">
        <v>407</v>
      </c>
      <c r="AZ71" s="34"/>
    </row>
    <row r="72" spans="1:52" ht="14.2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 t="s">
        <v>407</v>
      </c>
      <c r="N72" s="26">
        <v>1</v>
      </c>
      <c r="O72" s="28" t="s">
        <v>407</v>
      </c>
      <c r="P72" s="28" t="s">
        <v>407</v>
      </c>
      <c r="Q72" s="28" t="s">
        <v>407</v>
      </c>
      <c r="R72" s="28" t="s">
        <v>407</v>
      </c>
      <c r="S72" s="28" t="s">
        <v>407</v>
      </c>
      <c r="T72" s="28" t="s">
        <v>407</v>
      </c>
      <c r="U72" s="28" t="s">
        <v>407</v>
      </c>
      <c r="V72" s="28" t="s">
        <v>407</v>
      </c>
      <c r="W72" s="28" t="s">
        <v>407</v>
      </c>
      <c r="X72" s="28">
        <v>85.2</v>
      </c>
      <c r="Y72" s="28">
        <v>346</v>
      </c>
      <c r="Z72" s="28">
        <v>5.57</v>
      </c>
      <c r="AA72" s="28" t="s">
        <v>407</v>
      </c>
      <c r="AB72" s="28" t="s">
        <v>407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15">AVERAGE(90,90,90,90)</f>
        <v>90</v>
      </c>
      <c r="AJ72" s="28">
        <f t="shared" ref="AJ72:AJ77" si="16">AVERAGE(10,10,10,10)</f>
        <v>10</v>
      </c>
      <c r="AK72" s="28">
        <f t="shared" ref="AK72:AQ87" si="17">AVERAGE(0,0,0,0)</f>
        <v>0</v>
      </c>
      <c r="AL72" s="28">
        <f t="shared" si="17"/>
        <v>0</v>
      </c>
      <c r="AM72" s="28">
        <f t="shared" si="17"/>
        <v>0</v>
      </c>
      <c r="AN72" s="28">
        <f t="shared" si="17"/>
        <v>0</v>
      </c>
      <c r="AO72" s="28">
        <f t="shared" si="17"/>
        <v>0</v>
      </c>
      <c r="AP72" s="28">
        <f t="shared" si="17"/>
        <v>0</v>
      </c>
      <c r="AQ72" s="28">
        <f t="shared" si="17"/>
        <v>0</v>
      </c>
      <c r="AR72" s="28">
        <f>AVERAGE(5,5,5,5)</f>
        <v>5</v>
      </c>
      <c r="AS72" s="28">
        <f>AVERAGE(80,80,80,80)</f>
        <v>80</v>
      </c>
      <c r="AT72" s="28">
        <f t="shared" ref="AT72:AT80" si="18">AVERAGE(5,5,5,5)</f>
        <v>5</v>
      </c>
      <c r="AU72" s="28">
        <f t="shared" ref="AU72:AX98" si="19">AVERAGE(0,0,0,0)</f>
        <v>0</v>
      </c>
      <c r="AV72" s="28">
        <f t="shared" si="19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 t="s">
        <v>407</v>
      </c>
      <c r="N73" s="26">
        <v>2</v>
      </c>
      <c r="O73" s="28" t="s">
        <v>407</v>
      </c>
      <c r="P73" s="28" t="s">
        <v>407</v>
      </c>
      <c r="Q73" s="28" t="s">
        <v>407</v>
      </c>
      <c r="R73" s="28" t="s">
        <v>407</v>
      </c>
      <c r="S73" s="28" t="s">
        <v>407</v>
      </c>
      <c r="T73" s="28" t="s">
        <v>407</v>
      </c>
      <c r="U73" s="28" t="s">
        <v>407</v>
      </c>
      <c r="V73" s="28" t="s">
        <v>407</v>
      </c>
      <c r="W73" s="28" t="s">
        <v>407</v>
      </c>
      <c r="X73" s="28">
        <v>107.1</v>
      </c>
      <c r="Y73" s="28">
        <v>69</v>
      </c>
      <c r="Z73" s="28">
        <v>5.49</v>
      </c>
      <c r="AA73" s="28" t="s">
        <v>407</v>
      </c>
      <c r="AB73" s="28" t="s">
        <v>407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15"/>
        <v>90</v>
      </c>
      <c r="AJ73" s="28">
        <f t="shared" si="16"/>
        <v>10</v>
      </c>
      <c r="AK73" s="28">
        <f t="shared" si="17"/>
        <v>0</v>
      </c>
      <c r="AL73" s="28">
        <f t="shared" si="17"/>
        <v>0</v>
      </c>
      <c r="AM73" s="28">
        <f t="shared" si="17"/>
        <v>0</v>
      </c>
      <c r="AN73" s="28">
        <f t="shared" si="17"/>
        <v>0</v>
      </c>
      <c r="AO73" s="28">
        <f t="shared" si="17"/>
        <v>0</v>
      </c>
      <c r="AP73" s="28">
        <f t="shared" si="17"/>
        <v>0</v>
      </c>
      <c r="AQ73" s="28">
        <f t="shared" si="17"/>
        <v>0</v>
      </c>
      <c r="AR73" s="28">
        <f>AVERAGE(5,5,5,5)</f>
        <v>5</v>
      </c>
      <c r="AS73" s="28">
        <f>AVERAGE(80,80,80,80)</f>
        <v>80</v>
      </c>
      <c r="AT73" s="28">
        <f t="shared" si="18"/>
        <v>5</v>
      </c>
      <c r="AU73" s="28">
        <f t="shared" si="19"/>
        <v>0</v>
      </c>
      <c r="AV73" s="28">
        <f t="shared" si="19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 t="s">
        <v>407</v>
      </c>
      <c r="N74" s="26">
        <v>3</v>
      </c>
      <c r="O74" s="28" t="s">
        <v>407</v>
      </c>
      <c r="P74" s="28" t="s">
        <v>407</v>
      </c>
      <c r="Q74" s="28" t="s">
        <v>407</v>
      </c>
      <c r="R74" s="28" t="s">
        <v>407</v>
      </c>
      <c r="S74" s="28" t="s">
        <v>407</v>
      </c>
      <c r="T74" s="28" t="s">
        <v>407</v>
      </c>
      <c r="U74" s="28" t="s">
        <v>407</v>
      </c>
      <c r="V74" s="28" t="s">
        <v>407</v>
      </c>
      <c r="W74" s="28" t="s">
        <v>407</v>
      </c>
      <c r="X74" s="28">
        <v>104.8</v>
      </c>
      <c r="Y74" s="28">
        <v>40</v>
      </c>
      <c r="Z74" s="28">
        <v>5.35</v>
      </c>
      <c r="AA74" s="28" t="s">
        <v>407</v>
      </c>
      <c r="AB74" s="28" t="s">
        <v>407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15"/>
        <v>90</v>
      </c>
      <c r="AJ74" s="28">
        <f t="shared" si="16"/>
        <v>10</v>
      </c>
      <c r="AK74" s="28">
        <f t="shared" si="17"/>
        <v>0</v>
      </c>
      <c r="AL74" s="28">
        <f t="shared" si="17"/>
        <v>0</v>
      </c>
      <c r="AM74" s="28">
        <f t="shared" si="17"/>
        <v>0</v>
      </c>
      <c r="AN74" s="28">
        <f t="shared" si="17"/>
        <v>0</v>
      </c>
      <c r="AO74" s="28">
        <f t="shared" si="17"/>
        <v>0</v>
      </c>
      <c r="AP74" s="28">
        <f t="shared" si="17"/>
        <v>0</v>
      </c>
      <c r="AQ74" s="28">
        <f t="shared" si="17"/>
        <v>0</v>
      </c>
      <c r="AR74" s="28">
        <f>AVERAGE(0,0,0,0)</f>
        <v>0</v>
      </c>
      <c r="AS74" s="28">
        <f>AVERAGE(75,75,75,75)</f>
        <v>75</v>
      </c>
      <c r="AT74" s="28">
        <f t="shared" si="18"/>
        <v>5</v>
      </c>
      <c r="AU74" s="28">
        <f t="shared" si="19"/>
        <v>0</v>
      </c>
      <c r="AV74" s="28">
        <f t="shared" si="19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 t="s">
        <v>407</v>
      </c>
      <c r="N75" s="26">
        <v>1</v>
      </c>
      <c r="O75" s="28" t="s">
        <v>407</v>
      </c>
      <c r="P75" s="28" t="s">
        <v>407</v>
      </c>
      <c r="Q75" s="28" t="s">
        <v>407</v>
      </c>
      <c r="R75" s="28" t="s">
        <v>407</v>
      </c>
      <c r="S75" s="28" t="s">
        <v>407</v>
      </c>
      <c r="T75" s="28" t="s">
        <v>407</v>
      </c>
      <c r="U75" s="28" t="s">
        <v>407</v>
      </c>
      <c r="V75" s="28" t="s">
        <v>407</v>
      </c>
      <c r="W75" s="28" t="s">
        <v>407</v>
      </c>
      <c r="X75" s="28">
        <v>82.65</v>
      </c>
      <c r="Y75" s="28">
        <v>9</v>
      </c>
      <c r="Z75" s="28">
        <v>5.51</v>
      </c>
      <c r="AA75" s="28" t="s">
        <v>407</v>
      </c>
      <c r="AB75" s="28" t="s">
        <v>407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15"/>
        <v>90</v>
      </c>
      <c r="AJ75" s="28">
        <f t="shared" si="16"/>
        <v>10</v>
      </c>
      <c r="AK75" s="28">
        <f t="shared" si="17"/>
        <v>0</v>
      </c>
      <c r="AL75" s="28">
        <f t="shared" si="17"/>
        <v>0</v>
      </c>
      <c r="AM75" s="28">
        <f t="shared" si="17"/>
        <v>0</v>
      </c>
      <c r="AN75" s="28">
        <f t="shared" si="17"/>
        <v>0</v>
      </c>
      <c r="AO75" s="28">
        <f t="shared" si="17"/>
        <v>0</v>
      </c>
      <c r="AP75" s="28">
        <f t="shared" si="17"/>
        <v>0</v>
      </c>
      <c r="AQ75" s="28">
        <f t="shared" si="17"/>
        <v>0</v>
      </c>
      <c r="AR75" s="28">
        <f>AVERAGE(10,10,10,10)</f>
        <v>10</v>
      </c>
      <c r="AS75" s="28">
        <f>AVERAGE(70,70,70,70)</f>
        <v>70</v>
      </c>
      <c r="AT75" s="28">
        <f t="shared" si="18"/>
        <v>5</v>
      </c>
      <c r="AU75" s="28">
        <f t="shared" si="19"/>
        <v>0</v>
      </c>
      <c r="AV75" s="28">
        <f t="shared" si="19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 t="s">
        <v>407</v>
      </c>
      <c r="N76" s="26">
        <v>2</v>
      </c>
      <c r="O76" s="28" t="s">
        <v>407</v>
      </c>
      <c r="P76" s="28" t="s">
        <v>407</v>
      </c>
      <c r="Q76" s="28" t="s">
        <v>407</v>
      </c>
      <c r="R76" s="28" t="s">
        <v>407</v>
      </c>
      <c r="S76" s="28" t="s">
        <v>407</v>
      </c>
      <c r="T76" s="28" t="s">
        <v>407</v>
      </c>
      <c r="U76" s="28" t="s">
        <v>407</v>
      </c>
      <c r="V76" s="28" t="s">
        <v>407</v>
      </c>
      <c r="W76" s="28" t="s">
        <v>407</v>
      </c>
      <c r="X76" s="28">
        <v>78.3</v>
      </c>
      <c r="Y76" s="28">
        <v>21</v>
      </c>
      <c r="Z76" s="28">
        <v>5.73</v>
      </c>
      <c r="AA76" s="28" t="s">
        <v>407</v>
      </c>
      <c r="AB76" s="28" t="s">
        <v>407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15"/>
        <v>90</v>
      </c>
      <c r="AJ76" s="28">
        <f t="shared" si="16"/>
        <v>10</v>
      </c>
      <c r="AK76" s="28">
        <f t="shared" si="17"/>
        <v>0</v>
      </c>
      <c r="AL76" s="28">
        <f t="shared" si="17"/>
        <v>0</v>
      </c>
      <c r="AM76" s="28">
        <f t="shared" si="17"/>
        <v>0</v>
      </c>
      <c r="AN76" s="28">
        <f t="shared" si="17"/>
        <v>0</v>
      </c>
      <c r="AO76" s="28">
        <f t="shared" si="17"/>
        <v>0</v>
      </c>
      <c r="AP76" s="28">
        <f t="shared" si="17"/>
        <v>0</v>
      </c>
      <c r="AQ76" s="28">
        <f t="shared" si="17"/>
        <v>0</v>
      </c>
      <c r="AR76" s="28">
        <f>AVERAGE(10,10,10,10)</f>
        <v>10</v>
      </c>
      <c r="AS76" s="28">
        <f>AVERAGE(80,80,80,80)</f>
        <v>80</v>
      </c>
      <c r="AT76" s="28">
        <f t="shared" si="18"/>
        <v>5</v>
      </c>
      <c r="AU76" s="28">
        <f t="shared" si="19"/>
        <v>0</v>
      </c>
      <c r="AV76" s="28">
        <f t="shared" si="19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 t="s">
        <v>407</v>
      </c>
      <c r="N77" s="26">
        <v>3</v>
      </c>
      <c r="O77" s="28" t="s">
        <v>407</v>
      </c>
      <c r="P77" s="28" t="s">
        <v>407</v>
      </c>
      <c r="Q77" s="28" t="s">
        <v>407</v>
      </c>
      <c r="R77" s="28" t="s">
        <v>407</v>
      </c>
      <c r="S77" s="28" t="s">
        <v>407</v>
      </c>
      <c r="T77" s="28" t="s">
        <v>407</v>
      </c>
      <c r="U77" s="28" t="s">
        <v>407</v>
      </c>
      <c r="V77" s="28" t="s">
        <v>407</v>
      </c>
      <c r="W77" s="28" t="s">
        <v>407</v>
      </c>
      <c r="X77" s="28">
        <v>82.93</v>
      </c>
      <c r="Y77" s="28">
        <v>20</v>
      </c>
      <c r="Z77" s="28">
        <v>5.96</v>
      </c>
      <c r="AA77" s="28" t="s">
        <v>407</v>
      </c>
      <c r="AB77" s="28" t="s">
        <v>407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15"/>
        <v>90</v>
      </c>
      <c r="AJ77" s="28">
        <f t="shared" si="16"/>
        <v>10</v>
      </c>
      <c r="AK77" s="28">
        <f t="shared" si="17"/>
        <v>0</v>
      </c>
      <c r="AL77" s="28">
        <f t="shared" si="17"/>
        <v>0</v>
      </c>
      <c r="AM77" s="28">
        <f t="shared" si="17"/>
        <v>0</v>
      </c>
      <c r="AN77" s="28">
        <f t="shared" si="17"/>
        <v>0</v>
      </c>
      <c r="AO77" s="28">
        <f t="shared" si="17"/>
        <v>0</v>
      </c>
      <c r="AP77" s="28">
        <f t="shared" si="17"/>
        <v>0</v>
      </c>
      <c r="AQ77" s="28">
        <f t="shared" si="17"/>
        <v>0</v>
      </c>
      <c r="AR77" s="28">
        <f>AVERAGE(15,15,15,15)</f>
        <v>15</v>
      </c>
      <c r="AS77" s="28">
        <f>AVERAGE(80,80,80,80)</f>
        <v>80</v>
      </c>
      <c r="AT77" s="28">
        <f t="shared" si="18"/>
        <v>5</v>
      </c>
      <c r="AU77" s="28">
        <f t="shared" si="19"/>
        <v>0</v>
      </c>
      <c r="AV77" s="28">
        <f t="shared" si="19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 t="s">
        <v>407</v>
      </c>
      <c r="N78" s="26">
        <v>1</v>
      </c>
      <c r="O78" s="28" t="s">
        <v>407</v>
      </c>
      <c r="P78" s="28" t="s">
        <v>407</v>
      </c>
      <c r="Q78" s="28" t="s">
        <v>407</v>
      </c>
      <c r="R78" s="28" t="s">
        <v>407</v>
      </c>
      <c r="S78" s="28" t="s">
        <v>407</v>
      </c>
      <c r="T78" s="28" t="s">
        <v>407</v>
      </c>
      <c r="U78" s="28" t="s">
        <v>407</v>
      </c>
      <c r="V78" s="28" t="s">
        <v>407</v>
      </c>
      <c r="W78" s="28" t="s">
        <v>407</v>
      </c>
      <c r="X78" s="28">
        <v>181.1</v>
      </c>
      <c r="Y78" s="28">
        <v>41</v>
      </c>
      <c r="Z78" s="28">
        <v>6.07</v>
      </c>
      <c r="AA78" s="28" t="s">
        <v>407</v>
      </c>
      <c r="AB78" s="28" t="s">
        <v>407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17"/>
        <v>0</v>
      </c>
      <c r="AL78" s="28">
        <f t="shared" si="17"/>
        <v>0</v>
      </c>
      <c r="AM78" s="28">
        <f t="shared" si="17"/>
        <v>0</v>
      </c>
      <c r="AN78" s="28">
        <f t="shared" si="17"/>
        <v>0</v>
      </c>
      <c r="AO78" s="28">
        <f t="shared" si="17"/>
        <v>0</v>
      </c>
      <c r="AP78" s="28">
        <f t="shared" si="17"/>
        <v>0</v>
      </c>
      <c r="AQ78" s="28">
        <f t="shared" si="17"/>
        <v>0</v>
      </c>
      <c r="AR78" s="28">
        <f>AVERAGE(10,10,10,10)</f>
        <v>10</v>
      </c>
      <c r="AS78" s="28">
        <f>AVERAGE(85,85,85,85)</f>
        <v>85</v>
      </c>
      <c r="AT78" s="28">
        <f t="shared" si="18"/>
        <v>5</v>
      </c>
      <c r="AU78" s="28">
        <f t="shared" si="19"/>
        <v>0</v>
      </c>
      <c r="AV78" s="28">
        <f t="shared" si="19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 t="s">
        <v>407</v>
      </c>
      <c r="N79" s="26">
        <v>2</v>
      </c>
      <c r="O79" s="28" t="s">
        <v>407</v>
      </c>
      <c r="P79" s="28" t="s">
        <v>407</v>
      </c>
      <c r="Q79" s="28" t="s">
        <v>407</v>
      </c>
      <c r="R79" s="28" t="s">
        <v>407</v>
      </c>
      <c r="S79" s="28" t="s">
        <v>407</v>
      </c>
      <c r="T79" s="28" t="s">
        <v>407</v>
      </c>
      <c r="U79" s="28" t="s">
        <v>407</v>
      </c>
      <c r="V79" s="28" t="s">
        <v>407</v>
      </c>
      <c r="W79" s="28" t="s">
        <v>407</v>
      </c>
      <c r="X79" s="28">
        <v>116</v>
      </c>
      <c r="Y79" s="28">
        <v>33</v>
      </c>
      <c r="Z79" s="28">
        <v>6.02</v>
      </c>
      <c r="AA79" s="28" t="s">
        <v>407</v>
      </c>
      <c r="AB79" s="28" t="s">
        <v>407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17"/>
        <v>0</v>
      </c>
      <c r="AL79" s="28">
        <f t="shared" si="17"/>
        <v>0</v>
      </c>
      <c r="AM79" s="28">
        <f t="shared" si="17"/>
        <v>0</v>
      </c>
      <c r="AN79" s="28">
        <f t="shared" si="17"/>
        <v>0</v>
      </c>
      <c r="AO79" s="28">
        <f t="shared" si="17"/>
        <v>0</v>
      </c>
      <c r="AP79" s="28">
        <f t="shared" si="17"/>
        <v>0</v>
      </c>
      <c r="AQ79" s="28">
        <f t="shared" si="17"/>
        <v>0</v>
      </c>
      <c r="AR79" s="28">
        <f>AVERAGE(5,5,5,5)</f>
        <v>5</v>
      </c>
      <c r="AS79" s="28">
        <f>AVERAGE(70,70,70,70)</f>
        <v>70</v>
      </c>
      <c r="AT79" s="28">
        <f t="shared" si="18"/>
        <v>5</v>
      </c>
      <c r="AU79" s="28">
        <f t="shared" si="19"/>
        <v>0</v>
      </c>
      <c r="AV79" s="28">
        <f t="shared" si="19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 t="s">
        <v>407</v>
      </c>
      <c r="N80" s="26">
        <v>3</v>
      </c>
      <c r="O80" s="28" t="s">
        <v>407</v>
      </c>
      <c r="P80" s="28" t="s">
        <v>407</v>
      </c>
      <c r="Q80" s="28" t="s">
        <v>407</v>
      </c>
      <c r="R80" s="28" t="s">
        <v>407</v>
      </c>
      <c r="S80" s="28" t="s">
        <v>407</v>
      </c>
      <c r="T80" s="28" t="s">
        <v>407</v>
      </c>
      <c r="U80" s="28" t="s">
        <v>407</v>
      </c>
      <c r="V80" s="28" t="s">
        <v>407</v>
      </c>
      <c r="W80" s="28" t="s">
        <v>407</v>
      </c>
      <c r="X80" s="28">
        <v>92.25</v>
      </c>
      <c r="Y80" s="28">
        <v>44</v>
      </c>
      <c r="Z80" s="28">
        <v>5.97</v>
      </c>
      <c r="AA80" s="28" t="s">
        <v>407</v>
      </c>
      <c r="AB80" s="28" t="s">
        <v>407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17"/>
        <v>0</v>
      </c>
      <c r="AL80" s="28">
        <f t="shared" si="17"/>
        <v>0</v>
      </c>
      <c r="AM80" s="28">
        <f t="shared" si="17"/>
        <v>0</v>
      </c>
      <c r="AN80" s="28">
        <f t="shared" si="17"/>
        <v>0</v>
      </c>
      <c r="AO80" s="28">
        <f t="shared" si="17"/>
        <v>0</v>
      </c>
      <c r="AP80" s="28">
        <f t="shared" si="17"/>
        <v>0</v>
      </c>
      <c r="AQ80" s="28">
        <f t="shared" si="17"/>
        <v>0</v>
      </c>
      <c r="AR80" s="28">
        <f>AVERAGE(15,15,15,15)</f>
        <v>15</v>
      </c>
      <c r="AS80" s="28">
        <f>AVERAGE(70,70,70,70)</f>
        <v>70</v>
      </c>
      <c r="AT80" s="28">
        <f t="shared" si="18"/>
        <v>5</v>
      </c>
      <c r="AU80" s="28">
        <f t="shared" si="19"/>
        <v>0</v>
      </c>
      <c r="AV80" s="28">
        <f t="shared" si="19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 t="s">
        <v>407</v>
      </c>
      <c r="N81" s="26">
        <v>1</v>
      </c>
      <c r="O81" s="28" t="s">
        <v>407</v>
      </c>
      <c r="P81" s="28" t="s">
        <v>407</v>
      </c>
      <c r="Q81" s="28" t="s">
        <v>407</v>
      </c>
      <c r="R81" s="28" t="s">
        <v>407</v>
      </c>
      <c r="S81" s="28" t="s">
        <v>407</v>
      </c>
      <c r="T81" s="28" t="s">
        <v>407</v>
      </c>
      <c r="U81" s="28" t="s">
        <v>407</v>
      </c>
      <c r="V81" s="28" t="s">
        <v>407</v>
      </c>
      <c r="W81" s="28" t="s">
        <v>407</v>
      </c>
      <c r="X81" s="29">
        <v>226.3</v>
      </c>
      <c r="Y81" s="29">
        <v>6</v>
      </c>
      <c r="Z81" s="35">
        <v>6.06</v>
      </c>
      <c r="AA81" s="28" t="s">
        <v>407</v>
      </c>
      <c r="AB81" s="28" t="s">
        <v>407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5">
        <v>1.1000000000000001</v>
      </c>
      <c r="AI81" s="28">
        <f>AVERAGE(5,5,5,5)</f>
        <v>5</v>
      </c>
      <c r="AJ81" s="28">
        <f>AVERAGE(95,95,95,95)</f>
        <v>95</v>
      </c>
      <c r="AK81" s="28">
        <f t="shared" si="17"/>
        <v>0</v>
      </c>
      <c r="AL81" s="28">
        <f t="shared" si="17"/>
        <v>0</v>
      </c>
      <c r="AM81" s="28">
        <f t="shared" si="17"/>
        <v>0</v>
      </c>
      <c r="AN81" s="28">
        <f t="shared" si="17"/>
        <v>0</v>
      </c>
      <c r="AO81" s="28">
        <f t="shared" si="17"/>
        <v>0</v>
      </c>
      <c r="AP81" s="28">
        <f t="shared" si="17"/>
        <v>0</v>
      </c>
      <c r="AQ81" s="28">
        <f t="shared" si="17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19"/>
        <v>0</v>
      </c>
      <c r="AV81" s="28">
        <f t="shared" si="19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 t="s">
        <v>407</v>
      </c>
      <c r="N82" s="26">
        <v>2</v>
      </c>
      <c r="O82" s="28" t="s">
        <v>407</v>
      </c>
      <c r="P82" s="28" t="s">
        <v>407</v>
      </c>
      <c r="Q82" s="28" t="s">
        <v>407</v>
      </c>
      <c r="R82" s="28" t="s">
        <v>407</v>
      </c>
      <c r="S82" s="28" t="s">
        <v>407</v>
      </c>
      <c r="T82" s="28" t="s">
        <v>407</v>
      </c>
      <c r="U82" s="28" t="s">
        <v>407</v>
      </c>
      <c r="V82" s="28" t="s">
        <v>407</v>
      </c>
      <c r="W82" s="28" t="s">
        <v>407</v>
      </c>
      <c r="X82" s="29">
        <v>172.5</v>
      </c>
      <c r="Y82" s="29">
        <v>8</v>
      </c>
      <c r="Z82" s="35">
        <v>6.03</v>
      </c>
      <c r="AA82" s="28" t="s">
        <v>407</v>
      </c>
      <c r="AB82" s="28" t="s">
        <v>407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5">
        <v>1.3</v>
      </c>
      <c r="AI82" s="28">
        <f>AVERAGE(0,0,0,0)</f>
        <v>0</v>
      </c>
      <c r="AJ82" s="28">
        <f>AVERAGE(100,100,100,100)</f>
        <v>100</v>
      </c>
      <c r="AK82" s="28">
        <f t="shared" si="17"/>
        <v>0</v>
      </c>
      <c r="AL82" s="28">
        <f t="shared" si="17"/>
        <v>0</v>
      </c>
      <c r="AM82" s="28">
        <f t="shared" si="17"/>
        <v>0</v>
      </c>
      <c r="AN82" s="28">
        <f t="shared" si="17"/>
        <v>0</v>
      </c>
      <c r="AO82" s="28">
        <f t="shared" si="17"/>
        <v>0</v>
      </c>
      <c r="AP82" s="28">
        <f t="shared" si="17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19"/>
        <v>0</v>
      </c>
      <c r="AV82" s="28">
        <f t="shared" si="19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 t="s">
        <v>407</v>
      </c>
      <c r="N83" s="26">
        <v>3</v>
      </c>
      <c r="O83" s="28" t="s">
        <v>407</v>
      </c>
      <c r="P83" s="28" t="s">
        <v>407</v>
      </c>
      <c r="Q83" s="28" t="s">
        <v>407</v>
      </c>
      <c r="R83" s="28" t="s">
        <v>407</v>
      </c>
      <c r="S83" s="28" t="s">
        <v>407</v>
      </c>
      <c r="T83" s="28" t="s">
        <v>407</v>
      </c>
      <c r="U83" s="28" t="s">
        <v>407</v>
      </c>
      <c r="V83" s="28" t="s">
        <v>407</v>
      </c>
      <c r="W83" s="28" t="s">
        <v>407</v>
      </c>
      <c r="X83" s="29">
        <v>213</v>
      </c>
      <c r="Y83" s="29">
        <v>16</v>
      </c>
      <c r="Z83" s="35">
        <v>6.23</v>
      </c>
      <c r="AA83" s="28" t="s">
        <v>407</v>
      </c>
      <c r="AB83" s="28" t="s">
        <v>407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5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17"/>
        <v>0</v>
      </c>
      <c r="AL83" s="28">
        <f t="shared" si="17"/>
        <v>0</v>
      </c>
      <c r="AM83" s="28">
        <f t="shared" si="17"/>
        <v>0</v>
      </c>
      <c r="AN83" s="28">
        <f t="shared" si="17"/>
        <v>0</v>
      </c>
      <c r="AO83" s="28">
        <f t="shared" si="17"/>
        <v>0</v>
      </c>
      <c r="AP83" s="28">
        <f t="shared" si="17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19"/>
        <v>0</v>
      </c>
      <c r="AV83" s="28">
        <f t="shared" si="19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 t="s">
        <v>407</v>
      </c>
      <c r="N84" s="26">
        <v>1</v>
      </c>
      <c r="O84" s="28" t="s">
        <v>407</v>
      </c>
      <c r="P84" s="28" t="s">
        <v>407</v>
      </c>
      <c r="Q84" s="28" t="s">
        <v>407</v>
      </c>
      <c r="R84" s="28" t="s">
        <v>407</v>
      </c>
      <c r="S84" s="28" t="s">
        <v>407</v>
      </c>
      <c r="T84" s="28" t="s">
        <v>407</v>
      </c>
      <c r="U84" s="28" t="s">
        <v>407</v>
      </c>
      <c r="V84" s="28" t="s">
        <v>407</v>
      </c>
      <c r="W84" s="28" t="s">
        <v>407</v>
      </c>
      <c r="X84" s="28">
        <v>212.5</v>
      </c>
      <c r="Y84" s="28">
        <v>7</v>
      </c>
      <c r="Z84" s="28">
        <v>6.93</v>
      </c>
      <c r="AA84" s="28" t="s">
        <v>407</v>
      </c>
      <c r="AB84" s="28" t="s">
        <v>407</v>
      </c>
      <c r="AC84" s="31">
        <v>0</v>
      </c>
      <c r="AD84" s="29">
        <f>AVERAGE(1,1)</f>
        <v>1</v>
      </c>
      <c r="AE84" s="28" t="s">
        <v>407</v>
      </c>
      <c r="AF84" s="29">
        <f>AVERAGE(27)</f>
        <v>27</v>
      </c>
      <c r="AG84" s="28">
        <f>AVERAGE(13,13,13,13)</f>
        <v>13</v>
      </c>
      <c r="AH84" s="28" t="s">
        <v>407</v>
      </c>
      <c r="AI84" s="28">
        <f>AVERAGE(0,0,0,0)</f>
        <v>0</v>
      </c>
      <c r="AJ84" s="28">
        <f>AVERAGE(100,100,100,100)</f>
        <v>100</v>
      </c>
      <c r="AK84" s="28">
        <f t="shared" si="17"/>
        <v>0</v>
      </c>
      <c r="AL84" s="28">
        <f t="shared" si="17"/>
        <v>0</v>
      </c>
      <c r="AM84" s="28">
        <f t="shared" si="17"/>
        <v>0</v>
      </c>
      <c r="AN84" s="28">
        <f t="shared" si="17"/>
        <v>0</v>
      </c>
      <c r="AO84" s="28">
        <f t="shared" si="17"/>
        <v>0</v>
      </c>
      <c r="AP84" s="28">
        <f t="shared" si="17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19"/>
        <v>0</v>
      </c>
      <c r="AV84" s="28">
        <f t="shared" si="19"/>
        <v>0</v>
      </c>
      <c r="AW84" s="28">
        <f t="shared" si="19"/>
        <v>0</v>
      </c>
      <c r="AX84" s="28">
        <f t="shared" si="19"/>
        <v>0</v>
      </c>
      <c r="AY84" s="28">
        <f>AVERAGE(5,5,5,5)</f>
        <v>5</v>
      </c>
      <c r="AZ84" s="33"/>
    </row>
    <row r="85" spans="1:52" ht="14.2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 t="s">
        <v>407</v>
      </c>
      <c r="N85" s="26">
        <v>2</v>
      </c>
      <c r="O85" s="28" t="s">
        <v>407</v>
      </c>
      <c r="P85" s="28" t="s">
        <v>407</v>
      </c>
      <c r="Q85" s="28" t="s">
        <v>407</v>
      </c>
      <c r="R85" s="28" t="s">
        <v>407</v>
      </c>
      <c r="S85" s="28" t="s">
        <v>407</v>
      </c>
      <c r="T85" s="28" t="s">
        <v>407</v>
      </c>
      <c r="U85" s="28" t="s">
        <v>407</v>
      </c>
      <c r="V85" s="28" t="s">
        <v>407</v>
      </c>
      <c r="W85" s="28" t="s">
        <v>407</v>
      </c>
      <c r="X85" s="28">
        <v>141.30000000000001</v>
      </c>
      <c r="Y85" s="28">
        <v>20</v>
      </c>
      <c r="Z85" s="28">
        <v>6.27</v>
      </c>
      <c r="AA85" s="28" t="s">
        <v>407</v>
      </c>
      <c r="AB85" s="28" t="s">
        <v>407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407</v>
      </c>
      <c r="AI85" s="28">
        <f t="shared" ref="AI85:AI92" si="20">AVERAGE(100,100,100,100)</f>
        <v>100</v>
      </c>
      <c r="AJ85" s="28">
        <f t="shared" ref="AJ85:AR98" si="21">AVERAGE(0,0,0,0)</f>
        <v>0</v>
      </c>
      <c r="AK85" s="28">
        <f t="shared" si="17"/>
        <v>0</v>
      </c>
      <c r="AL85" s="28">
        <f t="shared" si="17"/>
        <v>0</v>
      </c>
      <c r="AM85" s="28">
        <f t="shared" si="17"/>
        <v>0</v>
      </c>
      <c r="AN85" s="28">
        <f t="shared" si="17"/>
        <v>0</v>
      </c>
      <c r="AO85" s="28">
        <f t="shared" si="17"/>
        <v>0</v>
      </c>
      <c r="AP85" s="28">
        <f t="shared" si="17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19"/>
        <v>0</v>
      </c>
      <c r="AV85" s="28">
        <f t="shared" si="19"/>
        <v>0</v>
      </c>
      <c r="AW85" s="28">
        <f t="shared" si="19"/>
        <v>0</v>
      </c>
      <c r="AX85" s="28">
        <f t="shared" si="19"/>
        <v>0</v>
      </c>
      <c r="AY85" s="28">
        <f>AVERAGE(10,10,10,10)</f>
        <v>10</v>
      </c>
      <c r="AZ85" s="33"/>
    </row>
    <row r="86" spans="1:52" ht="14.2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 t="s">
        <v>407</v>
      </c>
      <c r="N86" s="26">
        <v>3</v>
      </c>
      <c r="O86" s="28" t="s">
        <v>407</v>
      </c>
      <c r="P86" s="28" t="s">
        <v>407</v>
      </c>
      <c r="Q86" s="28" t="s">
        <v>407</v>
      </c>
      <c r="R86" s="28" t="s">
        <v>407</v>
      </c>
      <c r="S86" s="28" t="s">
        <v>407</v>
      </c>
      <c r="T86" s="28" t="s">
        <v>407</v>
      </c>
      <c r="U86" s="28" t="s">
        <v>407</v>
      </c>
      <c r="V86" s="28" t="s">
        <v>407</v>
      </c>
      <c r="W86" s="28" t="s">
        <v>407</v>
      </c>
      <c r="X86" s="28">
        <v>109.3</v>
      </c>
      <c r="Y86" s="28">
        <v>16</v>
      </c>
      <c r="Z86" s="28">
        <v>6.22</v>
      </c>
      <c r="AA86" s="28" t="s">
        <v>407</v>
      </c>
      <c r="AB86" s="28" t="s">
        <v>407</v>
      </c>
      <c r="AC86" s="31">
        <v>0</v>
      </c>
      <c r="AD86" s="29">
        <f>AVERAGE(1,1)</f>
        <v>1</v>
      </c>
      <c r="AE86" s="28" t="s">
        <v>407</v>
      </c>
      <c r="AF86" s="29">
        <f>AVERAGE(34)</f>
        <v>34</v>
      </c>
      <c r="AG86" s="28">
        <f>AVERAGE(12,12,12,12)</f>
        <v>12</v>
      </c>
      <c r="AH86" s="35">
        <v>26.46</v>
      </c>
      <c r="AI86" s="28">
        <f t="shared" si="20"/>
        <v>100</v>
      </c>
      <c r="AJ86" s="28">
        <f t="shared" si="21"/>
        <v>0</v>
      </c>
      <c r="AK86" s="28">
        <f t="shared" si="17"/>
        <v>0</v>
      </c>
      <c r="AL86" s="28">
        <f t="shared" si="17"/>
        <v>0</v>
      </c>
      <c r="AM86" s="28">
        <f t="shared" si="17"/>
        <v>0</v>
      </c>
      <c r="AN86" s="28">
        <f t="shared" si="17"/>
        <v>0</v>
      </c>
      <c r="AO86" s="28">
        <f t="shared" si="17"/>
        <v>0</v>
      </c>
      <c r="AP86" s="28">
        <f t="shared" si="17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19"/>
        <v>0</v>
      </c>
      <c r="AV86" s="28">
        <f t="shared" si="19"/>
        <v>0</v>
      </c>
      <c r="AW86" s="28">
        <f t="shared" si="19"/>
        <v>0</v>
      </c>
      <c r="AX86" s="28">
        <f t="shared" si="19"/>
        <v>0</v>
      </c>
      <c r="AY86" s="28">
        <f>AVERAGE(0,0,0,0)</f>
        <v>0</v>
      </c>
      <c r="AZ86" s="33"/>
    </row>
    <row r="87" spans="1:52" ht="14.2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 t="s">
        <v>407</v>
      </c>
      <c r="N87" s="26">
        <v>1</v>
      </c>
      <c r="O87" s="28" t="s">
        <v>407</v>
      </c>
      <c r="P87" s="28" t="s">
        <v>407</v>
      </c>
      <c r="Q87" s="28" t="s">
        <v>407</v>
      </c>
      <c r="R87" s="28" t="s">
        <v>407</v>
      </c>
      <c r="S87" s="28" t="s">
        <v>407</v>
      </c>
      <c r="T87" s="28" t="s">
        <v>407</v>
      </c>
      <c r="U87" s="28" t="s">
        <v>407</v>
      </c>
      <c r="V87" s="28" t="s">
        <v>407</v>
      </c>
      <c r="W87" s="28" t="s">
        <v>407</v>
      </c>
      <c r="X87" s="28">
        <v>110.9</v>
      </c>
      <c r="Y87" s="28">
        <v>61</v>
      </c>
      <c r="Z87" s="28">
        <v>6.31</v>
      </c>
      <c r="AA87" s="28" t="s">
        <v>407</v>
      </c>
      <c r="AB87" s="28" t="s">
        <v>407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407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20"/>
        <v>100</v>
      </c>
      <c r="AJ87" s="28">
        <f t="shared" si="21"/>
        <v>0</v>
      </c>
      <c r="AK87" s="28">
        <f t="shared" si="17"/>
        <v>0</v>
      </c>
      <c r="AL87" s="28">
        <f t="shared" si="17"/>
        <v>0</v>
      </c>
      <c r="AM87" s="28">
        <f t="shared" si="17"/>
        <v>0</v>
      </c>
      <c r="AN87" s="28">
        <f t="shared" si="17"/>
        <v>0</v>
      </c>
      <c r="AO87" s="28">
        <f t="shared" si="17"/>
        <v>0</v>
      </c>
      <c r="AP87" s="28">
        <f t="shared" si="17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19"/>
        <v>0</v>
      </c>
      <c r="AV87" s="28">
        <f t="shared" si="19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6"/>
    </row>
    <row r="88" spans="1:52" ht="14.2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 t="s">
        <v>407</v>
      </c>
      <c r="N88" s="26">
        <v>2</v>
      </c>
      <c r="O88" s="28" t="s">
        <v>407</v>
      </c>
      <c r="P88" s="28" t="s">
        <v>407</v>
      </c>
      <c r="Q88" s="28" t="s">
        <v>407</v>
      </c>
      <c r="R88" s="28" t="s">
        <v>407</v>
      </c>
      <c r="S88" s="28" t="s">
        <v>407</v>
      </c>
      <c r="T88" s="28" t="s">
        <v>407</v>
      </c>
      <c r="U88" s="28" t="s">
        <v>407</v>
      </c>
      <c r="V88" s="28" t="s">
        <v>407</v>
      </c>
      <c r="W88" s="28" t="s">
        <v>407</v>
      </c>
      <c r="X88" s="28">
        <v>124.9</v>
      </c>
      <c r="Y88" s="28">
        <v>51</v>
      </c>
      <c r="Z88" s="28">
        <v>6.28</v>
      </c>
      <c r="AA88" s="28" t="s">
        <v>407</v>
      </c>
      <c r="AB88" s="28" t="s">
        <v>407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20"/>
        <v>100</v>
      </c>
      <c r="AJ88" s="28">
        <f t="shared" si="21"/>
        <v>0</v>
      </c>
      <c r="AK88" s="28">
        <f t="shared" si="21"/>
        <v>0</v>
      </c>
      <c r="AL88" s="28">
        <f t="shared" si="21"/>
        <v>0</v>
      </c>
      <c r="AM88" s="28">
        <f t="shared" si="21"/>
        <v>0</v>
      </c>
      <c r="AN88" s="28">
        <f t="shared" si="21"/>
        <v>0</v>
      </c>
      <c r="AO88" s="28">
        <f t="shared" si="21"/>
        <v>0</v>
      </c>
      <c r="AP88" s="28">
        <f t="shared" si="21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19"/>
        <v>0</v>
      </c>
      <c r="AV88" s="28">
        <f t="shared" si="19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 t="s">
        <v>407</v>
      </c>
      <c r="N89" s="26">
        <v>3</v>
      </c>
      <c r="O89" s="28" t="s">
        <v>407</v>
      </c>
      <c r="P89" s="28" t="s">
        <v>407</v>
      </c>
      <c r="Q89" s="28" t="s">
        <v>407</v>
      </c>
      <c r="R89" s="28" t="s">
        <v>407</v>
      </c>
      <c r="S89" s="28" t="s">
        <v>407</v>
      </c>
      <c r="T89" s="28" t="s">
        <v>407</v>
      </c>
      <c r="U89" s="28" t="s">
        <v>407</v>
      </c>
      <c r="V89" s="28" t="s">
        <v>407</v>
      </c>
      <c r="W89" s="28" t="s">
        <v>407</v>
      </c>
      <c r="X89" s="28">
        <v>116.4</v>
      </c>
      <c r="Y89" s="28">
        <v>40</v>
      </c>
      <c r="Z89" s="28">
        <v>6.3</v>
      </c>
      <c r="AA89" s="28" t="s">
        <v>407</v>
      </c>
      <c r="AB89" s="28" t="s">
        <v>407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20"/>
        <v>100</v>
      </c>
      <c r="AJ89" s="28">
        <f t="shared" si="21"/>
        <v>0</v>
      </c>
      <c r="AK89" s="28">
        <f t="shared" si="21"/>
        <v>0</v>
      </c>
      <c r="AL89" s="28">
        <f t="shared" si="21"/>
        <v>0</v>
      </c>
      <c r="AM89" s="28">
        <f t="shared" si="21"/>
        <v>0</v>
      </c>
      <c r="AN89" s="28">
        <f t="shared" si="21"/>
        <v>0</v>
      </c>
      <c r="AO89" s="28">
        <f t="shared" si="21"/>
        <v>0</v>
      </c>
      <c r="AP89" s="28">
        <f t="shared" si="21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19"/>
        <v>0</v>
      </c>
      <c r="AV89" s="28">
        <f t="shared" si="19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 t="s">
        <v>407</v>
      </c>
      <c r="N90" s="26">
        <v>1</v>
      </c>
      <c r="O90" s="28" t="s">
        <v>407</v>
      </c>
      <c r="P90" s="28" t="s">
        <v>407</v>
      </c>
      <c r="Q90" s="28" t="s">
        <v>407</v>
      </c>
      <c r="R90" s="28" t="s">
        <v>407</v>
      </c>
      <c r="S90" s="28" t="s">
        <v>407</v>
      </c>
      <c r="T90" s="28" t="s">
        <v>407</v>
      </c>
      <c r="U90" s="28" t="s">
        <v>407</v>
      </c>
      <c r="V90" s="28" t="s">
        <v>407</v>
      </c>
      <c r="W90" s="28" t="s">
        <v>407</v>
      </c>
      <c r="X90" s="28">
        <v>119.5</v>
      </c>
      <c r="Y90" s="28">
        <v>41</v>
      </c>
      <c r="Z90" s="28">
        <v>6.35</v>
      </c>
      <c r="AA90" s="28" t="s">
        <v>407</v>
      </c>
      <c r="AB90" s="28" t="s">
        <v>407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20"/>
        <v>100</v>
      </c>
      <c r="AJ90" s="28">
        <f t="shared" si="21"/>
        <v>0</v>
      </c>
      <c r="AK90" s="28">
        <f t="shared" si="21"/>
        <v>0</v>
      </c>
      <c r="AL90" s="28">
        <f t="shared" si="21"/>
        <v>0</v>
      </c>
      <c r="AM90" s="28">
        <f t="shared" si="21"/>
        <v>0</v>
      </c>
      <c r="AN90" s="28">
        <f t="shared" si="21"/>
        <v>0</v>
      </c>
      <c r="AO90" s="28">
        <f t="shared" si="21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19"/>
        <v>0</v>
      </c>
      <c r="AV90" s="28">
        <f t="shared" si="19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 t="s">
        <v>407</v>
      </c>
      <c r="N91" s="26">
        <v>2</v>
      </c>
      <c r="O91" s="28" t="s">
        <v>407</v>
      </c>
      <c r="P91" s="28" t="s">
        <v>407</v>
      </c>
      <c r="Q91" s="28" t="s">
        <v>407</v>
      </c>
      <c r="R91" s="28" t="s">
        <v>407</v>
      </c>
      <c r="S91" s="28" t="s">
        <v>407</v>
      </c>
      <c r="T91" s="28" t="s">
        <v>407</v>
      </c>
      <c r="U91" s="28" t="s">
        <v>407</v>
      </c>
      <c r="V91" s="28" t="s">
        <v>407</v>
      </c>
      <c r="W91" s="28" t="s">
        <v>407</v>
      </c>
      <c r="X91" s="28">
        <v>104.9</v>
      </c>
      <c r="Y91" s="28">
        <v>42</v>
      </c>
      <c r="Z91" s="28">
        <v>6.25</v>
      </c>
      <c r="AA91" s="28" t="s">
        <v>407</v>
      </c>
      <c r="AB91" s="28" t="s">
        <v>407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20"/>
        <v>100</v>
      </c>
      <c r="AJ91" s="28">
        <f t="shared" si="21"/>
        <v>0</v>
      </c>
      <c r="AK91" s="28">
        <f t="shared" si="21"/>
        <v>0</v>
      </c>
      <c r="AL91" s="28">
        <f t="shared" si="21"/>
        <v>0</v>
      </c>
      <c r="AM91" s="28">
        <f t="shared" si="21"/>
        <v>0</v>
      </c>
      <c r="AN91" s="28">
        <f t="shared" si="21"/>
        <v>0</v>
      </c>
      <c r="AO91" s="28">
        <f t="shared" si="21"/>
        <v>0</v>
      </c>
      <c r="AP91" s="28">
        <f t="shared" si="21"/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19"/>
        <v>0</v>
      </c>
      <c r="AV91" s="28">
        <f t="shared" si="19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 t="s">
        <v>407</v>
      </c>
      <c r="N92" s="26">
        <v>3</v>
      </c>
      <c r="O92" s="28" t="s">
        <v>407</v>
      </c>
      <c r="P92" s="28" t="s">
        <v>407</v>
      </c>
      <c r="Q92" s="28" t="s">
        <v>407</v>
      </c>
      <c r="R92" s="28" t="s">
        <v>407</v>
      </c>
      <c r="S92" s="28" t="s">
        <v>407</v>
      </c>
      <c r="T92" s="28" t="s">
        <v>407</v>
      </c>
      <c r="U92" s="28" t="s">
        <v>407</v>
      </c>
      <c r="V92" s="28" t="s">
        <v>407</v>
      </c>
      <c r="W92" s="28" t="s">
        <v>407</v>
      </c>
      <c r="X92" s="28">
        <v>100.8</v>
      </c>
      <c r="Y92" s="28">
        <v>64</v>
      </c>
      <c r="Z92" s="28">
        <v>6.05</v>
      </c>
      <c r="AA92" s="28" t="s">
        <v>407</v>
      </c>
      <c r="AB92" s="28" t="s">
        <v>407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20"/>
        <v>100</v>
      </c>
      <c r="AJ92" s="28">
        <f t="shared" si="21"/>
        <v>0</v>
      </c>
      <c r="AK92" s="28">
        <f t="shared" si="21"/>
        <v>0</v>
      </c>
      <c r="AL92" s="28">
        <f t="shared" si="21"/>
        <v>0</v>
      </c>
      <c r="AM92" s="28">
        <f t="shared" si="21"/>
        <v>0</v>
      </c>
      <c r="AN92" s="28">
        <f t="shared" si="21"/>
        <v>0</v>
      </c>
      <c r="AO92" s="28">
        <f t="shared" si="21"/>
        <v>0</v>
      </c>
      <c r="AP92" s="28">
        <f t="shared" si="21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19"/>
        <v>0</v>
      </c>
      <c r="AV92" s="28">
        <f t="shared" si="19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 t="s">
        <v>407</v>
      </c>
      <c r="N93" s="26">
        <v>1</v>
      </c>
      <c r="O93" s="28" t="s">
        <v>407</v>
      </c>
      <c r="P93" s="28" t="s">
        <v>407</v>
      </c>
      <c r="Q93" s="28" t="s">
        <v>407</v>
      </c>
      <c r="R93" s="28" t="s">
        <v>407</v>
      </c>
      <c r="S93" s="28" t="s">
        <v>407</v>
      </c>
      <c r="T93" s="28" t="s">
        <v>407</v>
      </c>
      <c r="U93" s="28" t="s">
        <v>407</v>
      </c>
      <c r="V93" s="28" t="s">
        <v>407</v>
      </c>
      <c r="W93" s="28" t="s">
        <v>407</v>
      </c>
      <c r="X93" s="35">
        <v>137</v>
      </c>
      <c r="Y93" s="35">
        <v>14</v>
      </c>
      <c r="Z93" s="35">
        <v>6.73</v>
      </c>
      <c r="AA93" s="28" t="s">
        <v>407</v>
      </c>
      <c r="AB93" s="28" t="s">
        <v>407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21"/>
        <v>0</v>
      </c>
      <c r="AL93" s="28">
        <f t="shared" si="21"/>
        <v>0</v>
      </c>
      <c r="AM93" s="28">
        <f t="shared" si="21"/>
        <v>0</v>
      </c>
      <c r="AN93" s="28">
        <f t="shared" si="21"/>
        <v>0</v>
      </c>
      <c r="AO93" s="28">
        <f t="shared" si="21"/>
        <v>0</v>
      </c>
      <c r="AP93" s="28">
        <f t="shared" si="21"/>
        <v>0</v>
      </c>
      <c r="AQ93" s="28">
        <f t="shared" si="21"/>
        <v>0</v>
      </c>
      <c r="AR93" s="28">
        <f t="shared" si="21"/>
        <v>0</v>
      </c>
      <c r="AS93" s="28">
        <f>AVERAGE(70,70,70,70)</f>
        <v>70</v>
      </c>
      <c r="AT93" s="28">
        <f>AVERAGE(5,5,5,5)</f>
        <v>5</v>
      </c>
      <c r="AU93" s="28">
        <f t="shared" si="19"/>
        <v>0</v>
      </c>
      <c r="AV93" s="28">
        <f t="shared" si="19"/>
        <v>0</v>
      </c>
      <c r="AW93" s="28">
        <f>AVERAGE(5,5,5,5)</f>
        <v>5</v>
      </c>
      <c r="AX93" s="28">
        <f t="shared" ref="AX93:AY95" si="22">AVERAGE(0,0,0,0)</f>
        <v>0</v>
      </c>
      <c r="AY93" s="28">
        <f t="shared" si="22"/>
        <v>0</v>
      </c>
      <c r="AZ93" s="33"/>
    </row>
    <row r="94" spans="1:52" ht="14.2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 t="s">
        <v>407</v>
      </c>
      <c r="N94" s="26">
        <v>2</v>
      </c>
      <c r="O94" s="28" t="s">
        <v>407</v>
      </c>
      <c r="P94" s="28" t="s">
        <v>407</v>
      </c>
      <c r="Q94" s="28" t="s">
        <v>407</v>
      </c>
      <c r="R94" s="28" t="s">
        <v>407</v>
      </c>
      <c r="S94" s="28" t="s">
        <v>407</v>
      </c>
      <c r="T94" s="28" t="s">
        <v>407</v>
      </c>
      <c r="U94" s="28" t="s">
        <v>407</v>
      </c>
      <c r="V94" s="28" t="s">
        <v>407</v>
      </c>
      <c r="W94" s="28" t="s">
        <v>407</v>
      </c>
      <c r="X94" s="35">
        <v>126.4</v>
      </c>
      <c r="Y94" s="35">
        <v>12</v>
      </c>
      <c r="Z94" s="35">
        <v>6.43</v>
      </c>
      <c r="AA94" s="28" t="s">
        <v>407</v>
      </c>
      <c r="AB94" s="28" t="s">
        <v>407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21"/>
        <v>0</v>
      </c>
      <c r="AL94" s="28">
        <f t="shared" si="21"/>
        <v>0</v>
      </c>
      <c r="AM94" s="28">
        <f t="shared" si="21"/>
        <v>0</v>
      </c>
      <c r="AN94" s="28">
        <f t="shared" si="21"/>
        <v>0</v>
      </c>
      <c r="AO94" s="28">
        <f t="shared" si="21"/>
        <v>0</v>
      </c>
      <c r="AP94" s="28">
        <f t="shared" si="21"/>
        <v>0</v>
      </c>
      <c r="AQ94" s="28">
        <f t="shared" si="21"/>
        <v>0</v>
      </c>
      <c r="AR94" s="28">
        <f t="shared" si="21"/>
        <v>0</v>
      </c>
      <c r="AS94" s="28">
        <f>AVERAGE(50,50,50,50)</f>
        <v>50</v>
      </c>
      <c r="AT94" s="28">
        <f>AVERAGE(0,0,0,0)</f>
        <v>0</v>
      </c>
      <c r="AU94" s="28">
        <f t="shared" si="19"/>
        <v>0</v>
      </c>
      <c r="AV94" s="28">
        <f t="shared" si="19"/>
        <v>0</v>
      </c>
      <c r="AW94" s="28">
        <f>AVERAGE(10,10,10,10)</f>
        <v>10</v>
      </c>
      <c r="AX94" s="28">
        <f t="shared" si="22"/>
        <v>0</v>
      </c>
      <c r="AY94" s="28">
        <f t="shared" si="22"/>
        <v>0</v>
      </c>
      <c r="AZ94" s="33"/>
    </row>
    <row r="95" spans="1:52" ht="14.2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 t="s">
        <v>407</v>
      </c>
      <c r="N95" s="26">
        <v>3</v>
      </c>
      <c r="O95" s="28" t="s">
        <v>407</v>
      </c>
      <c r="P95" s="28" t="s">
        <v>407</v>
      </c>
      <c r="Q95" s="28" t="s">
        <v>407</v>
      </c>
      <c r="R95" s="28" t="s">
        <v>407</v>
      </c>
      <c r="S95" s="28" t="s">
        <v>407</v>
      </c>
      <c r="T95" s="28" t="s">
        <v>407</v>
      </c>
      <c r="U95" s="28" t="s">
        <v>407</v>
      </c>
      <c r="V95" s="28" t="s">
        <v>407</v>
      </c>
      <c r="W95" s="28" t="s">
        <v>407</v>
      </c>
      <c r="X95" s="35">
        <v>124.8</v>
      </c>
      <c r="Y95" s="35">
        <v>11</v>
      </c>
      <c r="Z95" s="35">
        <v>6.99</v>
      </c>
      <c r="AA95" s="28" t="s">
        <v>407</v>
      </c>
      <c r="AB95" s="28" t="s">
        <v>407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21"/>
        <v>0</v>
      </c>
      <c r="AL95" s="28">
        <f t="shared" si="21"/>
        <v>0</v>
      </c>
      <c r="AM95" s="28">
        <f t="shared" si="21"/>
        <v>0</v>
      </c>
      <c r="AN95" s="28">
        <f t="shared" si="21"/>
        <v>0</v>
      </c>
      <c r="AO95" s="28">
        <f t="shared" si="21"/>
        <v>0</v>
      </c>
      <c r="AP95" s="28">
        <f t="shared" si="21"/>
        <v>0</v>
      </c>
      <c r="AQ95" s="28">
        <f t="shared" si="21"/>
        <v>0</v>
      </c>
      <c r="AR95" s="28">
        <f t="shared" si="21"/>
        <v>0</v>
      </c>
      <c r="AS95" s="28">
        <f>AVERAGE(70,70,70,70)</f>
        <v>70</v>
      </c>
      <c r="AT95" s="28">
        <f>AVERAGE(5,5,5,5)</f>
        <v>5</v>
      </c>
      <c r="AU95" s="28">
        <f t="shared" si="19"/>
        <v>0</v>
      </c>
      <c r="AV95" s="28">
        <f t="shared" si="19"/>
        <v>0</v>
      </c>
      <c r="AW95" s="28">
        <f>AVERAGE(5,5,5,5)</f>
        <v>5</v>
      </c>
      <c r="AX95" s="28">
        <f t="shared" si="22"/>
        <v>0</v>
      </c>
      <c r="AY95" s="28">
        <f t="shared" si="22"/>
        <v>0</v>
      </c>
      <c r="AZ95" s="33"/>
    </row>
    <row r="96" spans="1:52" ht="14.2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 t="s">
        <v>407</v>
      </c>
      <c r="N96" s="26">
        <v>1</v>
      </c>
      <c r="O96" s="28" t="s">
        <v>407</v>
      </c>
      <c r="P96" s="28" t="s">
        <v>407</v>
      </c>
      <c r="Q96" s="28" t="s">
        <v>407</v>
      </c>
      <c r="R96" s="28" t="s">
        <v>407</v>
      </c>
      <c r="S96" s="28" t="s">
        <v>407</v>
      </c>
      <c r="T96" s="28" t="s">
        <v>407</v>
      </c>
      <c r="U96" s="28" t="s">
        <v>407</v>
      </c>
      <c r="V96" s="28" t="s">
        <v>407</v>
      </c>
      <c r="W96" s="28" t="s">
        <v>407</v>
      </c>
      <c r="X96" s="35">
        <v>125.9</v>
      </c>
      <c r="Y96" s="35">
        <v>9</v>
      </c>
      <c r="Z96" s="35">
        <v>6.67</v>
      </c>
      <c r="AA96" s="28" t="s">
        <v>407</v>
      </c>
      <c r="AB96" s="28" t="s">
        <v>407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21"/>
        <v>0</v>
      </c>
      <c r="AL96" s="28">
        <f t="shared" si="21"/>
        <v>0</v>
      </c>
      <c r="AM96" s="28">
        <f t="shared" si="21"/>
        <v>0</v>
      </c>
      <c r="AN96" s="28">
        <f t="shared" si="21"/>
        <v>0</v>
      </c>
      <c r="AO96" s="28">
        <f t="shared" si="21"/>
        <v>0</v>
      </c>
      <c r="AP96" s="28">
        <f t="shared" si="21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19"/>
        <v>0</v>
      </c>
      <c r="AV96" s="28">
        <f t="shared" si="19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 t="s">
        <v>407</v>
      </c>
      <c r="N97" s="26">
        <v>2</v>
      </c>
      <c r="O97" s="28" t="s">
        <v>407</v>
      </c>
      <c r="P97" s="28" t="s">
        <v>407</v>
      </c>
      <c r="Q97" s="28" t="s">
        <v>407</v>
      </c>
      <c r="R97" s="28" t="s">
        <v>407</v>
      </c>
      <c r="S97" s="28" t="s">
        <v>407</v>
      </c>
      <c r="T97" s="28" t="s">
        <v>407</v>
      </c>
      <c r="U97" s="28" t="s">
        <v>407</v>
      </c>
      <c r="V97" s="28" t="s">
        <v>407</v>
      </c>
      <c r="W97" s="28" t="s">
        <v>407</v>
      </c>
      <c r="X97" s="35">
        <v>139.6</v>
      </c>
      <c r="Y97" s="35">
        <v>8</v>
      </c>
      <c r="Z97" s="35">
        <v>7.45</v>
      </c>
      <c r="AA97" s="28" t="s">
        <v>407</v>
      </c>
      <c r="AB97" s="28" t="s">
        <v>407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21"/>
        <v>0</v>
      </c>
      <c r="AL97" s="28">
        <f t="shared" si="21"/>
        <v>0</v>
      </c>
      <c r="AM97" s="28">
        <f t="shared" si="21"/>
        <v>0</v>
      </c>
      <c r="AN97" s="28">
        <f t="shared" si="21"/>
        <v>0</v>
      </c>
      <c r="AO97" s="28">
        <f t="shared" si="21"/>
        <v>0</v>
      </c>
      <c r="AP97" s="28">
        <f t="shared" si="21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19"/>
        <v>0</v>
      </c>
      <c r="AV97" s="28">
        <f t="shared" si="19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 t="s">
        <v>407</v>
      </c>
      <c r="N98" s="26">
        <v>3</v>
      </c>
      <c r="O98" s="28" t="s">
        <v>407</v>
      </c>
      <c r="P98" s="28" t="s">
        <v>407</v>
      </c>
      <c r="Q98" s="28" t="s">
        <v>407</v>
      </c>
      <c r="R98" s="28" t="s">
        <v>407</v>
      </c>
      <c r="S98" s="28" t="s">
        <v>407</v>
      </c>
      <c r="T98" s="28" t="s">
        <v>407</v>
      </c>
      <c r="U98" s="28" t="s">
        <v>407</v>
      </c>
      <c r="V98" s="28" t="s">
        <v>407</v>
      </c>
      <c r="W98" s="28" t="s">
        <v>407</v>
      </c>
      <c r="X98" s="35">
        <v>136.80000000000001</v>
      </c>
      <c r="Y98" s="35">
        <v>13</v>
      </c>
      <c r="Z98" s="35">
        <v>7.19</v>
      </c>
      <c r="AA98" s="28" t="s">
        <v>407</v>
      </c>
      <c r="AB98" s="28" t="s">
        <v>407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21"/>
        <v>0</v>
      </c>
      <c r="AL98" s="28">
        <f t="shared" si="21"/>
        <v>0</v>
      </c>
      <c r="AM98" s="28">
        <f t="shared" si="21"/>
        <v>0</v>
      </c>
      <c r="AN98" s="28">
        <f t="shared" si="21"/>
        <v>0</v>
      </c>
      <c r="AO98" s="28">
        <f t="shared" si="21"/>
        <v>0</v>
      </c>
      <c r="AP98" s="28">
        <f t="shared" si="21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19"/>
        <v>0</v>
      </c>
      <c r="AV98" s="28">
        <f t="shared" si="19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3"/>
    </row>
    <row r="100" spans="1:52" ht="14.2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3"/>
    </row>
    <row r="101" spans="1:52" ht="14.2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3"/>
    </row>
    <row r="102" spans="1:52" ht="14.2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3"/>
    </row>
    <row r="103" spans="1:52" ht="14.2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3"/>
    </row>
    <row r="104" spans="1:52" ht="14.2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3"/>
    </row>
    <row r="105" spans="1:52" ht="14.2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3"/>
    </row>
    <row r="106" spans="1:52" ht="14.2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3"/>
    </row>
    <row r="107" spans="1:52" ht="14.2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3"/>
    </row>
    <row r="108" spans="1:52" ht="14.2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3"/>
    </row>
    <row r="109" spans="1:52" ht="14.2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3"/>
    </row>
    <row r="110" spans="1:52" ht="14.2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3"/>
    </row>
    <row r="111" spans="1:52" ht="14.2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3"/>
    </row>
    <row r="112" spans="1:52" ht="14.2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3"/>
    </row>
    <row r="113" spans="1:52" ht="14.2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3"/>
    </row>
    <row r="114" spans="1:52" ht="14.2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3"/>
    </row>
    <row r="115" spans="1:52" ht="14.2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3"/>
    </row>
    <row r="116" spans="1:52" ht="14.2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3"/>
    </row>
    <row r="117" spans="1:52" ht="14.2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3"/>
    </row>
    <row r="118" spans="1:52" ht="14.2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3"/>
    </row>
    <row r="119" spans="1:52" ht="14.2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3"/>
    </row>
    <row r="120" spans="1:52" ht="14.2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3"/>
    </row>
    <row r="121" spans="1:52" ht="14.2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3"/>
    </row>
    <row r="122" spans="1:52" ht="14.2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3"/>
    </row>
    <row r="123" spans="1:52" ht="14.2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3"/>
    </row>
    <row r="124" spans="1:52" ht="14.2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3"/>
    </row>
    <row r="125" spans="1:52" ht="14.2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3"/>
    </row>
    <row r="126" spans="1:52" ht="14.2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3"/>
    </row>
    <row r="127" spans="1:52" ht="14.2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3"/>
    </row>
    <row r="128" spans="1:52" ht="14.2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3"/>
    </row>
    <row r="129" spans="1:52" ht="14.2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3"/>
    </row>
    <row r="130" spans="1:52" ht="14.2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3"/>
    </row>
    <row r="131" spans="1:52" ht="14.2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3"/>
    </row>
    <row r="132" spans="1:52" ht="14.2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3"/>
    </row>
    <row r="133" spans="1:52" ht="14.2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3"/>
    </row>
    <row r="134" spans="1:52" ht="14.2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3"/>
    </row>
    <row r="135" spans="1:52" ht="14.2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3"/>
    </row>
    <row r="136" spans="1:52" ht="14.2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3"/>
    </row>
    <row r="137" spans="1:52" ht="14.2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3"/>
    </row>
    <row r="138" spans="1:52" ht="14.2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3"/>
    </row>
    <row r="139" spans="1:52" ht="14.2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3"/>
    </row>
    <row r="140" spans="1:52" ht="14.2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3"/>
    </row>
    <row r="141" spans="1:52" ht="14.2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3"/>
    </row>
    <row r="142" spans="1:52" ht="14.2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3"/>
    </row>
    <row r="143" spans="1:52" ht="14.2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3"/>
    </row>
    <row r="144" spans="1:52" ht="14.2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3"/>
    </row>
    <row r="145" spans="1:52" ht="14.2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3"/>
    </row>
    <row r="146" spans="1:52" ht="14.2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3"/>
    </row>
    <row r="147" spans="1:52" ht="14.2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3"/>
    </row>
    <row r="148" spans="1:52" ht="14.2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3"/>
    </row>
    <row r="149" spans="1:52" ht="14.2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3"/>
    </row>
    <row r="150" spans="1:52" ht="14.2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3"/>
    </row>
    <row r="151" spans="1:52" ht="14.2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3"/>
    </row>
    <row r="152" spans="1:52" ht="14.2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3"/>
    </row>
    <row r="153" spans="1:52" ht="14.2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3"/>
    </row>
    <row r="154" spans="1:52" ht="14.2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3"/>
    </row>
    <row r="155" spans="1:52" ht="14.2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3"/>
    </row>
    <row r="156" spans="1:52" ht="14.2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3"/>
    </row>
    <row r="157" spans="1:52" ht="14.2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3"/>
    </row>
    <row r="158" spans="1:52" ht="14.2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3"/>
    </row>
    <row r="159" spans="1:52" ht="14.2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3"/>
    </row>
    <row r="160" spans="1:52" ht="14.2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3"/>
    </row>
    <row r="161" spans="1:52" ht="14.2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3"/>
    </row>
    <row r="162" spans="1:52" ht="14.2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3"/>
    </row>
    <row r="163" spans="1:52" ht="14.2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3"/>
    </row>
    <row r="164" spans="1:52" ht="14.2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3"/>
    </row>
    <row r="165" spans="1:52" ht="14.2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3"/>
    </row>
    <row r="166" spans="1:52" ht="14.2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3"/>
    </row>
    <row r="167" spans="1:52" ht="14.2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3"/>
    </row>
    <row r="168" spans="1:52" ht="14.2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3"/>
    </row>
    <row r="169" spans="1:52" ht="14.2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3"/>
    </row>
    <row r="170" spans="1:52" ht="14.2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3"/>
    </row>
    <row r="171" spans="1:52" ht="14.2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3"/>
    </row>
    <row r="172" spans="1:52" ht="14.2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3"/>
    </row>
    <row r="173" spans="1:52" ht="14.2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3"/>
    </row>
    <row r="174" spans="1:52" ht="14.2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3"/>
    </row>
    <row r="175" spans="1:52" ht="14.2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3"/>
    </row>
    <row r="176" spans="1:52" ht="14.2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3"/>
    </row>
    <row r="177" spans="1:52" ht="14.2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3"/>
    </row>
    <row r="178" spans="1:52" ht="14.2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3"/>
    </row>
    <row r="179" spans="1:52" ht="14.2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3"/>
    </row>
    <row r="180" spans="1:52" ht="14.2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3"/>
    </row>
    <row r="181" spans="1:52" ht="14.2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3"/>
    </row>
    <row r="182" spans="1:52" ht="14.2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3"/>
    </row>
    <row r="183" spans="1:52" ht="14.2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3"/>
    </row>
    <row r="184" spans="1:52" ht="14.2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3"/>
    </row>
    <row r="185" spans="1:52" ht="14.2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3"/>
    </row>
    <row r="186" spans="1:52" ht="14.2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3"/>
    </row>
    <row r="187" spans="1:52" ht="14.2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3"/>
    </row>
    <row r="188" spans="1:52" ht="14.2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3"/>
    </row>
    <row r="189" spans="1:52" ht="14.2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3"/>
    </row>
    <row r="190" spans="1:52" ht="14.2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3"/>
    </row>
    <row r="191" spans="1:52" ht="14.2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3"/>
    </row>
    <row r="192" spans="1:52" ht="14.2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3"/>
    </row>
    <row r="193" spans="1:52" ht="14.2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3"/>
    </row>
    <row r="194" spans="1:52" ht="14.2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3"/>
    </row>
    <row r="195" spans="1:52" ht="14.2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3"/>
    </row>
    <row r="196" spans="1:52" ht="14.2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3"/>
    </row>
    <row r="197" spans="1:52" ht="14.2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3"/>
    </row>
    <row r="198" spans="1:52" ht="14.2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3"/>
    </row>
    <row r="199" spans="1:52" ht="14.2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3"/>
    </row>
    <row r="200" spans="1:52" ht="14.2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3"/>
    </row>
    <row r="201" spans="1:52" ht="14.2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3"/>
    </row>
    <row r="202" spans="1:52" ht="14.2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3"/>
    </row>
    <row r="203" spans="1:52" ht="14.2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3"/>
    </row>
    <row r="204" spans="1:52" ht="14.2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3"/>
    </row>
    <row r="205" spans="1:52" ht="14.2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3"/>
    </row>
    <row r="206" spans="1:52" ht="14.2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3"/>
    </row>
    <row r="207" spans="1:52" ht="14.2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3"/>
    </row>
    <row r="208" spans="1:52" ht="14.2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3"/>
    </row>
    <row r="209" spans="1:52" ht="14.2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3"/>
    </row>
    <row r="210" spans="1:52" ht="14.2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3"/>
    </row>
    <row r="211" spans="1:52" ht="14.2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3"/>
    </row>
    <row r="212" spans="1:52" ht="14.2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3"/>
    </row>
    <row r="213" spans="1:52" ht="14.2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3"/>
    </row>
    <row r="214" spans="1:52" ht="14.2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3"/>
    </row>
    <row r="215" spans="1:52" ht="14.2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3"/>
    </row>
    <row r="216" spans="1:52" ht="14.2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3"/>
    </row>
    <row r="217" spans="1:52" ht="14.2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3"/>
    </row>
    <row r="218" spans="1:52" ht="14.2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3"/>
    </row>
    <row r="219" spans="1:52" ht="14.2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3"/>
    </row>
    <row r="220" spans="1:52" ht="14.2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3"/>
    </row>
    <row r="221" spans="1:52" ht="14.2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3"/>
    </row>
    <row r="222" spans="1:52" ht="14.2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3"/>
    </row>
    <row r="223" spans="1:52" ht="14.2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3"/>
    </row>
    <row r="224" spans="1:52" ht="14.2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3"/>
    </row>
    <row r="225" spans="1:52" ht="14.2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3"/>
    </row>
    <row r="226" spans="1:52" ht="14.2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3"/>
    </row>
    <row r="227" spans="1:52" ht="14.2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3"/>
    </row>
    <row r="228" spans="1:52" ht="14.2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3"/>
    </row>
    <row r="229" spans="1:52" ht="14.2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3"/>
    </row>
    <row r="230" spans="1:52" ht="14.2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3"/>
    </row>
    <row r="231" spans="1:52" ht="14.2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3"/>
    </row>
    <row r="232" spans="1:52" ht="14.2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3"/>
    </row>
    <row r="233" spans="1:52" ht="14.2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3"/>
    </row>
    <row r="234" spans="1:52" ht="14.2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3"/>
    </row>
    <row r="235" spans="1:52" ht="14.2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3"/>
    </row>
    <row r="236" spans="1:52" ht="14.2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3"/>
    </row>
    <row r="237" spans="1:52" ht="14.2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3"/>
    </row>
    <row r="238" spans="1:52" ht="14.2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3"/>
    </row>
    <row r="239" spans="1:52" ht="14.2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3"/>
    </row>
    <row r="240" spans="1:52" ht="14.2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3"/>
    </row>
    <row r="241" spans="1:52" ht="14.2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3"/>
    </row>
    <row r="242" spans="1:52" ht="14.2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3"/>
    </row>
    <row r="243" spans="1:52" ht="14.2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3"/>
    </row>
    <row r="244" spans="1:52" ht="14.2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3"/>
    </row>
    <row r="245" spans="1:52" ht="14.2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3"/>
    </row>
    <row r="246" spans="1:52" ht="14.2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3"/>
    </row>
    <row r="247" spans="1:52" ht="14.2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3"/>
    </row>
    <row r="248" spans="1:52" ht="14.2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3"/>
    </row>
    <row r="249" spans="1:52" ht="14.2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3"/>
    </row>
    <row r="250" spans="1:52" ht="14.2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3"/>
    </row>
    <row r="251" spans="1:52" ht="14.2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3"/>
    </row>
    <row r="252" spans="1:52" ht="14.2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3"/>
    </row>
    <row r="253" spans="1:52" ht="14.2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3"/>
    </row>
    <row r="254" spans="1:52" ht="14.2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3"/>
    </row>
    <row r="255" spans="1:52" ht="14.2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3"/>
    </row>
    <row r="256" spans="1:52" ht="14.2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3"/>
    </row>
    <row r="257" spans="1:52" ht="14.2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3"/>
    </row>
    <row r="258" spans="1:52" ht="14.2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3"/>
    </row>
    <row r="259" spans="1:52" ht="14.2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3"/>
    </row>
    <row r="260" spans="1:52" ht="14.2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3"/>
    </row>
    <row r="261" spans="1:52" ht="14.2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3"/>
    </row>
    <row r="262" spans="1:52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3"/>
    </row>
    <row r="263" spans="1:52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3"/>
    </row>
    <row r="264" spans="1:52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3"/>
    </row>
    <row r="265" spans="1:52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3"/>
    </row>
    <row r="266" spans="1:52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3"/>
    </row>
    <row r="267" spans="1:52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3"/>
    </row>
    <row r="268" spans="1:52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3"/>
    </row>
    <row r="269" spans="1:52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3"/>
    </row>
    <row r="270" spans="1:52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3"/>
    </row>
    <row r="271" spans="1:52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3"/>
    </row>
    <row r="272" spans="1:52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3"/>
    </row>
    <row r="273" spans="1:52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3"/>
    </row>
    <row r="274" spans="1:52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3"/>
    </row>
    <row r="275" spans="1:52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3"/>
    </row>
    <row r="276" spans="1:52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3"/>
    </row>
    <row r="277" spans="1:52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3"/>
    </row>
    <row r="278" spans="1:52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3"/>
    </row>
    <row r="279" spans="1:52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3"/>
    </row>
    <row r="280" spans="1:52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3"/>
    </row>
    <row r="281" spans="1:52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3"/>
    </row>
    <row r="282" spans="1:52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3"/>
    </row>
    <row r="283" spans="1:52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3"/>
    </row>
    <row r="284" spans="1:52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3"/>
    </row>
    <row r="285" spans="1:52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3"/>
    </row>
    <row r="286" spans="1:52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3"/>
    </row>
    <row r="287" spans="1:52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3"/>
    </row>
    <row r="288" spans="1:52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3"/>
    </row>
    <row r="289" spans="1:52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3"/>
    </row>
    <row r="290" spans="1:52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3"/>
    </row>
    <row r="291" spans="1:52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3"/>
    </row>
    <row r="292" spans="1:52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3"/>
    </row>
    <row r="293" spans="1:52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3"/>
    </row>
    <row r="294" spans="1:52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3"/>
    </row>
    <row r="295" spans="1:52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3"/>
    </row>
    <row r="296" spans="1:52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3"/>
    </row>
    <row r="297" spans="1:52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3"/>
    </row>
    <row r="298" spans="1:52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3"/>
    </row>
    <row r="299" spans="1:52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3"/>
    </row>
    <row r="300" spans="1:52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3"/>
    </row>
    <row r="301" spans="1:52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3"/>
    </row>
    <row r="302" spans="1:52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3"/>
    </row>
    <row r="303" spans="1:52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3"/>
    </row>
    <row r="304" spans="1:52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3"/>
    </row>
    <row r="305" spans="1:52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3"/>
    </row>
    <row r="306" spans="1:52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3"/>
    </row>
    <row r="307" spans="1:52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3"/>
    </row>
    <row r="308" spans="1:52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3"/>
    </row>
    <row r="309" spans="1:52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3"/>
    </row>
    <row r="310" spans="1:52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3"/>
    </row>
    <row r="311" spans="1:52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3"/>
    </row>
    <row r="312" spans="1:52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3"/>
    </row>
    <row r="313" spans="1:52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3"/>
    </row>
    <row r="314" spans="1:52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3"/>
    </row>
    <row r="315" spans="1:52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3"/>
    </row>
    <row r="316" spans="1:52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3"/>
    </row>
    <row r="317" spans="1:52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3"/>
    </row>
    <row r="318" spans="1:52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3"/>
    </row>
    <row r="319" spans="1:52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3"/>
    </row>
    <row r="320" spans="1:52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3"/>
    </row>
    <row r="321" spans="1:52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3"/>
    </row>
    <row r="322" spans="1:52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3"/>
    </row>
    <row r="323" spans="1:52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3"/>
    </row>
    <row r="324" spans="1:52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3"/>
    </row>
    <row r="325" spans="1:52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3"/>
    </row>
    <row r="326" spans="1:52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3"/>
    </row>
    <row r="327" spans="1:52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3"/>
    </row>
    <row r="328" spans="1:52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3"/>
    </row>
    <row r="329" spans="1:52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3"/>
    </row>
    <row r="330" spans="1:52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3"/>
    </row>
    <row r="331" spans="1:52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3"/>
    </row>
    <row r="332" spans="1:52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3"/>
    </row>
    <row r="333" spans="1:52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3"/>
    </row>
    <row r="334" spans="1:52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3"/>
    </row>
    <row r="335" spans="1:52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3"/>
    </row>
    <row r="336" spans="1:52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3"/>
    </row>
    <row r="337" spans="1:52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3"/>
    </row>
    <row r="338" spans="1:52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3"/>
    </row>
    <row r="339" spans="1:52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3"/>
    </row>
    <row r="340" spans="1:52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3"/>
    </row>
    <row r="341" spans="1:52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3"/>
    </row>
    <row r="342" spans="1:52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3"/>
    </row>
    <row r="343" spans="1:52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3"/>
    </row>
    <row r="344" spans="1:52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3"/>
    </row>
    <row r="345" spans="1:52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3"/>
    </row>
    <row r="346" spans="1:52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3"/>
    </row>
    <row r="347" spans="1:52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3"/>
    </row>
    <row r="348" spans="1:52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3"/>
    </row>
    <row r="349" spans="1:52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3"/>
    </row>
    <row r="350" spans="1:52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3"/>
    </row>
    <row r="351" spans="1:52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3"/>
    </row>
    <row r="352" spans="1:52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3"/>
    </row>
    <row r="353" spans="1:52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3"/>
    </row>
    <row r="354" spans="1:52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3"/>
    </row>
    <row r="355" spans="1:52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3"/>
    </row>
    <row r="356" spans="1:52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3"/>
    </row>
    <row r="357" spans="1:52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3"/>
    </row>
    <row r="358" spans="1:52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3"/>
    </row>
    <row r="359" spans="1:52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3"/>
    </row>
    <row r="360" spans="1:52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3"/>
    </row>
    <row r="361" spans="1:52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3"/>
    </row>
    <row r="362" spans="1:52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3"/>
    </row>
    <row r="363" spans="1:52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3"/>
    </row>
    <row r="364" spans="1:52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3"/>
    </row>
    <row r="365" spans="1:52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3"/>
    </row>
    <row r="366" spans="1:52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3"/>
    </row>
    <row r="367" spans="1:52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3"/>
    </row>
    <row r="368" spans="1:52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3"/>
    </row>
    <row r="369" spans="1:52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3"/>
    </row>
    <row r="370" spans="1:52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3"/>
    </row>
    <row r="371" spans="1:52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3"/>
    </row>
    <row r="372" spans="1:52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3"/>
    </row>
    <row r="373" spans="1:52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3"/>
    </row>
    <row r="374" spans="1:52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3"/>
    </row>
    <row r="375" spans="1:52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3"/>
    </row>
    <row r="376" spans="1:52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3"/>
    </row>
    <row r="377" spans="1:52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3"/>
    </row>
    <row r="378" spans="1:52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3"/>
    </row>
    <row r="379" spans="1:52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3"/>
    </row>
    <row r="380" spans="1:52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3"/>
    </row>
    <row r="381" spans="1:52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3"/>
    </row>
    <row r="382" spans="1:52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3"/>
    </row>
    <row r="383" spans="1:52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3"/>
    </row>
    <row r="384" spans="1:52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3"/>
    </row>
    <row r="385" spans="1:52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3"/>
    </row>
    <row r="386" spans="1:52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3"/>
    </row>
    <row r="387" spans="1:52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3"/>
    </row>
    <row r="388" spans="1:52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3"/>
    </row>
    <row r="389" spans="1:52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3"/>
    </row>
    <row r="390" spans="1:52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3"/>
    </row>
    <row r="391" spans="1:52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3"/>
    </row>
    <row r="392" spans="1:52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3"/>
    </row>
    <row r="393" spans="1:52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3"/>
    </row>
    <row r="394" spans="1:52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3"/>
    </row>
    <row r="395" spans="1:52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3"/>
    </row>
    <row r="396" spans="1:52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3"/>
    </row>
    <row r="397" spans="1:52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3"/>
    </row>
    <row r="398" spans="1:52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3"/>
    </row>
    <row r="399" spans="1:52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3"/>
    </row>
    <row r="400" spans="1:52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3"/>
    </row>
    <row r="401" spans="1:52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3"/>
    </row>
    <row r="402" spans="1:52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3"/>
    </row>
    <row r="403" spans="1:52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3"/>
    </row>
    <row r="404" spans="1:52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3"/>
    </row>
    <row r="405" spans="1:52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3"/>
    </row>
    <row r="406" spans="1:52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3"/>
    </row>
    <row r="407" spans="1:52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3"/>
    </row>
    <row r="408" spans="1:52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3"/>
    </row>
    <row r="409" spans="1:52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3"/>
    </row>
    <row r="410" spans="1:52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3"/>
    </row>
    <row r="411" spans="1:52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3"/>
    </row>
    <row r="412" spans="1:52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3"/>
    </row>
    <row r="413" spans="1:52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3"/>
    </row>
    <row r="414" spans="1:52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3"/>
    </row>
    <row r="415" spans="1:52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3"/>
    </row>
    <row r="416" spans="1:52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3"/>
    </row>
    <row r="417" spans="1:52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3"/>
    </row>
    <row r="418" spans="1:52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3"/>
    </row>
    <row r="419" spans="1:52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3"/>
    </row>
    <row r="420" spans="1:52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3"/>
    </row>
    <row r="421" spans="1:52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3"/>
    </row>
    <row r="422" spans="1:52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3"/>
    </row>
    <row r="423" spans="1:52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3"/>
    </row>
    <row r="424" spans="1:52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3"/>
    </row>
    <row r="425" spans="1:52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3"/>
    </row>
    <row r="426" spans="1:52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3"/>
    </row>
    <row r="427" spans="1:52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3"/>
    </row>
    <row r="428" spans="1:52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3"/>
    </row>
    <row r="429" spans="1:52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3"/>
    </row>
    <row r="430" spans="1:52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3"/>
    </row>
    <row r="431" spans="1:52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3"/>
    </row>
    <row r="432" spans="1:52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3"/>
    </row>
    <row r="433" spans="1:52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3"/>
    </row>
    <row r="434" spans="1:52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3"/>
    </row>
    <row r="435" spans="1:52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3"/>
    </row>
    <row r="436" spans="1:52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3"/>
    </row>
    <row r="437" spans="1:52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3"/>
    </row>
    <row r="438" spans="1:52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3"/>
    </row>
    <row r="439" spans="1:52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3"/>
    </row>
    <row r="440" spans="1:52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3"/>
    </row>
    <row r="441" spans="1:52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3"/>
    </row>
    <row r="442" spans="1:52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3"/>
    </row>
    <row r="443" spans="1:52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3"/>
    </row>
    <row r="444" spans="1:52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3"/>
    </row>
    <row r="445" spans="1:52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3"/>
    </row>
    <row r="446" spans="1:52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3"/>
    </row>
    <row r="447" spans="1:52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3"/>
    </row>
    <row r="448" spans="1:52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3"/>
    </row>
    <row r="449" spans="1:52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3"/>
    </row>
    <row r="450" spans="1:52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3"/>
    </row>
    <row r="451" spans="1:52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3"/>
    </row>
    <row r="452" spans="1:52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3"/>
    </row>
    <row r="453" spans="1:52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3"/>
    </row>
    <row r="454" spans="1:52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3"/>
    </row>
    <row r="455" spans="1:52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3"/>
    </row>
    <row r="456" spans="1:52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3"/>
    </row>
    <row r="457" spans="1:52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3"/>
    </row>
    <row r="458" spans="1:52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3"/>
    </row>
    <row r="459" spans="1:52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3"/>
    </row>
    <row r="460" spans="1:52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3"/>
    </row>
    <row r="461" spans="1:52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3"/>
    </row>
    <row r="462" spans="1:52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3"/>
    </row>
    <row r="463" spans="1:52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3"/>
    </row>
    <row r="464" spans="1:52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3"/>
    </row>
    <row r="465" spans="1:52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3"/>
    </row>
    <row r="466" spans="1:52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3"/>
    </row>
    <row r="467" spans="1:52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3"/>
    </row>
    <row r="468" spans="1:52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3"/>
    </row>
    <row r="469" spans="1:52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3"/>
    </row>
    <row r="470" spans="1:52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3"/>
    </row>
    <row r="471" spans="1:52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3"/>
    </row>
    <row r="472" spans="1:52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3"/>
    </row>
    <row r="473" spans="1:52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3"/>
    </row>
    <row r="474" spans="1:52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3"/>
    </row>
    <row r="475" spans="1:52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3"/>
    </row>
    <row r="476" spans="1:52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3"/>
    </row>
    <row r="477" spans="1:52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3"/>
    </row>
    <row r="478" spans="1:52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3"/>
    </row>
    <row r="479" spans="1:52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3"/>
    </row>
    <row r="480" spans="1:52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3"/>
    </row>
    <row r="481" spans="1:52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3"/>
    </row>
    <row r="482" spans="1:52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3"/>
    </row>
    <row r="483" spans="1:52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3"/>
    </row>
    <row r="484" spans="1:52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3"/>
    </row>
    <row r="485" spans="1:52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3"/>
    </row>
    <row r="486" spans="1:52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3"/>
    </row>
    <row r="487" spans="1:52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3"/>
    </row>
    <row r="488" spans="1:52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3"/>
    </row>
    <row r="489" spans="1:52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3"/>
    </row>
    <row r="490" spans="1:52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3"/>
    </row>
    <row r="491" spans="1:52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3"/>
    </row>
    <row r="492" spans="1:52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3"/>
    </row>
    <row r="493" spans="1:52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3"/>
    </row>
    <row r="494" spans="1:52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3"/>
    </row>
    <row r="495" spans="1:52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3"/>
    </row>
    <row r="496" spans="1:52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3"/>
    </row>
    <row r="497" spans="1:52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3"/>
    </row>
    <row r="498" spans="1:52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3"/>
    </row>
    <row r="499" spans="1:52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3"/>
    </row>
    <row r="500" spans="1:52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3"/>
    </row>
    <row r="501" spans="1:52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3"/>
    </row>
    <row r="502" spans="1:52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3"/>
    </row>
    <row r="503" spans="1:52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3"/>
    </row>
    <row r="504" spans="1:52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3"/>
    </row>
    <row r="505" spans="1:52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3"/>
    </row>
    <row r="506" spans="1:52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3"/>
    </row>
    <row r="507" spans="1:52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3"/>
    </row>
    <row r="508" spans="1:52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3"/>
    </row>
    <row r="509" spans="1:52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3"/>
    </row>
    <row r="510" spans="1:52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3"/>
    </row>
    <row r="511" spans="1:52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3"/>
    </row>
    <row r="512" spans="1:52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3"/>
    </row>
    <row r="513" spans="1:52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3"/>
    </row>
    <row r="514" spans="1:52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3"/>
    </row>
    <row r="515" spans="1:52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3"/>
    </row>
    <row r="516" spans="1:52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3"/>
    </row>
    <row r="517" spans="1:52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3"/>
    </row>
    <row r="518" spans="1:52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3"/>
    </row>
    <row r="519" spans="1:52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3"/>
    </row>
    <row r="520" spans="1:52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3"/>
    </row>
    <row r="521" spans="1:52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3"/>
    </row>
    <row r="522" spans="1:52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3"/>
    </row>
    <row r="523" spans="1:52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3"/>
    </row>
    <row r="524" spans="1:52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3"/>
    </row>
    <row r="525" spans="1:52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3"/>
    </row>
    <row r="526" spans="1:52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3"/>
    </row>
    <row r="527" spans="1:52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3"/>
    </row>
    <row r="528" spans="1:52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3"/>
    </row>
    <row r="529" spans="1:52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3"/>
    </row>
    <row r="530" spans="1:52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3"/>
    </row>
    <row r="531" spans="1:52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3"/>
    </row>
    <row r="532" spans="1:52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3"/>
    </row>
    <row r="533" spans="1:52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3"/>
    </row>
    <row r="534" spans="1:52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3"/>
    </row>
    <row r="535" spans="1:52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3"/>
    </row>
    <row r="536" spans="1:52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3"/>
    </row>
    <row r="537" spans="1:52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3"/>
    </row>
    <row r="538" spans="1:52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3"/>
    </row>
    <row r="539" spans="1:52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3"/>
    </row>
    <row r="540" spans="1:52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3"/>
    </row>
    <row r="541" spans="1:52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3"/>
    </row>
    <row r="542" spans="1:52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3"/>
    </row>
    <row r="543" spans="1:52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3"/>
    </row>
    <row r="544" spans="1:52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3"/>
    </row>
    <row r="545" spans="1:52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3"/>
    </row>
    <row r="546" spans="1:52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3"/>
    </row>
    <row r="547" spans="1:52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3"/>
    </row>
    <row r="548" spans="1:52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3"/>
    </row>
    <row r="549" spans="1:52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3"/>
    </row>
    <row r="550" spans="1:52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3"/>
    </row>
    <row r="551" spans="1:52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3"/>
    </row>
    <row r="552" spans="1:52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3"/>
    </row>
    <row r="553" spans="1:52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3"/>
    </row>
    <row r="554" spans="1:52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3"/>
    </row>
    <row r="555" spans="1:52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3"/>
    </row>
    <row r="556" spans="1:52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3"/>
    </row>
    <row r="557" spans="1:52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3"/>
    </row>
    <row r="558" spans="1:52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3"/>
    </row>
    <row r="559" spans="1:52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3"/>
    </row>
    <row r="560" spans="1:52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3"/>
    </row>
    <row r="561" spans="1:52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3"/>
    </row>
    <row r="562" spans="1:52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3"/>
    </row>
    <row r="563" spans="1:52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3"/>
    </row>
    <row r="564" spans="1:52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3"/>
    </row>
    <row r="565" spans="1:52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3"/>
    </row>
    <row r="566" spans="1:52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3"/>
    </row>
    <row r="567" spans="1:52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3"/>
    </row>
    <row r="568" spans="1:52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3"/>
    </row>
    <row r="569" spans="1:52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3"/>
    </row>
    <row r="570" spans="1:52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3"/>
    </row>
    <row r="571" spans="1:52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3"/>
    </row>
    <row r="572" spans="1:52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3"/>
    </row>
    <row r="573" spans="1:52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3"/>
    </row>
    <row r="574" spans="1:52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3"/>
    </row>
    <row r="575" spans="1:52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3"/>
    </row>
    <row r="576" spans="1:52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3"/>
    </row>
    <row r="577" spans="1:52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3"/>
    </row>
    <row r="578" spans="1:52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3"/>
    </row>
    <row r="579" spans="1:52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3"/>
    </row>
    <row r="580" spans="1:52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3"/>
    </row>
    <row r="581" spans="1:52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3"/>
    </row>
    <row r="582" spans="1:52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3"/>
    </row>
    <row r="583" spans="1:52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3"/>
    </row>
    <row r="584" spans="1:52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3"/>
    </row>
    <row r="585" spans="1:52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3"/>
    </row>
    <row r="586" spans="1:52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3"/>
    </row>
    <row r="587" spans="1:52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3"/>
    </row>
    <row r="588" spans="1:52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3"/>
    </row>
    <row r="589" spans="1:52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3"/>
    </row>
    <row r="590" spans="1:52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3"/>
    </row>
    <row r="591" spans="1:52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3"/>
    </row>
    <row r="592" spans="1:52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3"/>
    </row>
    <row r="593" spans="1:52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3"/>
    </row>
    <row r="594" spans="1:52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3"/>
    </row>
    <row r="595" spans="1:52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3"/>
    </row>
    <row r="596" spans="1:52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3"/>
    </row>
    <row r="597" spans="1:52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3"/>
    </row>
    <row r="598" spans="1:52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3"/>
    </row>
    <row r="599" spans="1:52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3"/>
    </row>
    <row r="600" spans="1:52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3"/>
    </row>
    <row r="601" spans="1:52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3"/>
    </row>
    <row r="602" spans="1:52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3"/>
    </row>
    <row r="603" spans="1:52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3"/>
    </row>
    <row r="604" spans="1:52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3"/>
    </row>
    <row r="605" spans="1:52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3"/>
    </row>
    <row r="606" spans="1:52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3"/>
    </row>
    <row r="607" spans="1:52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3"/>
    </row>
    <row r="608" spans="1:52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3"/>
    </row>
    <row r="609" spans="1:52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3"/>
    </row>
    <row r="610" spans="1:52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3"/>
    </row>
    <row r="611" spans="1:52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3"/>
    </row>
    <row r="612" spans="1:52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3"/>
    </row>
    <row r="613" spans="1:52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3"/>
    </row>
    <row r="614" spans="1:52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3"/>
    </row>
    <row r="615" spans="1:52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3"/>
    </row>
    <row r="616" spans="1:52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3"/>
    </row>
    <row r="617" spans="1:52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3"/>
    </row>
    <row r="618" spans="1:52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3"/>
    </row>
    <row r="619" spans="1:52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3"/>
    </row>
    <row r="620" spans="1:52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3"/>
    </row>
    <row r="621" spans="1:52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3"/>
    </row>
    <row r="622" spans="1:52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3"/>
    </row>
    <row r="623" spans="1:52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3"/>
    </row>
    <row r="624" spans="1:52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3"/>
    </row>
    <row r="625" spans="1:52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3"/>
    </row>
    <row r="626" spans="1:52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3"/>
    </row>
    <row r="627" spans="1:52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3"/>
    </row>
    <row r="628" spans="1:52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3"/>
    </row>
    <row r="629" spans="1:52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3"/>
    </row>
    <row r="630" spans="1:52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3"/>
    </row>
    <row r="631" spans="1:52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3"/>
    </row>
    <row r="632" spans="1:52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3"/>
    </row>
    <row r="633" spans="1:52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3"/>
    </row>
    <row r="634" spans="1:52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3"/>
    </row>
    <row r="635" spans="1:52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3"/>
    </row>
    <row r="636" spans="1:52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3"/>
    </row>
    <row r="637" spans="1:52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3"/>
    </row>
    <row r="638" spans="1:52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3"/>
    </row>
    <row r="639" spans="1:52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3"/>
    </row>
    <row r="640" spans="1:52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3"/>
    </row>
    <row r="641" spans="1:52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3"/>
    </row>
    <row r="642" spans="1:52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3"/>
    </row>
    <row r="643" spans="1:52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3"/>
    </row>
    <row r="644" spans="1:52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3"/>
    </row>
    <row r="645" spans="1:52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3"/>
    </row>
    <row r="646" spans="1:52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3"/>
    </row>
    <row r="647" spans="1:52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3"/>
    </row>
    <row r="648" spans="1:52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3"/>
    </row>
    <row r="649" spans="1:52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3"/>
    </row>
    <row r="650" spans="1:52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3"/>
    </row>
    <row r="651" spans="1:52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3"/>
    </row>
    <row r="652" spans="1:52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3"/>
    </row>
    <row r="653" spans="1:52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3"/>
    </row>
    <row r="654" spans="1:52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3"/>
    </row>
    <row r="655" spans="1:52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3"/>
    </row>
    <row r="656" spans="1:52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3"/>
    </row>
    <row r="657" spans="1:52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3"/>
    </row>
    <row r="658" spans="1:52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3"/>
    </row>
    <row r="659" spans="1:52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3"/>
    </row>
    <row r="660" spans="1:52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3"/>
    </row>
    <row r="661" spans="1:52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3"/>
    </row>
    <row r="662" spans="1:52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3"/>
    </row>
    <row r="663" spans="1:52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3"/>
    </row>
    <row r="664" spans="1:52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3"/>
    </row>
    <row r="665" spans="1:52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3"/>
    </row>
    <row r="666" spans="1:52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3"/>
    </row>
    <row r="667" spans="1:52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3"/>
    </row>
    <row r="668" spans="1:52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3"/>
    </row>
    <row r="669" spans="1:52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3"/>
    </row>
    <row r="670" spans="1:52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3"/>
    </row>
    <row r="671" spans="1:52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3"/>
    </row>
    <row r="672" spans="1:52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3"/>
    </row>
    <row r="673" spans="1:52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3"/>
    </row>
    <row r="674" spans="1:52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3"/>
    </row>
    <row r="675" spans="1:52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3"/>
    </row>
    <row r="676" spans="1:52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3"/>
    </row>
    <row r="677" spans="1:52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3"/>
    </row>
    <row r="678" spans="1:52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3"/>
    </row>
    <row r="679" spans="1:52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3"/>
    </row>
    <row r="680" spans="1:52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3"/>
    </row>
    <row r="681" spans="1:52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3"/>
    </row>
    <row r="682" spans="1:52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3"/>
    </row>
    <row r="683" spans="1:52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3"/>
    </row>
    <row r="684" spans="1:52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3"/>
    </row>
    <row r="685" spans="1:52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3"/>
    </row>
    <row r="686" spans="1:52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3"/>
    </row>
    <row r="687" spans="1:52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3"/>
    </row>
    <row r="688" spans="1:52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3"/>
    </row>
    <row r="689" spans="1:52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3"/>
    </row>
    <row r="690" spans="1:52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3"/>
    </row>
    <row r="691" spans="1:52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3"/>
    </row>
    <row r="692" spans="1:52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3"/>
    </row>
    <row r="693" spans="1:52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3"/>
    </row>
    <row r="694" spans="1:52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3"/>
    </row>
    <row r="695" spans="1:52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3"/>
    </row>
    <row r="696" spans="1:52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3"/>
    </row>
    <row r="697" spans="1:52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3"/>
    </row>
    <row r="698" spans="1:52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3"/>
    </row>
    <row r="699" spans="1:52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3"/>
    </row>
    <row r="700" spans="1:52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3"/>
    </row>
    <row r="701" spans="1:52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3"/>
    </row>
    <row r="702" spans="1:52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3"/>
    </row>
    <row r="703" spans="1:52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3"/>
    </row>
    <row r="704" spans="1:52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3"/>
    </row>
    <row r="705" spans="1:52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3"/>
    </row>
    <row r="706" spans="1:52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3"/>
    </row>
    <row r="707" spans="1:52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3"/>
    </row>
    <row r="708" spans="1:52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3"/>
    </row>
    <row r="709" spans="1:52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3"/>
    </row>
    <row r="710" spans="1:52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3"/>
    </row>
    <row r="711" spans="1:52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3"/>
    </row>
    <row r="712" spans="1:52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3"/>
    </row>
    <row r="713" spans="1:52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3"/>
    </row>
    <row r="714" spans="1:52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3"/>
    </row>
    <row r="715" spans="1:52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3"/>
    </row>
    <row r="716" spans="1:52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3"/>
    </row>
    <row r="717" spans="1:52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3"/>
    </row>
    <row r="718" spans="1:52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3"/>
    </row>
    <row r="719" spans="1:52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3"/>
    </row>
    <row r="720" spans="1:52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3"/>
    </row>
    <row r="721" spans="1:52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3"/>
    </row>
    <row r="722" spans="1:52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3"/>
    </row>
    <row r="723" spans="1:52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3"/>
    </row>
    <row r="724" spans="1:52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3"/>
    </row>
    <row r="725" spans="1:52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3"/>
    </row>
    <row r="726" spans="1:52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3"/>
    </row>
    <row r="727" spans="1:52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3"/>
    </row>
    <row r="728" spans="1:52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3"/>
    </row>
    <row r="729" spans="1:52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3"/>
    </row>
    <row r="730" spans="1:52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3"/>
    </row>
    <row r="731" spans="1:52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3"/>
    </row>
    <row r="732" spans="1:52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3"/>
    </row>
    <row r="733" spans="1:52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3"/>
    </row>
    <row r="734" spans="1:52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3"/>
    </row>
    <row r="735" spans="1:52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3"/>
    </row>
    <row r="736" spans="1:52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3"/>
    </row>
    <row r="737" spans="1:52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3"/>
    </row>
    <row r="738" spans="1:52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3"/>
    </row>
    <row r="739" spans="1:52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3"/>
    </row>
    <row r="740" spans="1:52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3"/>
    </row>
    <row r="741" spans="1:52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3"/>
    </row>
    <row r="742" spans="1:52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3"/>
    </row>
    <row r="743" spans="1:52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3"/>
    </row>
    <row r="744" spans="1:52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3"/>
    </row>
    <row r="745" spans="1:52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3"/>
    </row>
    <row r="746" spans="1:52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3"/>
    </row>
    <row r="747" spans="1:52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3"/>
    </row>
    <row r="748" spans="1:52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3"/>
    </row>
    <row r="749" spans="1:52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3"/>
    </row>
    <row r="750" spans="1:52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3"/>
    </row>
    <row r="751" spans="1:52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3"/>
    </row>
    <row r="752" spans="1:52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3"/>
    </row>
    <row r="753" spans="1:52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3"/>
    </row>
    <row r="754" spans="1:52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3"/>
    </row>
    <row r="755" spans="1:52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3"/>
    </row>
    <row r="756" spans="1:52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3"/>
    </row>
    <row r="757" spans="1:52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3"/>
    </row>
    <row r="758" spans="1:52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3"/>
    </row>
    <row r="759" spans="1:52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3"/>
    </row>
    <row r="760" spans="1:52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3"/>
    </row>
    <row r="761" spans="1:52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3"/>
    </row>
    <row r="762" spans="1:52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3"/>
    </row>
    <row r="763" spans="1:52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3"/>
    </row>
    <row r="764" spans="1:52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3"/>
    </row>
    <row r="765" spans="1:52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3"/>
    </row>
    <row r="766" spans="1:52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3"/>
    </row>
    <row r="767" spans="1:52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3"/>
    </row>
    <row r="768" spans="1:52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3"/>
    </row>
    <row r="769" spans="1:52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3"/>
    </row>
    <row r="770" spans="1:52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3"/>
    </row>
    <row r="771" spans="1:52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3"/>
    </row>
    <row r="772" spans="1:52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3"/>
    </row>
    <row r="773" spans="1:52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3"/>
    </row>
    <row r="774" spans="1:52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3"/>
    </row>
    <row r="775" spans="1:52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3"/>
    </row>
    <row r="776" spans="1:52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3"/>
    </row>
    <row r="777" spans="1:52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3"/>
    </row>
    <row r="778" spans="1:52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3"/>
    </row>
    <row r="779" spans="1:52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3"/>
    </row>
    <row r="780" spans="1:52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3"/>
    </row>
    <row r="781" spans="1:52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3"/>
    </row>
    <row r="782" spans="1:52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3"/>
    </row>
    <row r="783" spans="1:52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3"/>
    </row>
    <row r="784" spans="1:52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3"/>
    </row>
    <row r="785" spans="1:52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3"/>
    </row>
    <row r="786" spans="1:52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3"/>
    </row>
    <row r="787" spans="1:52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3"/>
    </row>
    <row r="788" spans="1:52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3"/>
    </row>
    <row r="789" spans="1:52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3"/>
    </row>
    <row r="790" spans="1:52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3"/>
    </row>
    <row r="791" spans="1:52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3"/>
    </row>
    <row r="792" spans="1:52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3"/>
    </row>
    <row r="793" spans="1:52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3"/>
    </row>
    <row r="794" spans="1:52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3"/>
    </row>
    <row r="795" spans="1:52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3"/>
    </row>
    <row r="796" spans="1:52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3"/>
    </row>
    <row r="797" spans="1:52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3"/>
    </row>
    <row r="798" spans="1:52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3"/>
    </row>
    <row r="799" spans="1:52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3"/>
    </row>
    <row r="800" spans="1:52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3"/>
    </row>
    <row r="801" spans="1:52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3"/>
    </row>
    <row r="802" spans="1:52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3"/>
    </row>
    <row r="803" spans="1:52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3"/>
    </row>
    <row r="804" spans="1:52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3"/>
    </row>
    <row r="805" spans="1:52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3"/>
    </row>
    <row r="806" spans="1:52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3"/>
    </row>
    <row r="807" spans="1:52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3"/>
    </row>
    <row r="808" spans="1:52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3"/>
    </row>
    <row r="809" spans="1:52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3"/>
    </row>
    <row r="810" spans="1:52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3"/>
    </row>
    <row r="811" spans="1:52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3"/>
    </row>
    <row r="812" spans="1:52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3"/>
    </row>
    <row r="813" spans="1:52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3"/>
    </row>
    <row r="814" spans="1:52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3"/>
    </row>
    <row r="815" spans="1:52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3"/>
    </row>
    <row r="816" spans="1:52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3"/>
    </row>
    <row r="817" spans="1:52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3"/>
    </row>
    <row r="818" spans="1:52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3"/>
    </row>
    <row r="819" spans="1:52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3"/>
    </row>
    <row r="820" spans="1:52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3"/>
    </row>
    <row r="821" spans="1:52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3"/>
    </row>
    <row r="822" spans="1:52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3"/>
    </row>
    <row r="823" spans="1:52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3"/>
    </row>
    <row r="824" spans="1:52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3"/>
    </row>
    <row r="825" spans="1:52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3"/>
    </row>
    <row r="826" spans="1:52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3"/>
    </row>
    <row r="827" spans="1:52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3"/>
    </row>
    <row r="828" spans="1:52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3"/>
    </row>
    <row r="829" spans="1:52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3"/>
    </row>
    <row r="830" spans="1:52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3"/>
    </row>
    <row r="831" spans="1:52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3"/>
    </row>
    <row r="832" spans="1:52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3"/>
    </row>
    <row r="833" spans="1:52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3"/>
    </row>
    <row r="834" spans="1:52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3"/>
    </row>
    <row r="835" spans="1:52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3"/>
    </row>
    <row r="836" spans="1:52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3"/>
    </row>
    <row r="837" spans="1:52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3"/>
    </row>
    <row r="838" spans="1:52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3"/>
    </row>
    <row r="839" spans="1:52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3"/>
    </row>
    <row r="840" spans="1:52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3"/>
    </row>
    <row r="841" spans="1:52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3"/>
    </row>
    <row r="842" spans="1:52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3"/>
    </row>
    <row r="843" spans="1:52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3"/>
    </row>
    <row r="844" spans="1:52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3"/>
    </row>
    <row r="845" spans="1:52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3"/>
    </row>
    <row r="846" spans="1:52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3"/>
    </row>
    <row r="847" spans="1:52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3"/>
    </row>
    <row r="848" spans="1:52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3"/>
    </row>
    <row r="849" spans="1:52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3"/>
    </row>
    <row r="850" spans="1:52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3"/>
    </row>
    <row r="851" spans="1:52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3"/>
    </row>
    <row r="852" spans="1:52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3"/>
    </row>
    <row r="853" spans="1:52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3"/>
    </row>
    <row r="854" spans="1:52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3"/>
    </row>
    <row r="855" spans="1:52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3"/>
    </row>
    <row r="856" spans="1:52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3"/>
    </row>
    <row r="857" spans="1:52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3"/>
    </row>
    <row r="858" spans="1:52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3"/>
    </row>
    <row r="859" spans="1:52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3"/>
    </row>
    <row r="860" spans="1:52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3"/>
    </row>
    <row r="861" spans="1:52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3"/>
    </row>
    <row r="862" spans="1:52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3"/>
    </row>
    <row r="863" spans="1:52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3"/>
    </row>
    <row r="864" spans="1:52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3"/>
    </row>
    <row r="865" spans="1:52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3"/>
    </row>
    <row r="866" spans="1:52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3"/>
    </row>
    <row r="867" spans="1:52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3"/>
    </row>
    <row r="868" spans="1:52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3"/>
    </row>
    <row r="869" spans="1:52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3"/>
    </row>
    <row r="870" spans="1:52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3"/>
    </row>
    <row r="871" spans="1:52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3"/>
    </row>
    <row r="872" spans="1:52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3"/>
    </row>
    <row r="873" spans="1:52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3"/>
    </row>
    <row r="874" spans="1:52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3"/>
    </row>
    <row r="875" spans="1:52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3"/>
    </row>
    <row r="876" spans="1:52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3"/>
    </row>
    <row r="877" spans="1:52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3"/>
    </row>
    <row r="878" spans="1:52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3"/>
    </row>
    <row r="879" spans="1:52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3"/>
    </row>
    <row r="880" spans="1:52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3"/>
    </row>
    <row r="881" spans="1:52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3"/>
    </row>
    <row r="882" spans="1:52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3"/>
    </row>
    <row r="883" spans="1:52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3"/>
    </row>
    <row r="884" spans="1:52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3"/>
    </row>
    <row r="885" spans="1:52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3"/>
    </row>
    <row r="886" spans="1:52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3"/>
    </row>
    <row r="887" spans="1:52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3"/>
    </row>
    <row r="888" spans="1:52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3"/>
    </row>
    <row r="889" spans="1:52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3"/>
    </row>
    <row r="890" spans="1:52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3"/>
    </row>
    <row r="891" spans="1:52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3"/>
    </row>
    <row r="892" spans="1:52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3"/>
    </row>
    <row r="893" spans="1:52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3"/>
    </row>
    <row r="894" spans="1:52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3"/>
    </row>
    <row r="895" spans="1:52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3"/>
    </row>
    <row r="896" spans="1:52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3"/>
    </row>
    <row r="897" spans="1:52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3"/>
    </row>
    <row r="898" spans="1:52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3"/>
    </row>
    <row r="899" spans="1:52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3"/>
    </row>
    <row r="900" spans="1:52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3"/>
    </row>
    <row r="901" spans="1:52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3"/>
    </row>
    <row r="902" spans="1:52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3"/>
    </row>
    <row r="903" spans="1:52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3"/>
    </row>
    <row r="904" spans="1:52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3"/>
    </row>
    <row r="905" spans="1:52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3"/>
    </row>
    <row r="906" spans="1:52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3"/>
    </row>
    <row r="907" spans="1:52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3"/>
    </row>
    <row r="908" spans="1:52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3"/>
    </row>
    <row r="909" spans="1:52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3"/>
    </row>
    <row r="910" spans="1:52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3"/>
    </row>
    <row r="911" spans="1:52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3"/>
    </row>
    <row r="912" spans="1:52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3"/>
    </row>
    <row r="913" spans="1:52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3"/>
    </row>
    <row r="914" spans="1:52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3"/>
    </row>
    <row r="915" spans="1:52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3"/>
    </row>
    <row r="916" spans="1:52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3"/>
    </row>
    <row r="917" spans="1:52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3"/>
    </row>
    <row r="918" spans="1:52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3"/>
    </row>
    <row r="919" spans="1:52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3"/>
    </row>
    <row r="920" spans="1:52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3"/>
    </row>
    <row r="921" spans="1:52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3"/>
    </row>
    <row r="922" spans="1:52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3"/>
    </row>
    <row r="923" spans="1:52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3"/>
    </row>
    <row r="924" spans="1:52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3"/>
    </row>
    <row r="925" spans="1:52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3"/>
    </row>
    <row r="926" spans="1:52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3"/>
    </row>
    <row r="927" spans="1:52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3"/>
    </row>
    <row r="928" spans="1:52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3"/>
    </row>
    <row r="929" spans="1:52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3"/>
    </row>
    <row r="930" spans="1:52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3"/>
    </row>
    <row r="931" spans="1:52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3"/>
    </row>
    <row r="932" spans="1:52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3"/>
    </row>
    <row r="933" spans="1:52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3"/>
    </row>
    <row r="934" spans="1:52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3"/>
    </row>
    <row r="935" spans="1:52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3"/>
    </row>
    <row r="936" spans="1:52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3"/>
    </row>
    <row r="937" spans="1:52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3"/>
    </row>
    <row r="938" spans="1:52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3"/>
    </row>
    <row r="939" spans="1:52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3"/>
    </row>
    <row r="940" spans="1:52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3"/>
    </row>
    <row r="941" spans="1:52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3"/>
    </row>
    <row r="942" spans="1:52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3"/>
    </row>
    <row r="943" spans="1:52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3"/>
    </row>
    <row r="944" spans="1:52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3"/>
    </row>
    <row r="945" spans="1:52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3"/>
    </row>
    <row r="946" spans="1:52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3"/>
    </row>
    <row r="947" spans="1:52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3"/>
    </row>
    <row r="948" spans="1:52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3"/>
    </row>
    <row r="949" spans="1:52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3"/>
    </row>
    <row r="950" spans="1:52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3"/>
    </row>
    <row r="951" spans="1:52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3"/>
    </row>
    <row r="952" spans="1:52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3"/>
    </row>
    <row r="953" spans="1:52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3"/>
    </row>
    <row r="954" spans="1:52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3"/>
    </row>
    <row r="955" spans="1:52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3"/>
    </row>
    <row r="956" spans="1:52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3"/>
    </row>
    <row r="957" spans="1:52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3"/>
    </row>
    <row r="958" spans="1:52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3"/>
    </row>
    <row r="959" spans="1:52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3"/>
    </row>
    <row r="960" spans="1:52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3"/>
    </row>
    <row r="961" spans="1:52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3"/>
    </row>
    <row r="962" spans="1:52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3"/>
    </row>
    <row r="963" spans="1:52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3"/>
    </row>
    <row r="964" spans="1:52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3"/>
    </row>
    <row r="965" spans="1:52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3"/>
    </row>
    <row r="966" spans="1:52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3"/>
    </row>
    <row r="967" spans="1:52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3"/>
    </row>
    <row r="968" spans="1:52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3"/>
    </row>
    <row r="969" spans="1:52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3"/>
    </row>
    <row r="970" spans="1:52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3"/>
    </row>
    <row r="971" spans="1:52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3"/>
    </row>
    <row r="972" spans="1:52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3"/>
    </row>
    <row r="973" spans="1:52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3"/>
    </row>
    <row r="974" spans="1:52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3"/>
    </row>
    <row r="975" spans="1:52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3"/>
    </row>
    <row r="976" spans="1:52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3"/>
    </row>
    <row r="977" spans="1:52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3"/>
    </row>
    <row r="978" spans="1:52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3"/>
    </row>
    <row r="979" spans="1:52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3"/>
    </row>
    <row r="980" spans="1:52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3"/>
    </row>
    <row r="981" spans="1:52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3"/>
    </row>
    <row r="982" spans="1:52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3"/>
    </row>
    <row r="983" spans="1:52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3"/>
    </row>
    <row r="984" spans="1:52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3"/>
    </row>
    <row r="985" spans="1:52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3"/>
    </row>
    <row r="986" spans="1:52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3"/>
    </row>
    <row r="987" spans="1:52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3"/>
    </row>
    <row r="988" spans="1:52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3"/>
    </row>
    <row r="989" spans="1:52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3"/>
    </row>
    <row r="990" spans="1:52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3"/>
    </row>
    <row r="991" spans="1:52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3"/>
    </row>
    <row r="992" spans="1:52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3"/>
    </row>
    <row r="993" spans="1:52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3"/>
    </row>
    <row r="994" spans="1:52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3"/>
    </row>
    <row r="995" spans="1:52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3"/>
    </row>
    <row r="996" spans="1:52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3"/>
    </row>
    <row r="997" spans="1:52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3"/>
    </row>
    <row r="998" spans="1:52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3"/>
    </row>
    <row r="999" spans="1:52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3"/>
    </row>
    <row r="1000" spans="1:52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000"/>
  <sheetViews>
    <sheetView tabSelected="1" topLeftCell="H1" zoomScale="130" zoomScaleNormal="130" workbookViewId="0">
      <selection activeCell="O31" sqref="O31"/>
    </sheetView>
  </sheetViews>
  <sheetFormatPr defaultColWidth="11.5703125" defaultRowHeight="15" customHeight="1" x14ac:dyDescent="0.25"/>
  <cols>
    <col min="1" max="1" width="14.140625" customWidth="1"/>
    <col min="2" max="32" width="11" customWidth="1"/>
    <col min="33" max="1004" width="14.42578125" customWidth="1"/>
  </cols>
  <sheetData>
    <row r="1" spans="1:38" ht="14.25" customHeight="1" x14ac:dyDescent="0.25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 t="s">
        <v>50</v>
      </c>
      <c r="AH1" s="5"/>
      <c r="AI1" s="5"/>
      <c r="AJ1" s="5"/>
      <c r="AK1" s="5"/>
      <c r="AL1" s="5"/>
    </row>
    <row r="2" spans="1:38" ht="14.25" customHeight="1" x14ac:dyDescent="0.25">
      <c r="A2" s="16" t="s">
        <v>0</v>
      </c>
      <c r="B2" s="16" t="s">
        <v>368</v>
      </c>
      <c r="C2" s="16" t="s">
        <v>369</v>
      </c>
      <c r="D2" s="16" t="s">
        <v>370</v>
      </c>
      <c r="E2" s="16" t="s">
        <v>371</v>
      </c>
      <c r="F2" s="16" t="s">
        <v>372</v>
      </c>
      <c r="G2" s="16" t="s">
        <v>373</v>
      </c>
      <c r="H2" s="16" t="s">
        <v>374</v>
      </c>
      <c r="I2" s="16" t="s">
        <v>375</v>
      </c>
      <c r="J2" s="16" t="s">
        <v>376</v>
      </c>
      <c r="K2" s="16" t="s">
        <v>377</v>
      </c>
      <c r="L2" s="16" t="s">
        <v>378</v>
      </c>
      <c r="M2" s="16" t="s">
        <v>379</v>
      </c>
      <c r="N2" s="16" t="s">
        <v>380</v>
      </c>
      <c r="O2" s="16" t="s">
        <v>381</v>
      </c>
      <c r="P2" s="16" t="s">
        <v>382</v>
      </c>
      <c r="Q2" s="16" t="s">
        <v>383</v>
      </c>
      <c r="R2" s="16" t="s">
        <v>384</v>
      </c>
      <c r="S2" s="16" t="s">
        <v>385</v>
      </c>
      <c r="T2" s="16" t="s">
        <v>386</v>
      </c>
      <c r="U2" s="16" t="s">
        <v>387</v>
      </c>
      <c r="V2" s="16" t="s">
        <v>388</v>
      </c>
      <c r="W2" s="16" t="s">
        <v>389</v>
      </c>
      <c r="X2" s="16" t="s">
        <v>390</v>
      </c>
      <c r="Y2" s="16" t="s">
        <v>391</v>
      </c>
      <c r="Z2" s="16" t="s">
        <v>392</v>
      </c>
      <c r="AA2" s="16" t="s">
        <v>393</v>
      </c>
      <c r="AB2" s="16" t="s">
        <v>394</v>
      </c>
      <c r="AC2" s="16" t="s">
        <v>395</v>
      </c>
      <c r="AD2" s="16" t="s">
        <v>396</v>
      </c>
      <c r="AE2" s="16" t="s">
        <v>397</v>
      </c>
      <c r="AF2" s="16" t="s">
        <v>398</v>
      </c>
      <c r="AG2" s="16" t="s">
        <v>412</v>
      </c>
      <c r="AH2" s="16" t="s">
        <v>413</v>
      </c>
      <c r="AI2" s="16" t="s">
        <v>414</v>
      </c>
      <c r="AJ2" s="16" t="s">
        <v>415</v>
      </c>
      <c r="AK2" s="16" t="s">
        <v>416</v>
      </c>
      <c r="AL2" s="16" t="s">
        <v>417</v>
      </c>
    </row>
    <row r="3" spans="1:38" ht="14.25" customHeight="1" x14ac:dyDescent="0.25">
      <c r="A3" s="6" t="s">
        <v>95</v>
      </c>
      <c r="B3" s="15">
        <v>24.9</v>
      </c>
      <c r="C3" s="15">
        <v>8.5</v>
      </c>
      <c r="D3" s="17"/>
      <c r="E3" s="19">
        <v>134</v>
      </c>
      <c r="F3" s="10">
        <v>6.85</v>
      </c>
      <c r="G3" s="10">
        <v>6.33</v>
      </c>
      <c r="H3" s="17"/>
      <c r="I3" s="20">
        <v>107.07</v>
      </c>
      <c r="J3" s="53">
        <v>2.5000000000000001E-2</v>
      </c>
      <c r="K3" s="15">
        <f>AVERAGE(1,2)</f>
        <v>1.5</v>
      </c>
      <c r="L3" s="15">
        <v>16</v>
      </c>
      <c r="M3" s="15">
        <f>AVERAGE(15,16,10)</f>
        <v>13.666666666666666</v>
      </c>
      <c r="N3" s="15">
        <f>AVERAGE(16,16,16,16)</f>
        <v>16</v>
      </c>
      <c r="O3" s="20">
        <v>3.64</v>
      </c>
      <c r="P3" s="15">
        <f t="shared" ref="P3:P8" si="0">AVERAGE(100,100,100,100)</f>
        <v>100</v>
      </c>
      <c r="Q3" s="15">
        <f t="shared" ref="Q3:V8" si="1">AVERAGE(0,0,0,0)</f>
        <v>0</v>
      </c>
      <c r="R3" s="15">
        <f t="shared" si="1"/>
        <v>0</v>
      </c>
      <c r="S3" s="15">
        <f t="shared" si="1"/>
        <v>0</v>
      </c>
      <c r="T3" s="15">
        <f t="shared" si="1"/>
        <v>0</v>
      </c>
      <c r="U3" s="15">
        <f t="shared" si="1"/>
        <v>0</v>
      </c>
      <c r="V3" s="15">
        <f t="shared" si="1"/>
        <v>0</v>
      </c>
      <c r="W3" s="15">
        <f>AVERAGE(5,5,5,5)</f>
        <v>5</v>
      </c>
      <c r="X3" s="15">
        <f>AVERAGE(0,0,0,0)</f>
        <v>0</v>
      </c>
      <c r="Y3" s="15">
        <f>AVERAGE(5,5,5,5)</f>
        <v>5</v>
      </c>
      <c r="Z3" s="15">
        <f>AVERAGE(90,90,90,90)</f>
        <v>90</v>
      </c>
      <c r="AA3" s="15">
        <f>AVERAGE(10,10,10,10)</f>
        <v>10</v>
      </c>
      <c r="AB3" s="15">
        <f t="shared" ref="AB3:AB8" si="2">AVERAGE(0,0,0,0)</f>
        <v>0</v>
      </c>
      <c r="AC3" s="15">
        <f>AVERAGE(5,5,5,5)</f>
        <v>5</v>
      </c>
      <c r="AD3" s="15">
        <f>AVERAGE(0,0,0,0)</f>
        <v>0</v>
      </c>
      <c r="AE3" s="15">
        <f>AVERAGE(20,20,20,20)</f>
        <v>20</v>
      </c>
      <c r="AF3" s="15">
        <f>AVERAGE(10,10,10,10)</f>
        <v>10</v>
      </c>
      <c r="AG3" s="15">
        <v>64.319999999999993</v>
      </c>
      <c r="AH3" s="18">
        <v>0</v>
      </c>
      <c r="AI3" s="18">
        <v>0</v>
      </c>
      <c r="AJ3" s="18">
        <v>0</v>
      </c>
      <c r="AK3" s="18">
        <v>0</v>
      </c>
      <c r="AL3" s="17"/>
    </row>
    <row r="4" spans="1:38" ht="14.25" customHeight="1" x14ac:dyDescent="0.25">
      <c r="A4" s="6" t="s">
        <v>100</v>
      </c>
      <c r="B4" s="15">
        <v>25.1</v>
      </c>
      <c r="C4" s="15">
        <v>8.1</v>
      </c>
      <c r="D4" s="17"/>
      <c r="E4" s="19">
        <v>164.4</v>
      </c>
      <c r="F4" s="10">
        <v>10.7</v>
      </c>
      <c r="G4" s="10">
        <v>7.46</v>
      </c>
      <c r="H4" s="17"/>
      <c r="I4" s="20">
        <v>107.07</v>
      </c>
      <c r="J4" s="44">
        <v>2.5000000000000001E-2</v>
      </c>
      <c r="K4" s="15">
        <f>AVERAGE(1,1)</f>
        <v>1</v>
      </c>
      <c r="L4" s="15">
        <v>16</v>
      </c>
      <c r="M4" s="15">
        <f>AVERAGE(15,16,10)</f>
        <v>13.666666666666666</v>
      </c>
      <c r="N4" s="15">
        <f>AVERAGE(16,16,16,16)</f>
        <v>16</v>
      </c>
      <c r="O4" s="20">
        <v>3.64</v>
      </c>
      <c r="P4" s="15">
        <f t="shared" si="0"/>
        <v>100</v>
      </c>
      <c r="Q4" s="15">
        <f t="shared" si="1"/>
        <v>0</v>
      </c>
      <c r="R4" s="15">
        <f t="shared" si="1"/>
        <v>0</v>
      </c>
      <c r="S4" s="15">
        <f t="shared" si="1"/>
        <v>0</v>
      </c>
      <c r="T4" s="15">
        <f t="shared" si="1"/>
        <v>0</v>
      </c>
      <c r="U4" s="15">
        <f t="shared" si="1"/>
        <v>0</v>
      </c>
      <c r="V4" s="15">
        <f t="shared" si="1"/>
        <v>0</v>
      </c>
      <c r="W4" s="15">
        <f>AVERAGE(5,5,5,5)</f>
        <v>5</v>
      </c>
      <c r="X4" s="15">
        <f>AVERAGE(0,0,0,0)</f>
        <v>0</v>
      </c>
      <c r="Y4" s="15">
        <f>AVERAGE(5,5,5,5)</f>
        <v>5</v>
      </c>
      <c r="Z4" s="15">
        <f>AVERAGE(90,90,90,90)</f>
        <v>90</v>
      </c>
      <c r="AA4" s="15">
        <f>AVERAGE(10,10,10,10)</f>
        <v>10</v>
      </c>
      <c r="AB4" s="15">
        <f t="shared" si="2"/>
        <v>0</v>
      </c>
      <c r="AC4" s="15">
        <f>AVERAGE(5,5,5,5)</f>
        <v>5</v>
      </c>
      <c r="AD4" s="15">
        <f>AVERAGE(0,0,0,0)</f>
        <v>0</v>
      </c>
      <c r="AE4" s="15">
        <f>AVERAGE(20,20,20,20)</f>
        <v>20</v>
      </c>
      <c r="AF4" s="15">
        <f>AVERAGE(10,10,10,10)</f>
        <v>10</v>
      </c>
      <c r="AG4" s="15">
        <v>39.32</v>
      </c>
      <c r="AH4" s="18">
        <v>0</v>
      </c>
      <c r="AI4" s="15">
        <v>8.2899999999999991</v>
      </c>
      <c r="AJ4" s="18">
        <v>0</v>
      </c>
      <c r="AK4" s="18">
        <v>0</v>
      </c>
      <c r="AL4" s="17"/>
    </row>
    <row r="5" spans="1:38" ht="14.25" customHeight="1" x14ac:dyDescent="0.25">
      <c r="A5" s="6" t="s">
        <v>101</v>
      </c>
      <c r="B5" s="15">
        <v>27.3</v>
      </c>
      <c r="C5" s="15">
        <v>7.8</v>
      </c>
      <c r="D5" s="17"/>
      <c r="E5" s="19">
        <v>140.9</v>
      </c>
      <c r="F5" s="10">
        <v>4.62</v>
      </c>
      <c r="G5" s="10">
        <v>7.15</v>
      </c>
      <c r="H5" s="17"/>
      <c r="I5" s="20">
        <v>107.07</v>
      </c>
      <c r="J5" s="44">
        <v>2.5000000000000001E-2</v>
      </c>
      <c r="K5" s="15">
        <f>AVERAGE(1,1)</f>
        <v>1</v>
      </c>
      <c r="L5" s="15">
        <v>16</v>
      </c>
      <c r="M5" s="15">
        <f>AVERAGE(15,16,10)</f>
        <v>13.666666666666666</v>
      </c>
      <c r="N5" s="15">
        <f>AVERAGE(16,16,16,16)</f>
        <v>16</v>
      </c>
      <c r="O5" s="20">
        <v>3.64</v>
      </c>
      <c r="P5" s="15">
        <f t="shared" si="0"/>
        <v>100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1"/>
        <v>0</v>
      </c>
      <c r="W5" s="15">
        <f>AVERAGE(5,5,5,5)</f>
        <v>5</v>
      </c>
      <c r="X5" s="15">
        <f>AVERAGE(0,0,0,0)</f>
        <v>0</v>
      </c>
      <c r="Y5" s="15">
        <f>AVERAGE(5,5,5,5)</f>
        <v>5</v>
      </c>
      <c r="Z5" s="15">
        <f>AVERAGE(90,90,90,90)</f>
        <v>90</v>
      </c>
      <c r="AA5" s="15">
        <f>AVERAGE(10,10,10,10)</f>
        <v>10</v>
      </c>
      <c r="AB5" s="15">
        <f t="shared" si="2"/>
        <v>0</v>
      </c>
      <c r="AC5" s="15">
        <f>AVERAGE(5,5,5,5)</f>
        <v>5</v>
      </c>
      <c r="AD5" s="15">
        <f>AVERAGE(0,0,0,0)</f>
        <v>0</v>
      </c>
      <c r="AE5" s="15">
        <f>AVERAGE(20,20,20,20)</f>
        <v>20</v>
      </c>
      <c r="AF5" s="15">
        <f>AVERAGE(10,10,10,10)</f>
        <v>10</v>
      </c>
      <c r="AG5" s="15">
        <v>60.68</v>
      </c>
      <c r="AH5" s="18">
        <v>0</v>
      </c>
      <c r="AI5" s="15">
        <v>9.7100000000000009</v>
      </c>
      <c r="AJ5" s="18">
        <v>0</v>
      </c>
      <c r="AK5" s="18">
        <v>0</v>
      </c>
      <c r="AL5" s="17"/>
    </row>
    <row r="6" spans="1:38" ht="14.25" customHeight="1" x14ac:dyDescent="0.25">
      <c r="A6" s="6" t="s">
        <v>102</v>
      </c>
      <c r="B6" s="15">
        <v>25.3</v>
      </c>
      <c r="C6" s="15">
        <v>7.8</v>
      </c>
      <c r="D6" s="17"/>
      <c r="E6" s="19">
        <v>154.1</v>
      </c>
      <c r="F6" s="10">
        <v>2.14</v>
      </c>
      <c r="G6" s="10">
        <v>6.83</v>
      </c>
      <c r="H6" s="17"/>
      <c r="I6" s="20">
        <v>112.84</v>
      </c>
      <c r="J6" s="21">
        <f>1/(AVERAGE(36.96,23.3,24.92))</f>
        <v>3.521953510213665E-2</v>
      </c>
      <c r="K6" s="15">
        <f>AVERAGE(2,3)</f>
        <v>2.5</v>
      </c>
      <c r="L6" s="15">
        <v>31</v>
      </c>
      <c r="M6" s="15">
        <f>AVERAGE(15,31,15)</f>
        <v>20.333333333333332</v>
      </c>
      <c r="N6" s="15">
        <f>AVERAGE(30,30,30,30)</f>
        <v>30</v>
      </c>
      <c r="O6" s="20">
        <v>4.4000000000000004</v>
      </c>
      <c r="P6" s="15">
        <f t="shared" si="0"/>
        <v>100</v>
      </c>
      <c r="Q6" s="15">
        <f t="shared" si="1"/>
        <v>0</v>
      </c>
      <c r="R6" s="15">
        <f t="shared" si="1"/>
        <v>0</v>
      </c>
      <c r="S6" s="15">
        <f t="shared" si="1"/>
        <v>0</v>
      </c>
      <c r="T6" s="15">
        <f t="shared" si="1"/>
        <v>0</v>
      </c>
      <c r="U6" s="15">
        <f t="shared" si="1"/>
        <v>0</v>
      </c>
      <c r="V6" s="15">
        <f t="shared" si="1"/>
        <v>0</v>
      </c>
      <c r="W6" s="15">
        <f>AVERAGE(30,30,30,30)</f>
        <v>30</v>
      </c>
      <c r="X6" s="15">
        <f>AVERAGE(5,5,5,5)</f>
        <v>5</v>
      </c>
      <c r="Y6" s="15">
        <f>AVERAGE(5,5,5,5)</f>
        <v>5</v>
      </c>
      <c r="Z6" s="15">
        <f>AVERAGE(80,80,80,80)</f>
        <v>80</v>
      </c>
      <c r="AA6" s="15">
        <f>AVERAGE(5,5,5,5)</f>
        <v>5</v>
      </c>
      <c r="AB6" s="15">
        <f t="shared" si="2"/>
        <v>0</v>
      </c>
      <c r="AC6" s="15">
        <f>AVERAGE(0,0,0,0)</f>
        <v>0</v>
      </c>
      <c r="AD6" s="15">
        <f>AVERAGE(5,5,5,5)</f>
        <v>5</v>
      </c>
      <c r="AE6" s="15">
        <f>AVERAGE(0,0,0,0)</f>
        <v>0</v>
      </c>
      <c r="AF6" s="15">
        <f>AVERAGE(5,5,5,5)</f>
        <v>5</v>
      </c>
      <c r="AG6" s="15">
        <v>52.05</v>
      </c>
      <c r="AH6" s="18">
        <v>0</v>
      </c>
      <c r="AI6" s="15">
        <v>12.57</v>
      </c>
      <c r="AJ6" s="18">
        <v>0</v>
      </c>
      <c r="AK6" s="15">
        <v>3</v>
      </c>
      <c r="AL6" s="17"/>
    </row>
    <row r="7" spans="1:38" ht="14.25" customHeight="1" x14ac:dyDescent="0.25">
      <c r="A7" s="6" t="s">
        <v>103</v>
      </c>
      <c r="B7" s="15">
        <v>27.5</v>
      </c>
      <c r="C7" s="15">
        <v>7.2</v>
      </c>
      <c r="D7" s="17"/>
      <c r="E7" s="19">
        <v>156.80000000000001</v>
      </c>
      <c r="F7" s="10">
        <v>2.12</v>
      </c>
      <c r="G7" s="10">
        <v>7.73</v>
      </c>
      <c r="H7" s="17"/>
      <c r="I7" s="20">
        <v>112.84</v>
      </c>
      <c r="J7" s="21">
        <f>1/(AVERAGE(36.96,23.3,24.92))</f>
        <v>3.521953510213665E-2</v>
      </c>
      <c r="K7" s="15">
        <f>AVERAGE(2,3)</f>
        <v>2.5</v>
      </c>
      <c r="L7" s="15">
        <v>31</v>
      </c>
      <c r="M7" s="15">
        <f>AVERAGE(15,31,15)</f>
        <v>20.333333333333332</v>
      </c>
      <c r="N7" s="15">
        <f>AVERAGE(30,30,30,30)</f>
        <v>30</v>
      </c>
      <c r="O7" s="20">
        <v>4.4000000000000004</v>
      </c>
      <c r="P7" s="15">
        <f t="shared" si="0"/>
        <v>100</v>
      </c>
      <c r="Q7" s="15">
        <f t="shared" si="1"/>
        <v>0</v>
      </c>
      <c r="R7" s="15">
        <f t="shared" si="1"/>
        <v>0</v>
      </c>
      <c r="S7" s="15">
        <f t="shared" si="1"/>
        <v>0</v>
      </c>
      <c r="T7" s="15">
        <f t="shared" si="1"/>
        <v>0</v>
      </c>
      <c r="U7" s="15">
        <f t="shared" si="1"/>
        <v>0</v>
      </c>
      <c r="V7" s="15">
        <f t="shared" si="1"/>
        <v>0</v>
      </c>
      <c r="W7" s="15">
        <f>AVERAGE(30,30,30,30)</f>
        <v>30</v>
      </c>
      <c r="X7" s="15">
        <f>AVERAGE(5,5,5,5)</f>
        <v>5</v>
      </c>
      <c r="Y7" s="15">
        <f>AVERAGE(15,15,15,15)</f>
        <v>15</v>
      </c>
      <c r="Z7" s="15">
        <f>AVERAGE(85,85,85,85)</f>
        <v>85</v>
      </c>
      <c r="AA7" s="15">
        <f>AVERAGE(1,1,1,1)</f>
        <v>1</v>
      </c>
      <c r="AB7" s="15">
        <f t="shared" si="2"/>
        <v>0</v>
      </c>
      <c r="AC7" s="15">
        <f>AVERAGE(1,1,1,1)</f>
        <v>1</v>
      </c>
      <c r="AD7" s="15">
        <f>AVERAGE(15,15,15,15)</f>
        <v>15</v>
      </c>
      <c r="AE7" s="15">
        <f>AVERAGE(1,1,1,1)</f>
        <v>1</v>
      </c>
      <c r="AF7" s="15">
        <f>AVERAGE(5,5,5,5)</f>
        <v>5</v>
      </c>
      <c r="AG7" s="15">
        <v>77.05</v>
      </c>
      <c r="AH7" s="18">
        <v>0</v>
      </c>
      <c r="AI7" s="15">
        <v>6.86</v>
      </c>
      <c r="AJ7" s="18">
        <v>0</v>
      </c>
      <c r="AK7" s="15">
        <v>10.33</v>
      </c>
      <c r="AL7" s="17"/>
    </row>
    <row r="8" spans="1:38" ht="14.25" customHeight="1" x14ac:dyDescent="0.25">
      <c r="A8" s="6" t="s">
        <v>104</v>
      </c>
      <c r="B8" s="15">
        <v>26.8</v>
      </c>
      <c r="C8" s="15">
        <v>7.6</v>
      </c>
      <c r="D8" s="17"/>
      <c r="E8" s="19">
        <v>134.1</v>
      </c>
      <c r="F8" s="10">
        <v>14.1</v>
      </c>
      <c r="G8" s="10">
        <v>5.87</v>
      </c>
      <c r="H8" s="17"/>
      <c r="I8" s="20">
        <v>112.84</v>
      </c>
      <c r="J8" s="21">
        <f>1/(AVERAGE(36.96,23.3,24.92))</f>
        <v>3.521953510213665E-2</v>
      </c>
      <c r="K8" s="15">
        <f>AVERAGE(2,3)</f>
        <v>2.5</v>
      </c>
      <c r="L8" s="15">
        <v>29</v>
      </c>
      <c r="M8" s="15">
        <f>AVERAGE(36,29,20)</f>
        <v>28.333333333333332</v>
      </c>
      <c r="N8" s="15">
        <f>AVERAGE(30,30,30,30)</f>
        <v>30</v>
      </c>
      <c r="O8" s="20">
        <v>2.2999999999999998</v>
      </c>
      <c r="P8" s="15">
        <f t="shared" si="0"/>
        <v>100</v>
      </c>
      <c r="Q8" s="15">
        <f t="shared" si="1"/>
        <v>0</v>
      </c>
      <c r="R8" s="15">
        <f t="shared" si="1"/>
        <v>0</v>
      </c>
      <c r="S8" s="15">
        <f t="shared" si="1"/>
        <v>0</v>
      </c>
      <c r="T8" s="15">
        <f t="shared" si="1"/>
        <v>0</v>
      </c>
      <c r="U8" s="15">
        <f t="shared" si="1"/>
        <v>0</v>
      </c>
      <c r="V8" s="15">
        <f t="shared" si="1"/>
        <v>0</v>
      </c>
      <c r="W8" s="15">
        <f>AVERAGE(0,0,0,0)</f>
        <v>0</v>
      </c>
      <c r="X8" s="15">
        <f>AVERAGE(5,5,5,5)</f>
        <v>5</v>
      </c>
      <c r="Y8" s="15">
        <f>AVERAGE(5,5,5,5)</f>
        <v>5</v>
      </c>
      <c r="Z8" s="15">
        <f>AVERAGE(80,80,80,80)</f>
        <v>80</v>
      </c>
      <c r="AA8" s="15">
        <f>AVERAGE(5,5,5,5)</f>
        <v>5</v>
      </c>
      <c r="AB8" s="15">
        <f t="shared" si="2"/>
        <v>0</v>
      </c>
      <c r="AC8" s="15">
        <f>AVERAGE(0,0,0,0)</f>
        <v>0</v>
      </c>
      <c r="AD8" s="15">
        <f>AVERAGE(5,5,5,5)</f>
        <v>5</v>
      </c>
      <c r="AE8" s="15">
        <f>AVERAGE(0,0,0,0)</f>
        <v>0</v>
      </c>
      <c r="AF8" s="15">
        <f>AVERAGE(5,5,5,5)</f>
        <v>5</v>
      </c>
      <c r="AG8" s="15">
        <v>47.5</v>
      </c>
      <c r="AH8" s="18">
        <v>0</v>
      </c>
      <c r="AI8" s="15">
        <v>6.86</v>
      </c>
      <c r="AJ8" s="18">
        <v>0</v>
      </c>
      <c r="AK8" s="15">
        <v>0.33</v>
      </c>
      <c r="AL8" s="17"/>
    </row>
    <row r="9" spans="1:38" ht="14.25" customHeight="1" x14ac:dyDescent="0.25">
      <c r="A9" s="6" t="s">
        <v>105</v>
      </c>
      <c r="B9" s="15">
        <v>24.9</v>
      </c>
      <c r="C9" s="15">
        <v>7.7</v>
      </c>
      <c r="D9" s="17"/>
      <c r="E9" s="19">
        <v>98.28</v>
      </c>
      <c r="F9" s="10">
        <v>1.51</v>
      </c>
      <c r="G9" s="10">
        <v>5.76</v>
      </c>
      <c r="H9" s="17"/>
      <c r="I9" s="20">
        <v>89.046999999999997</v>
      </c>
      <c r="J9" s="21">
        <f>1/(AVERAGE(39.91,50.26))</f>
        <v>2.218032605079295E-2</v>
      </c>
      <c r="K9" s="15">
        <f>AVERAGE(2,3)</f>
        <v>2.5</v>
      </c>
      <c r="L9" s="15">
        <v>22</v>
      </c>
      <c r="M9" s="15">
        <f>AVERAGE(11,22,15)</f>
        <v>16</v>
      </c>
      <c r="N9" s="15">
        <f>AVERAGE(42,42,42,42)</f>
        <v>42</v>
      </c>
      <c r="O9" s="20">
        <v>2.1</v>
      </c>
      <c r="P9" s="15">
        <f>AVERAGE(90,90,90,90)</f>
        <v>90</v>
      </c>
      <c r="Q9" s="15">
        <f>AVERAGE(10,10,10,10)</f>
        <v>10</v>
      </c>
      <c r="R9" s="15">
        <f t="shared" ref="R9:V20" si="3">AVERAGE(0,0,0,0)</f>
        <v>0</v>
      </c>
      <c r="S9" s="15">
        <f t="shared" si="3"/>
        <v>0</v>
      </c>
      <c r="T9" s="15">
        <f t="shared" si="3"/>
        <v>0</v>
      </c>
      <c r="U9" s="15">
        <f t="shared" si="3"/>
        <v>0</v>
      </c>
      <c r="V9" s="15">
        <f t="shared" si="3"/>
        <v>0</v>
      </c>
      <c r="W9" s="15">
        <f>AVERAGE(0,0,0,0)</f>
        <v>0</v>
      </c>
      <c r="X9" s="15">
        <f>AVERAGE(5,5,5,5)</f>
        <v>5</v>
      </c>
      <c r="Y9" s="15">
        <f>AVERAGE(0,0,0,0)</f>
        <v>0</v>
      </c>
      <c r="Z9" s="15">
        <f>AVERAGE(90,90,90,90)</f>
        <v>90</v>
      </c>
      <c r="AA9" s="15">
        <f>AVERAGE(30,30,30,30)</f>
        <v>30</v>
      </c>
      <c r="AB9" s="15">
        <f>AVERAGE(1,1,1,1)</f>
        <v>1</v>
      </c>
      <c r="AC9" s="15">
        <f>AVERAGE(1,1,1,1)</f>
        <v>1</v>
      </c>
      <c r="AD9" s="15">
        <f>AVERAGE(15,15,15,15)</f>
        <v>15</v>
      </c>
      <c r="AE9" s="15">
        <f>AVERAGE(5,5,5,5)</f>
        <v>5</v>
      </c>
      <c r="AF9" s="15">
        <f>AVERAGE(10,10,10,10)</f>
        <v>10</v>
      </c>
      <c r="AG9" s="15">
        <v>33.409999999999997</v>
      </c>
      <c r="AH9" s="18">
        <v>0</v>
      </c>
      <c r="AI9" s="18">
        <v>0</v>
      </c>
      <c r="AJ9" s="18">
        <v>0</v>
      </c>
      <c r="AK9" s="18">
        <v>0</v>
      </c>
      <c r="AL9" s="17"/>
    </row>
    <row r="10" spans="1:38" ht="14.25" customHeight="1" x14ac:dyDescent="0.25">
      <c r="A10" s="6" t="s">
        <v>106</v>
      </c>
      <c r="B10" s="15">
        <v>25.3</v>
      </c>
      <c r="C10" s="15">
        <v>7.9</v>
      </c>
      <c r="D10" s="17"/>
      <c r="E10" s="19">
        <v>160.19999999999999</v>
      </c>
      <c r="F10" s="10">
        <v>9.25</v>
      </c>
      <c r="G10" s="10">
        <v>6.05</v>
      </c>
      <c r="H10" s="17"/>
      <c r="I10" s="20">
        <v>89.046999999999997</v>
      </c>
      <c r="J10" s="21">
        <f>1/(AVERAGE(10.23,10.75,8.77,9.38,8.2,8.77,8.46))</f>
        <v>0.10842627013630732</v>
      </c>
      <c r="K10" s="15">
        <f>AVERAGE(1,2)</f>
        <v>1.5</v>
      </c>
      <c r="L10" s="15">
        <v>20</v>
      </c>
      <c r="M10" s="15">
        <f>AVERAGE(25,20,16)</f>
        <v>20.333333333333332</v>
      </c>
      <c r="N10" s="15">
        <f>AVERAGE(29,29,29,29)</f>
        <v>29</v>
      </c>
      <c r="O10" s="20">
        <v>1.1399999999999999</v>
      </c>
      <c r="P10" s="15">
        <f>AVERAGE(90,90,90,90)</f>
        <v>90</v>
      </c>
      <c r="Q10" s="15">
        <f>AVERAGE(10,10,10,10)</f>
        <v>10</v>
      </c>
      <c r="R10" s="15">
        <f t="shared" si="3"/>
        <v>0</v>
      </c>
      <c r="S10" s="15">
        <f t="shared" si="3"/>
        <v>0</v>
      </c>
      <c r="T10" s="15">
        <f t="shared" si="3"/>
        <v>0</v>
      </c>
      <c r="U10" s="15">
        <f t="shared" si="3"/>
        <v>0</v>
      </c>
      <c r="V10" s="15">
        <f t="shared" si="3"/>
        <v>0</v>
      </c>
      <c r="W10" s="15">
        <f>AVERAGE(0,0,0,0)</f>
        <v>0</v>
      </c>
      <c r="X10" s="15">
        <f>AVERAGE(0,0,0,0)</f>
        <v>0</v>
      </c>
      <c r="Y10" s="15">
        <f>AVERAGE(0,0,0,0)</f>
        <v>0</v>
      </c>
      <c r="Z10" s="15">
        <f>AVERAGE(85,85,85,85)</f>
        <v>85</v>
      </c>
      <c r="AA10" s="15">
        <f>AVERAGE(5,5,5,5)</f>
        <v>5</v>
      </c>
      <c r="AB10" s="15">
        <f>AVERAGE(20,20,20,20)</f>
        <v>20</v>
      </c>
      <c r="AC10" s="15">
        <f>AVERAGE(1,1,1,1)</f>
        <v>1</v>
      </c>
      <c r="AD10" s="15">
        <f>AVERAGE(10,10,10,10)</f>
        <v>10</v>
      </c>
      <c r="AE10" s="15">
        <f>AVERAGE(10,10,10,10)</f>
        <v>10</v>
      </c>
      <c r="AF10" s="15">
        <f>AVERAGE(1,1,1,1)</f>
        <v>1</v>
      </c>
      <c r="AG10" s="15">
        <v>115.68</v>
      </c>
      <c r="AH10" s="18">
        <v>0</v>
      </c>
      <c r="AI10" s="15">
        <v>12.57</v>
      </c>
      <c r="AJ10" s="15">
        <v>3</v>
      </c>
      <c r="AK10" s="15">
        <v>150.33000000000001</v>
      </c>
      <c r="AL10" s="17"/>
    </row>
    <row r="11" spans="1:38" ht="14.25" customHeight="1" x14ac:dyDescent="0.25">
      <c r="A11" s="6" t="s">
        <v>107</v>
      </c>
      <c r="B11" s="15">
        <v>25.5</v>
      </c>
      <c r="C11" s="15">
        <v>8</v>
      </c>
      <c r="D11" s="17"/>
      <c r="E11" s="19">
        <v>128.5</v>
      </c>
      <c r="F11" s="10">
        <v>2.52</v>
      </c>
      <c r="G11" s="10">
        <v>4.55</v>
      </c>
      <c r="H11" s="17"/>
      <c r="I11" s="20">
        <v>89.046999999999997</v>
      </c>
      <c r="J11" s="21">
        <f>1/(AVERAGE(10.59,13,13.52,13.42,10.82,7.62,11.28))</f>
        <v>8.7227414330218078E-2</v>
      </c>
      <c r="K11" s="15">
        <f>AVERAGE(2,3)</f>
        <v>2.5</v>
      </c>
      <c r="L11" s="15">
        <v>26</v>
      </c>
      <c r="M11" s="15">
        <f>AVERAGE(21,26,21)</f>
        <v>22.666666666666668</v>
      </c>
      <c r="N11" s="15">
        <f>AVERAGE(15,15,15,15)</f>
        <v>15</v>
      </c>
      <c r="O11" s="20">
        <v>1.8</v>
      </c>
      <c r="P11" s="15">
        <f>AVERAGE(90,90,90,90)</f>
        <v>90</v>
      </c>
      <c r="Q11" s="15">
        <f>AVERAGE(10,10,10,10)</f>
        <v>10</v>
      </c>
      <c r="R11" s="15">
        <f t="shared" si="3"/>
        <v>0</v>
      </c>
      <c r="S11" s="15">
        <f t="shared" si="3"/>
        <v>0</v>
      </c>
      <c r="T11" s="15">
        <f t="shared" si="3"/>
        <v>0</v>
      </c>
      <c r="U11" s="15">
        <f t="shared" si="3"/>
        <v>0</v>
      </c>
      <c r="V11" s="15">
        <f t="shared" si="3"/>
        <v>0</v>
      </c>
      <c r="W11" s="15">
        <f>AVERAGE(0,0,0,0)</f>
        <v>0</v>
      </c>
      <c r="X11" s="15">
        <f>AVERAGE(1,1,1,1)</f>
        <v>1</v>
      </c>
      <c r="Y11" s="15">
        <f>AVERAGE(10,10,10,10)</f>
        <v>10</v>
      </c>
      <c r="Z11" s="15">
        <f>AVERAGE(80,80,80,80)</f>
        <v>80</v>
      </c>
      <c r="AA11" s="15">
        <f>AVERAGE(25,25,25,25)</f>
        <v>25</v>
      </c>
      <c r="AB11" s="15">
        <f>AVERAGE(5,5,5,5)</f>
        <v>5</v>
      </c>
      <c r="AC11" s="15">
        <f>AVERAGE(5,5,5,5)</f>
        <v>5</v>
      </c>
      <c r="AD11" s="15">
        <f>AVERAGE(5,5,5,5)</f>
        <v>5</v>
      </c>
      <c r="AE11" s="15">
        <f>AVERAGE(5,5,5,5)</f>
        <v>5</v>
      </c>
      <c r="AF11" s="15">
        <f>AVERAGE(0,0,0,0)</f>
        <v>0</v>
      </c>
      <c r="AG11" s="15">
        <v>67.05</v>
      </c>
      <c r="AH11" s="18">
        <v>0</v>
      </c>
      <c r="AI11" s="15">
        <v>4</v>
      </c>
      <c r="AJ11" s="18">
        <v>0</v>
      </c>
      <c r="AK11" s="18">
        <v>0</v>
      </c>
      <c r="AL11" s="17"/>
    </row>
    <row r="12" spans="1:38" ht="14.25" customHeight="1" x14ac:dyDescent="0.25">
      <c r="A12" s="6" t="s">
        <v>108</v>
      </c>
      <c r="B12" s="15">
        <v>28.5</v>
      </c>
      <c r="C12" s="15">
        <v>8.4</v>
      </c>
      <c r="D12" s="17"/>
      <c r="E12" s="19">
        <v>161.30000000000001</v>
      </c>
      <c r="F12" s="10">
        <v>6.26</v>
      </c>
      <c r="G12" s="10">
        <v>6</v>
      </c>
      <c r="H12" s="17"/>
      <c r="I12" s="20">
        <v>89.058999999999997</v>
      </c>
      <c r="J12" s="21">
        <v>0</v>
      </c>
      <c r="K12" s="15">
        <f>AVERAGE(2,2)</f>
        <v>2</v>
      </c>
      <c r="L12" s="19">
        <v>56</v>
      </c>
      <c r="M12" s="15">
        <f>AVERAGE(49,56,49)</f>
        <v>51.333333333333336</v>
      </c>
      <c r="N12" s="15">
        <f>AVERAGE(49,49,49,49)</f>
        <v>49</v>
      </c>
      <c r="O12" s="54">
        <v>4.5999999999999996</v>
      </c>
      <c r="P12" s="15">
        <f>AVERAGE(80,80,80,80)</f>
        <v>80</v>
      </c>
      <c r="Q12" s="15">
        <f>AVERAGE(20,20,20,20)</f>
        <v>20</v>
      </c>
      <c r="R12" s="15">
        <f t="shared" si="3"/>
        <v>0</v>
      </c>
      <c r="S12" s="15">
        <f t="shared" si="3"/>
        <v>0</v>
      </c>
      <c r="T12" s="15">
        <f t="shared" si="3"/>
        <v>0</v>
      </c>
      <c r="U12" s="15">
        <f t="shared" si="3"/>
        <v>0</v>
      </c>
      <c r="V12" s="15">
        <f t="shared" si="3"/>
        <v>0</v>
      </c>
      <c r="W12" s="15">
        <f>AVERAGE(60,60,60,60)</f>
        <v>60</v>
      </c>
      <c r="X12" s="15">
        <f>AVERAGE(50,50,50,50)</f>
        <v>50</v>
      </c>
      <c r="Y12" s="15">
        <f>AVERAGE(0,0,0,0)</f>
        <v>0</v>
      </c>
      <c r="Z12" s="15">
        <f>AVERAGE(30,30,30,30)</f>
        <v>30</v>
      </c>
      <c r="AA12" s="15">
        <f>AVERAGE(30,30,30,30)</f>
        <v>30</v>
      </c>
      <c r="AB12" s="15">
        <f>AVERAGE(0,0,0,0)</f>
        <v>0</v>
      </c>
      <c r="AC12" s="15">
        <f>AVERAGE(15,15,15,15)</f>
        <v>15</v>
      </c>
      <c r="AD12" s="15">
        <f>AVERAGE(0,0,0,0)</f>
        <v>0</v>
      </c>
      <c r="AE12" s="15">
        <f>AVERAGE(10,10,10,10)</f>
        <v>10</v>
      </c>
      <c r="AF12" s="15">
        <f>AVERAGE(20,20,20,20)</f>
        <v>20</v>
      </c>
      <c r="AG12" s="15">
        <v>92.95</v>
      </c>
      <c r="AH12" s="18">
        <v>0</v>
      </c>
      <c r="AI12" s="15">
        <v>14</v>
      </c>
      <c r="AJ12" s="18">
        <v>0</v>
      </c>
      <c r="AK12" s="15">
        <v>27</v>
      </c>
      <c r="AL12" s="17"/>
    </row>
    <row r="13" spans="1:38" ht="14.25" customHeight="1" x14ac:dyDescent="0.25">
      <c r="A13" s="6" t="s">
        <v>110</v>
      </c>
      <c r="B13" s="15">
        <v>27.8</v>
      </c>
      <c r="C13" s="15">
        <v>7.7</v>
      </c>
      <c r="D13" s="17"/>
      <c r="E13" s="2">
        <v>161.80000000000001</v>
      </c>
      <c r="F13" s="10">
        <v>6.8</v>
      </c>
      <c r="G13" s="10">
        <v>5.93</v>
      </c>
      <c r="H13" s="52"/>
      <c r="I13" s="20">
        <v>89.058999999999997</v>
      </c>
      <c r="J13" s="21">
        <v>0</v>
      </c>
      <c r="K13" s="15">
        <f>AVERAGE(2,2)</f>
        <v>2</v>
      </c>
      <c r="L13" s="15">
        <v>56</v>
      </c>
      <c r="M13" s="15">
        <f>AVERAGE(49,56,49)</f>
        <v>51.333333333333336</v>
      </c>
      <c r="N13" s="15">
        <f>AVERAGE(87,87,87,87)</f>
        <v>87</v>
      </c>
      <c r="O13" s="54">
        <v>4.5999999999999996</v>
      </c>
      <c r="P13" s="15">
        <f>AVERAGE(80,80,80,80)</f>
        <v>80</v>
      </c>
      <c r="Q13" s="15">
        <f>AVERAGE(20,20,20,20)</f>
        <v>20</v>
      </c>
      <c r="R13" s="15">
        <f t="shared" si="3"/>
        <v>0</v>
      </c>
      <c r="S13" s="15">
        <f t="shared" si="3"/>
        <v>0</v>
      </c>
      <c r="T13" s="15">
        <f t="shared" si="3"/>
        <v>0</v>
      </c>
      <c r="U13" s="19">
        <f t="shared" si="3"/>
        <v>0</v>
      </c>
      <c r="V13" s="15">
        <f t="shared" si="3"/>
        <v>0</v>
      </c>
      <c r="W13" s="15">
        <f>AVERAGE(25,25,25,25)</f>
        <v>25</v>
      </c>
      <c r="X13" s="15">
        <f>AVERAGE(20,20,20,20)</f>
        <v>20</v>
      </c>
      <c r="Y13" s="15">
        <f>AVERAGE(5,5,5,5)</f>
        <v>5</v>
      </c>
      <c r="Z13" s="15">
        <f>AVERAGE(30,30,30,30)</f>
        <v>30</v>
      </c>
      <c r="AA13" s="15">
        <f>AVERAGE(20,20,20,20)</f>
        <v>20</v>
      </c>
      <c r="AB13" s="15">
        <f>AVERAGE(0,0,0,0)</f>
        <v>0</v>
      </c>
      <c r="AC13" s="15">
        <f>AVERAGE(20,20,20,20)</f>
        <v>20</v>
      </c>
      <c r="AD13" s="15">
        <f>AVERAGE(0,0,0,0)</f>
        <v>0</v>
      </c>
      <c r="AE13" s="15">
        <f>AVERAGE(15,15,15,15)</f>
        <v>15</v>
      </c>
      <c r="AF13" s="15">
        <f>AVERAGE(20,20,20,20)</f>
        <v>20</v>
      </c>
      <c r="AG13" s="15">
        <v>68.86</v>
      </c>
      <c r="AH13" s="18">
        <v>0</v>
      </c>
      <c r="AI13" s="15">
        <v>11.14</v>
      </c>
      <c r="AJ13" s="18">
        <v>0</v>
      </c>
      <c r="AK13" s="18">
        <v>0</v>
      </c>
      <c r="AL13" s="17"/>
    </row>
    <row r="14" spans="1:38" ht="14.25" customHeight="1" x14ac:dyDescent="0.25">
      <c r="A14" s="6" t="s">
        <v>111</v>
      </c>
      <c r="B14" s="19">
        <v>27</v>
      </c>
      <c r="C14" s="15">
        <v>6.5</v>
      </c>
      <c r="D14" s="17"/>
      <c r="E14" s="2">
        <v>158.80000000000001</v>
      </c>
      <c r="F14" s="10">
        <v>6.13</v>
      </c>
      <c r="G14" s="10">
        <v>5.87</v>
      </c>
      <c r="H14" s="17"/>
      <c r="I14" s="20">
        <v>89.058999999999997</v>
      </c>
      <c r="J14" s="48">
        <f>1/(AVERAGE(9,9,10,8,9,8,8))</f>
        <v>0.11475409836065575</v>
      </c>
      <c r="K14" s="49">
        <f>AVERAGE(2,2)</f>
        <v>2</v>
      </c>
      <c r="L14" s="49">
        <v>38</v>
      </c>
      <c r="M14" s="49">
        <f>AVERAGE(26,38,26)</f>
        <v>30</v>
      </c>
      <c r="N14" s="49">
        <f>AVERAGE(24,24,20,20)</f>
        <v>22</v>
      </c>
      <c r="O14" s="50">
        <v>2.0499999999999998</v>
      </c>
      <c r="P14" s="51">
        <v>80</v>
      </c>
      <c r="Q14" s="51">
        <v>20</v>
      </c>
      <c r="R14" s="15">
        <f t="shared" si="3"/>
        <v>0</v>
      </c>
      <c r="S14" s="15">
        <f t="shared" si="3"/>
        <v>0</v>
      </c>
      <c r="T14" s="15">
        <f t="shared" si="3"/>
        <v>0</v>
      </c>
      <c r="U14" s="15">
        <f t="shared" si="3"/>
        <v>0</v>
      </c>
      <c r="V14" s="15">
        <f t="shared" si="3"/>
        <v>0</v>
      </c>
      <c r="W14" s="15">
        <f>AVERAGE(15,15,30,30)</f>
        <v>22.5</v>
      </c>
      <c r="X14" s="15">
        <f>AVERAGE(15,15,80,80)</f>
        <v>47.5</v>
      </c>
      <c r="Y14" s="15">
        <f>AVERAGE(5,5,5,5)</f>
        <v>5</v>
      </c>
      <c r="Z14" s="15">
        <f>AVERAGE(30,30,30,30)</f>
        <v>30</v>
      </c>
      <c r="AA14" s="15">
        <f>AVERAGE(30,30,30,30)</f>
        <v>30</v>
      </c>
      <c r="AB14" s="45">
        <v>0</v>
      </c>
      <c r="AC14" s="45">
        <v>15</v>
      </c>
      <c r="AD14" s="15">
        <f>AVERAGE(0,0,0,0)</f>
        <v>0</v>
      </c>
      <c r="AE14" s="15">
        <f>AVERAGE(10,10,10,10)</f>
        <v>10</v>
      </c>
      <c r="AF14" s="45">
        <v>20</v>
      </c>
      <c r="AG14" s="15">
        <v>82.95</v>
      </c>
      <c r="AH14" s="18">
        <v>0</v>
      </c>
      <c r="AI14" s="15">
        <v>31.14</v>
      </c>
      <c r="AJ14" s="18">
        <v>0</v>
      </c>
      <c r="AK14" s="18">
        <v>0</v>
      </c>
      <c r="AL14" s="17"/>
    </row>
    <row r="15" spans="1:38" ht="14.25" customHeight="1" x14ac:dyDescent="0.25">
      <c r="A15" s="6" t="s">
        <v>112</v>
      </c>
      <c r="B15" s="15">
        <v>27.3</v>
      </c>
      <c r="C15" s="15">
        <v>7.9</v>
      </c>
      <c r="D15" s="17"/>
      <c r="E15" s="2">
        <v>165.5</v>
      </c>
      <c r="F15" s="10">
        <v>17.2</v>
      </c>
      <c r="G15" s="10">
        <v>6.59</v>
      </c>
      <c r="H15" s="17"/>
      <c r="I15" s="20">
        <v>71.022999999999996</v>
      </c>
      <c r="J15" s="21">
        <f>1/(AVERAGE(4,4,3,3,3,4,4))</f>
        <v>0.27999999999999997</v>
      </c>
      <c r="K15" s="15">
        <f>AVERAGE(3,3)</f>
        <v>3</v>
      </c>
      <c r="L15" s="15">
        <v>21</v>
      </c>
      <c r="M15" s="19">
        <f>AVERAGE(16,21,10)</f>
        <v>15.666666666666666</v>
      </c>
      <c r="N15" s="15">
        <f>AVERAGE(20,20,20,20)</f>
        <v>20</v>
      </c>
      <c r="O15" s="10">
        <v>0.81</v>
      </c>
      <c r="P15" s="15">
        <f>AVERAGE(80,80,80,80)</f>
        <v>80</v>
      </c>
      <c r="Q15" s="15">
        <f>AVERAGE(20,20,20,20)</f>
        <v>20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5">
        <f t="shared" si="3"/>
        <v>0</v>
      </c>
      <c r="V15" s="15">
        <f t="shared" si="3"/>
        <v>0</v>
      </c>
      <c r="W15" s="15">
        <f t="shared" ref="W15:X17" si="4">AVERAGE(0,0,0,0)</f>
        <v>0</v>
      </c>
      <c r="X15" s="15">
        <f t="shared" si="4"/>
        <v>0</v>
      </c>
      <c r="Y15" s="15">
        <f>AVERAGE(10,10,10,10)</f>
        <v>10</v>
      </c>
      <c r="Z15" s="15">
        <f>AVERAGE(80,80,80,80)</f>
        <v>80</v>
      </c>
      <c r="AA15" s="15">
        <f>AVERAGE(30,30,30,30)</f>
        <v>30</v>
      </c>
      <c r="AB15" s="15">
        <f t="shared" ref="AB15:AB20" si="5">AVERAGE(0,0,0,0)</f>
        <v>0</v>
      </c>
      <c r="AC15" s="15">
        <f t="shared" ref="AC15:AC20" si="6">AVERAGE(0,0,0,0)</f>
        <v>0</v>
      </c>
      <c r="AD15" s="15">
        <f>AVERAGE(50,50,50,50)</f>
        <v>50</v>
      </c>
      <c r="AE15" s="15">
        <f>AVERAGE(0,0,0,0)</f>
        <v>0</v>
      </c>
      <c r="AF15" s="15">
        <f>AVERAGE(1,1,1,1)</f>
        <v>1</v>
      </c>
      <c r="AG15" s="15">
        <v>77.95</v>
      </c>
      <c r="AH15" s="18">
        <v>0</v>
      </c>
      <c r="AI15" s="15">
        <v>18.29</v>
      </c>
      <c r="AJ15" s="18">
        <v>0</v>
      </c>
      <c r="AK15" s="15">
        <v>22</v>
      </c>
      <c r="AL15" s="17"/>
    </row>
    <row r="16" spans="1:38" ht="14.25" customHeight="1" x14ac:dyDescent="0.25">
      <c r="A16" s="6" t="s">
        <v>114</v>
      </c>
      <c r="B16" s="15">
        <v>26.9</v>
      </c>
      <c r="C16" s="15">
        <v>7.8</v>
      </c>
      <c r="D16" s="17"/>
      <c r="E16" s="2">
        <v>163.19999999999999</v>
      </c>
      <c r="F16" s="10">
        <v>17.7</v>
      </c>
      <c r="G16" s="10">
        <v>6.59</v>
      </c>
      <c r="H16" s="17"/>
      <c r="I16" s="20">
        <v>71.022999999999996</v>
      </c>
      <c r="J16" s="21">
        <f>1/(AVERAGE(7,4,3,3,3,3,5))</f>
        <v>0.25</v>
      </c>
      <c r="K16" s="15">
        <f>AVERAGE(3,3)</f>
        <v>3</v>
      </c>
      <c r="L16" s="15">
        <v>22</v>
      </c>
      <c r="M16" s="19">
        <f>AVERAGE(11,22,12)</f>
        <v>15</v>
      </c>
      <c r="N16" s="15">
        <f>AVERAGE(20,20,20,20)</f>
        <v>20</v>
      </c>
      <c r="O16" s="10">
        <v>1.6</v>
      </c>
      <c r="P16" s="15">
        <f>AVERAGE(60,60,60,60)</f>
        <v>60</v>
      </c>
      <c r="Q16" s="15">
        <f>AVERAGE(40,40,40,40)</f>
        <v>40</v>
      </c>
      <c r="R16" s="15">
        <f t="shared" si="3"/>
        <v>0</v>
      </c>
      <c r="S16" s="15">
        <f t="shared" si="3"/>
        <v>0</v>
      </c>
      <c r="T16" s="15">
        <f t="shared" si="3"/>
        <v>0</v>
      </c>
      <c r="U16" s="15">
        <f t="shared" si="3"/>
        <v>0</v>
      </c>
      <c r="V16" s="15">
        <f t="shared" si="3"/>
        <v>0</v>
      </c>
      <c r="W16" s="15">
        <f t="shared" si="4"/>
        <v>0</v>
      </c>
      <c r="X16" s="15">
        <f t="shared" si="4"/>
        <v>0</v>
      </c>
      <c r="Y16" s="15">
        <f>AVERAGE(20,20,20,20)</f>
        <v>20</v>
      </c>
      <c r="Z16" s="15">
        <f>AVERAGE(70,70,70,70)</f>
        <v>70</v>
      </c>
      <c r="AA16" s="15">
        <f>AVERAGE(1,1,1,1)</f>
        <v>1</v>
      </c>
      <c r="AB16" s="15">
        <f t="shared" si="5"/>
        <v>0</v>
      </c>
      <c r="AC16" s="15">
        <f t="shared" si="6"/>
        <v>0</v>
      </c>
      <c r="AD16" s="15">
        <f>AVERAGE(90,90,90,90)</f>
        <v>90</v>
      </c>
      <c r="AE16" s="15">
        <f>AVERAGE(0,0,0,0)</f>
        <v>0</v>
      </c>
      <c r="AF16" s="15">
        <f>AVERAGE(10,10,10,10)</f>
        <v>10</v>
      </c>
      <c r="AG16" s="15">
        <v>99.32</v>
      </c>
      <c r="AH16" s="18">
        <v>0</v>
      </c>
      <c r="AI16" s="15">
        <v>16.86</v>
      </c>
      <c r="AJ16" s="18">
        <v>0</v>
      </c>
      <c r="AK16" s="15">
        <v>20.329999999999998</v>
      </c>
      <c r="AL16" s="17"/>
    </row>
    <row r="17" spans="1:38" ht="14.25" customHeight="1" x14ac:dyDescent="0.25">
      <c r="A17" s="6" t="s">
        <v>115</v>
      </c>
      <c r="B17" s="15">
        <v>26.6</v>
      </c>
      <c r="C17" s="15">
        <v>7.9</v>
      </c>
      <c r="D17" s="17"/>
      <c r="E17" s="2">
        <v>161.19999999999999</v>
      </c>
      <c r="F17" s="10">
        <v>17.5</v>
      </c>
      <c r="G17" s="10">
        <v>6.59</v>
      </c>
      <c r="H17" s="17"/>
      <c r="I17" s="20">
        <v>71.022999999999996</v>
      </c>
      <c r="J17" s="21">
        <f>1/(AVERAGE(9,2,2,2,2,2,2,2))</f>
        <v>0.34782608695652173</v>
      </c>
      <c r="K17" s="15">
        <f>AVERAGE(2,2)</f>
        <v>2</v>
      </c>
      <c r="L17" s="15">
        <v>20</v>
      </c>
      <c r="M17" s="19">
        <f>AVERAGE(20,20,19)</f>
        <v>19.666666666666668</v>
      </c>
      <c r="N17" s="15">
        <f>AVERAGE(20,20,20,20)</f>
        <v>20</v>
      </c>
      <c r="O17" s="10">
        <v>1.33</v>
      </c>
      <c r="P17" s="15">
        <f>AVERAGE(70,70,70,70)</f>
        <v>70</v>
      </c>
      <c r="Q17" s="15">
        <f>AVERAGE(30,30,30,30)</f>
        <v>30</v>
      </c>
      <c r="R17" s="15">
        <f t="shared" si="3"/>
        <v>0</v>
      </c>
      <c r="S17" s="15">
        <f t="shared" si="3"/>
        <v>0</v>
      </c>
      <c r="T17" s="15">
        <f t="shared" si="3"/>
        <v>0</v>
      </c>
      <c r="U17" s="15">
        <f t="shared" si="3"/>
        <v>0</v>
      </c>
      <c r="V17" s="15">
        <f t="shared" si="3"/>
        <v>0</v>
      </c>
      <c r="W17" s="15">
        <f t="shared" si="4"/>
        <v>0</v>
      </c>
      <c r="X17" s="15">
        <f t="shared" si="4"/>
        <v>0</v>
      </c>
      <c r="Y17" s="15">
        <f>AVERAGE(20,20,20,20)</f>
        <v>20</v>
      </c>
      <c r="Z17" s="15">
        <f>AVERAGE(60,60,60,60)</f>
        <v>60</v>
      </c>
      <c r="AA17" s="15">
        <f>AVERAGE(10,10,10,10)</f>
        <v>10</v>
      </c>
      <c r="AB17" s="15">
        <f t="shared" si="5"/>
        <v>0</v>
      </c>
      <c r="AC17" s="15">
        <f t="shared" si="6"/>
        <v>0</v>
      </c>
      <c r="AD17" s="15">
        <f>AVERAGE(90,90,90,90)</f>
        <v>90</v>
      </c>
      <c r="AE17" s="15">
        <f>AVERAGE(10,10,10,10)</f>
        <v>10</v>
      </c>
      <c r="AF17" s="15">
        <f>AVERAGE(30,30,30,30)</f>
        <v>30</v>
      </c>
      <c r="AG17" s="15">
        <v>65.23</v>
      </c>
      <c r="AH17" s="18">
        <v>0</v>
      </c>
      <c r="AI17" s="15">
        <v>19.71</v>
      </c>
      <c r="AJ17" s="18">
        <v>0</v>
      </c>
      <c r="AK17" s="15">
        <v>15.33</v>
      </c>
      <c r="AL17" s="17"/>
    </row>
    <row r="18" spans="1:38" ht="14.25" customHeight="1" x14ac:dyDescent="0.25">
      <c r="A18" s="6" t="s">
        <v>116</v>
      </c>
      <c r="B18" s="15">
        <v>26.5</v>
      </c>
      <c r="C18" s="15">
        <v>5.0999999999999996</v>
      </c>
      <c r="D18" s="17"/>
      <c r="E18" s="2">
        <v>155.19999999999999</v>
      </c>
      <c r="F18" s="10">
        <v>24.2</v>
      </c>
      <c r="G18" s="10">
        <v>7.26</v>
      </c>
      <c r="H18" s="17"/>
      <c r="I18" s="20">
        <v>41.473999999999997</v>
      </c>
      <c r="J18" s="21">
        <f>1/(AVERAGE(51,40))</f>
        <v>2.197802197802198E-2</v>
      </c>
      <c r="K18" s="15">
        <f>AVERAGE(1,2)</f>
        <v>1.5</v>
      </c>
      <c r="L18" s="15">
        <v>47</v>
      </c>
      <c r="M18" s="19">
        <f>AVERAGE(40,47,35)</f>
        <v>40.666666666666664</v>
      </c>
      <c r="N18" s="15">
        <f>AVERAGE(52,52,52,52)</f>
        <v>52</v>
      </c>
      <c r="O18" s="10">
        <v>7.2</v>
      </c>
      <c r="P18" s="15">
        <f>AVERAGE(20,20,20,20)</f>
        <v>20</v>
      </c>
      <c r="Q18" s="15">
        <f>AVERAGE(80,80,80,80)</f>
        <v>80</v>
      </c>
      <c r="R18" s="15">
        <f t="shared" si="3"/>
        <v>0</v>
      </c>
      <c r="S18" s="15">
        <f t="shared" si="3"/>
        <v>0</v>
      </c>
      <c r="T18" s="15">
        <f t="shared" si="3"/>
        <v>0</v>
      </c>
      <c r="U18" s="15">
        <f t="shared" si="3"/>
        <v>0</v>
      </c>
      <c r="V18" s="15">
        <f t="shared" si="3"/>
        <v>0</v>
      </c>
      <c r="W18" s="15">
        <f>AVERAGE(5,5,5,5)</f>
        <v>5</v>
      </c>
      <c r="X18" s="15">
        <f>AVERAGE(10,10,10,10)</f>
        <v>10</v>
      </c>
      <c r="Y18" s="15">
        <f>AVERAGE(5,5,5,5)</f>
        <v>5</v>
      </c>
      <c r="Z18" s="15">
        <f>AVERAGE(5,5,5,5)</f>
        <v>5</v>
      </c>
      <c r="AA18" s="15">
        <f>AVERAGE(10,10,10,10)</f>
        <v>10</v>
      </c>
      <c r="AB18" s="15">
        <f t="shared" si="5"/>
        <v>0</v>
      </c>
      <c r="AC18" s="15">
        <f t="shared" si="6"/>
        <v>0</v>
      </c>
      <c r="AD18" s="15">
        <v>0</v>
      </c>
      <c r="AE18" s="15">
        <f>AVERAGE(5,5,5,5)</f>
        <v>5</v>
      </c>
      <c r="AF18" s="15">
        <f>AVERAGE(10,10,10,10)</f>
        <v>10</v>
      </c>
      <c r="AG18" s="15">
        <v>203.86</v>
      </c>
      <c r="AH18" s="18">
        <v>0</v>
      </c>
      <c r="AI18" s="15">
        <v>8.2899999999999991</v>
      </c>
      <c r="AJ18" s="18">
        <v>0</v>
      </c>
      <c r="AK18" s="15">
        <v>47</v>
      </c>
      <c r="AL18" s="17"/>
    </row>
    <row r="19" spans="1:38" ht="14.25" customHeight="1" x14ac:dyDescent="0.25">
      <c r="A19" s="6" t="s">
        <v>118</v>
      </c>
      <c r="B19" s="15">
        <v>26.3</v>
      </c>
      <c r="C19" s="15">
        <v>6.1</v>
      </c>
      <c r="D19" s="17"/>
      <c r="E19" s="2">
        <v>157.9</v>
      </c>
      <c r="F19" s="10">
        <v>34.799999999999997</v>
      </c>
      <c r="G19" s="10">
        <v>6.71</v>
      </c>
      <c r="H19" s="17"/>
      <c r="I19" s="20">
        <v>41.473999999999997</v>
      </c>
      <c r="J19" s="21">
        <f>1/(AVERAGE(51,40))</f>
        <v>2.197802197802198E-2</v>
      </c>
      <c r="K19" s="15">
        <f>AVERAGE(2,2)</f>
        <v>2</v>
      </c>
      <c r="L19" s="15">
        <v>47</v>
      </c>
      <c r="M19" s="19">
        <f>AVERAGE(40,47,35)</f>
        <v>40.666666666666664</v>
      </c>
      <c r="N19" s="15">
        <f>AVERAGE(38,38,38,38)</f>
        <v>38</v>
      </c>
      <c r="O19" s="10">
        <v>7.2</v>
      </c>
      <c r="P19" s="15">
        <f>AVERAGE(20,20,20,20)</f>
        <v>20</v>
      </c>
      <c r="Q19" s="15">
        <f>AVERAGE(80,80,80,80)</f>
        <v>80</v>
      </c>
      <c r="R19" s="15">
        <f t="shared" si="3"/>
        <v>0</v>
      </c>
      <c r="S19" s="15">
        <f t="shared" si="3"/>
        <v>0</v>
      </c>
      <c r="T19" s="15">
        <f t="shared" si="3"/>
        <v>0</v>
      </c>
      <c r="U19" s="15">
        <f t="shared" si="3"/>
        <v>0</v>
      </c>
      <c r="V19" s="15">
        <f t="shared" si="3"/>
        <v>0</v>
      </c>
      <c r="W19" s="15">
        <f>AVERAGE(0,0,0,0)</f>
        <v>0</v>
      </c>
      <c r="X19" s="15">
        <f>AVERAGE(1,1,1,1)</f>
        <v>1</v>
      </c>
      <c r="Y19" s="15">
        <f>AVERAGE(10,10,10,10)</f>
        <v>10</v>
      </c>
      <c r="Z19" s="15">
        <f>AVERAGE(20,20,20,20)</f>
        <v>20</v>
      </c>
      <c r="AA19" s="15">
        <f>AVERAGE(5,5,5,5)</f>
        <v>5</v>
      </c>
      <c r="AB19" s="15">
        <f t="shared" si="5"/>
        <v>0</v>
      </c>
      <c r="AC19" s="15">
        <f t="shared" si="6"/>
        <v>0</v>
      </c>
      <c r="AD19" s="15">
        <f>AVERAGE(10,10,10,10)</f>
        <v>10</v>
      </c>
      <c r="AE19" s="15">
        <f>AVERAGE(5,5,5,5)</f>
        <v>5</v>
      </c>
      <c r="AF19" s="15">
        <f>AVERAGE(15,15,15,15)</f>
        <v>15</v>
      </c>
      <c r="AG19" s="15">
        <v>277.5</v>
      </c>
      <c r="AH19" s="18">
        <v>0</v>
      </c>
      <c r="AI19" s="15">
        <v>5.43</v>
      </c>
      <c r="AJ19" s="18">
        <v>0</v>
      </c>
      <c r="AK19" s="15">
        <v>55.33</v>
      </c>
      <c r="AL19" s="17"/>
    </row>
    <row r="20" spans="1:38" ht="14.25" customHeight="1" x14ac:dyDescent="0.25">
      <c r="A20" s="6" t="s">
        <v>119</v>
      </c>
      <c r="B20" s="15">
        <v>26.2</v>
      </c>
      <c r="C20" s="15">
        <v>4.9000000000000004</v>
      </c>
      <c r="D20" s="17"/>
      <c r="E20" s="2">
        <v>149.69999999999999</v>
      </c>
      <c r="F20" s="10">
        <v>29.9</v>
      </c>
      <c r="G20" s="10">
        <v>6.61</v>
      </c>
      <c r="H20" s="17"/>
      <c r="I20" s="20">
        <v>41.473999999999997</v>
      </c>
      <c r="J20" s="21">
        <f>1/(AVERAGE(51,40))</f>
        <v>2.197802197802198E-2</v>
      </c>
      <c r="K20" s="15">
        <f>AVERAGE(1,1)</f>
        <v>1</v>
      </c>
      <c r="L20" s="15">
        <v>47</v>
      </c>
      <c r="M20" s="19">
        <f>AVERAGE(40,47,35)</f>
        <v>40.666666666666664</v>
      </c>
      <c r="N20" s="15">
        <f>AVERAGE(46,46,46,46)</f>
        <v>46</v>
      </c>
      <c r="O20" s="10">
        <v>7.2</v>
      </c>
      <c r="P20" s="15">
        <f>AVERAGE(50,50,50,50)</f>
        <v>50</v>
      </c>
      <c r="Q20" s="15">
        <f>AVERAGE(50,50,50,50)</f>
        <v>50</v>
      </c>
      <c r="R20" s="15">
        <f t="shared" si="3"/>
        <v>0</v>
      </c>
      <c r="S20" s="15">
        <f t="shared" si="3"/>
        <v>0</v>
      </c>
      <c r="T20" s="15">
        <f t="shared" si="3"/>
        <v>0</v>
      </c>
      <c r="U20" s="15">
        <f t="shared" si="3"/>
        <v>0</v>
      </c>
      <c r="V20" s="15">
        <f t="shared" si="3"/>
        <v>0</v>
      </c>
      <c r="W20" s="15">
        <f>AVERAGE(0,0,0,0)</f>
        <v>0</v>
      </c>
      <c r="X20" s="15">
        <f>AVERAGE(30,30,30,30)</f>
        <v>30</v>
      </c>
      <c r="Y20" s="15">
        <f>AVERAGE(0,0,0,0)</f>
        <v>0</v>
      </c>
      <c r="Z20" s="15">
        <f>AVERAGE(0,0,0,0)</f>
        <v>0</v>
      </c>
      <c r="AA20" s="15">
        <f>AVERAGE(1,1,1,1)</f>
        <v>1</v>
      </c>
      <c r="AB20" s="15">
        <f t="shared" si="5"/>
        <v>0</v>
      </c>
      <c r="AC20" s="15">
        <f t="shared" si="6"/>
        <v>0</v>
      </c>
      <c r="AD20" s="15">
        <f>AVERAGE(0,0,0,0)</f>
        <v>0</v>
      </c>
      <c r="AE20" s="15">
        <f>AVERAGE(5,5,5,5)</f>
        <v>5</v>
      </c>
      <c r="AF20" s="15">
        <f>AVERAGE(5,5,5,5)</f>
        <v>5</v>
      </c>
      <c r="AG20" s="15">
        <v>249.77</v>
      </c>
      <c r="AH20" s="18">
        <v>0</v>
      </c>
      <c r="AI20" s="15">
        <v>16.86</v>
      </c>
      <c r="AJ20" s="18">
        <v>0</v>
      </c>
      <c r="AK20" s="15">
        <v>13.67</v>
      </c>
      <c r="AL20" s="17"/>
    </row>
    <row r="21" spans="1:38" ht="14.25" customHeight="1" x14ac:dyDescent="0.25">
      <c r="A21" s="6" t="s">
        <v>120</v>
      </c>
      <c r="B21" s="17"/>
      <c r="C21" s="17"/>
      <c r="D21" s="17"/>
      <c r="E21" s="17"/>
      <c r="F21" s="17"/>
      <c r="G21" s="17"/>
      <c r="H21" s="17"/>
      <c r="I21" s="20">
        <v>96</v>
      </c>
      <c r="J21" s="17"/>
      <c r="K21" s="15">
        <f>AVERAGE(2,3)</f>
        <v>2.5</v>
      </c>
      <c r="L21" s="17"/>
      <c r="M21" s="17"/>
      <c r="N21" s="17"/>
      <c r="O21" s="20">
        <v>18.3</v>
      </c>
      <c r="P21" s="15">
        <v>0</v>
      </c>
      <c r="Q21" s="15">
        <v>100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7"/>
      <c r="AH21" s="17"/>
      <c r="AI21" s="17"/>
      <c r="AJ21" s="17"/>
      <c r="AK21" s="17"/>
      <c r="AL21" s="17"/>
    </row>
    <row r="22" spans="1:38" ht="14.25" customHeight="1" x14ac:dyDescent="0.25">
      <c r="A22" s="6" t="s">
        <v>125</v>
      </c>
      <c r="B22" s="17"/>
      <c r="C22" s="17"/>
      <c r="D22" s="17"/>
      <c r="E22" s="17"/>
      <c r="F22" s="17"/>
      <c r="G22" s="17"/>
      <c r="H22" s="17"/>
      <c r="I22" s="20">
        <v>96</v>
      </c>
      <c r="J22" s="17"/>
      <c r="K22" s="15">
        <f>AVERAGE(2,3)</f>
        <v>2.5</v>
      </c>
      <c r="L22" s="17"/>
      <c r="M22" s="17"/>
      <c r="N22" s="17"/>
      <c r="O22" s="5">
        <v>14.69</v>
      </c>
      <c r="P22" s="15">
        <v>0</v>
      </c>
      <c r="Q22" s="15">
        <v>100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7"/>
      <c r="AH22" s="17"/>
      <c r="AI22" s="17"/>
      <c r="AJ22" s="17"/>
      <c r="AK22" s="17"/>
      <c r="AL22" s="17"/>
    </row>
    <row r="23" spans="1:38" ht="14.25" customHeight="1" x14ac:dyDescent="0.25">
      <c r="A23" s="6" t="s">
        <v>126</v>
      </c>
      <c r="B23" s="17"/>
      <c r="C23" s="17"/>
      <c r="D23" s="17"/>
      <c r="E23" s="17"/>
      <c r="F23" s="17"/>
      <c r="G23" s="17"/>
      <c r="H23" s="17"/>
      <c r="I23" s="20">
        <v>96</v>
      </c>
      <c r="J23" s="17"/>
      <c r="K23" s="15">
        <f>AVERAGE(2,3)</f>
        <v>2.5</v>
      </c>
      <c r="L23" s="17"/>
      <c r="M23" s="17"/>
      <c r="N23" s="17"/>
      <c r="O23" s="5">
        <v>14.69</v>
      </c>
      <c r="P23" s="15">
        <v>0</v>
      </c>
      <c r="Q23" s="15">
        <v>100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7"/>
      <c r="AH23" s="17"/>
      <c r="AI23" s="17"/>
      <c r="AJ23" s="17"/>
      <c r="AK23" s="17"/>
      <c r="AL23" s="17"/>
    </row>
    <row r="24" spans="1:38" ht="14.25" customHeight="1" x14ac:dyDescent="0.25">
      <c r="A24" s="6" t="s">
        <v>127</v>
      </c>
      <c r="B24" s="5">
        <v>26.5</v>
      </c>
      <c r="C24" s="5">
        <v>6.8</v>
      </c>
      <c r="D24" s="17"/>
      <c r="E24" s="2">
        <v>120.2</v>
      </c>
      <c r="F24" s="19">
        <v>8</v>
      </c>
      <c r="G24" s="10">
        <v>6.44</v>
      </c>
      <c r="H24" s="17"/>
      <c r="I24" s="20">
        <v>80</v>
      </c>
      <c r="J24" s="21">
        <f>1/(AVERAGE(8.64,6.68,4.63,6.03,4.33,4.77,4.56,4.44,4.77,4.41))</f>
        <v>0.18775816748028543</v>
      </c>
      <c r="K24" s="19">
        <f>AVERAGE(1,1)</f>
        <v>1</v>
      </c>
      <c r="L24" s="15">
        <v>6</v>
      </c>
      <c r="M24" s="19">
        <f>AVERAGE(5,6,5)</f>
        <v>5.333333333333333</v>
      </c>
      <c r="N24" s="15">
        <f>AVERAGE(6,6,6,6)</f>
        <v>6</v>
      </c>
      <c r="O24" s="10">
        <v>0.19</v>
      </c>
      <c r="P24" s="15">
        <f>AVERAGE(90,90,90,90)</f>
        <v>90</v>
      </c>
      <c r="Q24" s="15">
        <f>AVERAGE(10,10,10,10)</f>
        <v>10</v>
      </c>
      <c r="R24" s="15">
        <f t="shared" ref="R24:Y26" si="7">AVERAGE(0,0,0,0)</f>
        <v>0</v>
      </c>
      <c r="S24" s="15">
        <f t="shared" si="7"/>
        <v>0</v>
      </c>
      <c r="T24" s="15">
        <f t="shared" si="7"/>
        <v>0</v>
      </c>
      <c r="U24" s="15">
        <f t="shared" si="7"/>
        <v>0</v>
      </c>
      <c r="V24" s="15">
        <f t="shared" si="7"/>
        <v>0</v>
      </c>
      <c r="W24" s="15">
        <f t="shared" si="7"/>
        <v>0</v>
      </c>
      <c r="X24" s="15">
        <f t="shared" si="7"/>
        <v>0</v>
      </c>
      <c r="Y24" s="15">
        <f t="shared" si="7"/>
        <v>0</v>
      </c>
      <c r="Z24" s="15">
        <f>AVERAGE(90,90,90,90)</f>
        <v>90</v>
      </c>
      <c r="AA24" s="15">
        <f>AVERAGE(5,5,5,5)</f>
        <v>5</v>
      </c>
      <c r="AB24" s="15">
        <f>AVERAGE(0,0,0,0)</f>
        <v>0</v>
      </c>
      <c r="AC24" s="15">
        <f>AVERAGE(0,0,0,0)</f>
        <v>0</v>
      </c>
      <c r="AD24" s="15">
        <f>AVERAGE(5,5,5,5)</f>
        <v>5</v>
      </c>
      <c r="AE24" s="15">
        <f>AVERAGE(5,5,5,5)</f>
        <v>5</v>
      </c>
      <c r="AF24" s="15">
        <f>AVERAGE(3,3,3,3)</f>
        <v>3</v>
      </c>
      <c r="AG24" s="15">
        <v>64.318181818181799</v>
      </c>
      <c r="AH24" s="15">
        <v>1.79411764705882</v>
      </c>
      <c r="AI24" s="15">
        <v>1379.7142857142901</v>
      </c>
      <c r="AJ24" s="15">
        <v>7.28571428571429</v>
      </c>
      <c r="AK24" s="15">
        <v>8.6666666666666696</v>
      </c>
      <c r="AL24" s="17"/>
    </row>
    <row r="25" spans="1:38" ht="14.25" customHeight="1" x14ac:dyDescent="0.25">
      <c r="A25" s="6" t="s">
        <v>131</v>
      </c>
      <c r="B25" s="5">
        <v>26.7</v>
      </c>
      <c r="C25" s="5">
        <v>8.1</v>
      </c>
      <c r="D25" s="17"/>
      <c r="E25" s="2">
        <v>122.8</v>
      </c>
      <c r="F25" s="19">
        <v>2</v>
      </c>
      <c r="G25" s="10">
        <v>6.07</v>
      </c>
      <c r="H25" s="17"/>
      <c r="I25" s="20">
        <v>80</v>
      </c>
      <c r="J25" s="21">
        <f>1/(AVERAGE(8.13,7.7,5.41,7.9,7.59,5.3,5,98))</f>
        <v>5.5161001172171271E-2</v>
      </c>
      <c r="K25" s="2">
        <f>AVERAGE(1,2)</f>
        <v>1.5</v>
      </c>
      <c r="L25" s="15">
        <v>10</v>
      </c>
      <c r="M25" s="19">
        <f>AVERAGE(6,10,5)</f>
        <v>7</v>
      </c>
      <c r="N25" s="15">
        <f>AVERAGE(9,9,9,9)</f>
        <v>9</v>
      </c>
      <c r="O25" s="2">
        <v>0.53</v>
      </c>
      <c r="P25" s="15">
        <f>AVERAGE(90,90,90,90)</f>
        <v>90</v>
      </c>
      <c r="Q25" s="15">
        <f>AVERAGE(10,10,10,10)</f>
        <v>10</v>
      </c>
      <c r="R25" s="15">
        <f t="shared" si="7"/>
        <v>0</v>
      </c>
      <c r="S25" s="15">
        <f t="shared" si="7"/>
        <v>0</v>
      </c>
      <c r="T25" s="15">
        <f t="shared" si="7"/>
        <v>0</v>
      </c>
      <c r="U25" s="15">
        <f t="shared" si="7"/>
        <v>0</v>
      </c>
      <c r="V25" s="15">
        <f t="shared" si="7"/>
        <v>0</v>
      </c>
      <c r="W25" s="15">
        <f t="shared" si="7"/>
        <v>0</v>
      </c>
      <c r="X25" s="15">
        <f t="shared" si="7"/>
        <v>0</v>
      </c>
      <c r="Y25" s="15">
        <f t="shared" si="7"/>
        <v>0</v>
      </c>
      <c r="Z25" s="15">
        <f>AVERAGE(85,85,85,85)</f>
        <v>85</v>
      </c>
      <c r="AA25" s="15">
        <f>AVERAGE(15,15,15,15)</f>
        <v>15</v>
      </c>
      <c r="AB25" s="15">
        <f>AVERAGE(0,0,0,0)</f>
        <v>0</v>
      </c>
      <c r="AC25" s="15">
        <f>AVERAGE(0,0,0,0)</f>
        <v>0</v>
      </c>
      <c r="AD25" s="15">
        <f>AVERAGE(5,5,5,5)</f>
        <v>5</v>
      </c>
      <c r="AE25" s="15">
        <f>AVERAGE(10,10,10,10)</f>
        <v>10</v>
      </c>
      <c r="AF25" s="15">
        <f>AVERAGE(10,10,10,10)</f>
        <v>10</v>
      </c>
      <c r="AG25" s="15">
        <v>101.59090909090899</v>
      </c>
      <c r="AH25" s="15">
        <v>2.3823529411764701</v>
      </c>
      <c r="AI25" s="15">
        <v>922.57142857142901</v>
      </c>
      <c r="AJ25" s="15">
        <v>7.28571428571429</v>
      </c>
      <c r="AK25" s="15">
        <v>8.6666666666666696</v>
      </c>
      <c r="AL25" s="17"/>
    </row>
    <row r="26" spans="1:38" ht="14.25" customHeight="1" x14ac:dyDescent="0.25">
      <c r="A26" s="6" t="s">
        <v>132</v>
      </c>
      <c r="B26" s="5">
        <v>27.4</v>
      </c>
      <c r="C26" s="5">
        <v>8.1</v>
      </c>
      <c r="D26" s="17"/>
      <c r="E26" s="2">
        <v>129.80000000000001</v>
      </c>
      <c r="F26" s="19">
        <v>10</v>
      </c>
      <c r="G26" s="10">
        <v>5.8</v>
      </c>
      <c r="H26" s="17"/>
      <c r="I26" s="20">
        <v>80</v>
      </c>
      <c r="J26" s="21">
        <f>1/(AVERAGE(9.62,9.97,7.65,8.9,8.14,9.27,9.76))</f>
        <v>0.11056705101879641</v>
      </c>
      <c r="K26" s="2">
        <f>AVERAGE(1,2)</f>
        <v>1.5</v>
      </c>
      <c r="L26" s="15">
        <v>20</v>
      </c>
      <c r="M26" s="19">
        <f>AVERAGE(16,20,15)</f>
        <v>17</v>
      </c>
      <c r="N26" s="15">
        <f>AVERAGE(15,15,15,15)</f>
        <v>15</v>
      </c>
      <c r="O26" s="2">
        <v>1.0900000000000001</v>
      </c>
      <c r="P26" s="15">
        <f>AVERAGE(90,90,90,90)</f>
        <v>90</v>
      </c>
      <c r="Q26" s="15">
        <f>AVERAGE(10,10,10,10)</f>
        <v>10</v>
      </c>
      <c r="R26" s="15">
        <f t="shared" si="7"/>
        <v>0</v>
      </c>
      <c r="S26" s="15">
        <f t="shared" si="7"/>
        <v>0</v>
      </c>
      <c r="T26" s="15">
        <f t="shared" si="7"/>
        <v>0</v>
      </c>
      <c r="U26" s="15">
        <f t="shared" si="7"/>
        <v>0</v>
      </c>
      <c r="V26" s="15">
        <f t="shared" si="7"/>
        <v>0</v>
      </c>
      <c r="W26" s="15">
        <f t="shared" si="7"/>
        <v>0</v>
      </c>
      <c r="X26" s="15">
        <f t="shared" si="7"/>
        <v>0</v>
      </c>
      <c r="Y26" s="15">
        <f t="shared" si="7"/>
        <v>0</v>
      </c>
      <c r="Z26" s="15">
        <f>AVERAGE(90,90,90,90)</f>
        <v>90</v>
      </c>
      <c r="AA26" s="15">
        <f>AVERAGE(10,10,10,10)</f>
        <v>10</v>
      </c>
      <c r="AB26" s="15">
        <f t="shared" ref="AB26:AB59" si="8">AVERAGE(0,0,0,0)</f>
        <v>0</v>
      </c>
      <c r="AC26" s="15">
        <f>AVERAGE(5,5,5,5)</f>
        <v>5</v>
      </c>
      <c r="AD26" s="15">
        <f>AVERAGE(0,0,0,0)</f>
        <v>0</v>
      </c>
      <c r="AE26" s="15">
        <f>AVERAGE(5,5,5,5)</f>
        <v>5</v>
      </c>
      <c r="AF26" s="15">
        <f>AVERAGE(10,10,10,10)</f>
        <v>10</v>
      </c>
      <c r="AG26" s="15">
        <v>82.5</v>
      </c>
      <c r="AH26" s="15">
        <v>1.5</v>
      </c>
      <c r="AI26" s="15">
        <v>94</v>
      </c>
      <c r="AJ26" s="15">
        <v>8.7142857142857206</v>
      </c>
      <c r="AK26" s="15">
        <v>12</v>
      </c>
      <c r="AL26" s="17"/>
    </row>
    <row r="27" spans="1:38" ht="14.25" customHeight="1" x14ac:dyDescent="0.25">
      <c r="A27" s="6" t="s">
        <v>133</v>
      </c>
      <c r="B27" s="5">
        <v>27.2</v>
      </c>
      <c r="C27" s="5">
        <v>6.8</v>
      </c>
      <c r="D27" s="17"/>
      <c r="E27" s="2">
        <v>115.2</v>
      </c>
      <c r="F27" s="19">
        <v>10</v>
      </c>
      <c r="G27" s="10">
        <v>6.01</v>
      </c>
      <c r="H27" s="17"/>
      <c r="I27" s="20">
        <v>87</v>
      </c>
      <c r="J27" s="21">
        <f>1/(AVERAGE(3.91,4.53,3.65,3.27,3.84,5.16,3.44))</f>
        <v>0.25179856115107913</v>
      </c>
      <c r="K27" s="19">
        <f>AVERAGE(1,1)</f>
        <v>1</v>
      </c>
      <c r="L27" s="15">
        <v>18</v>
      </c>
      <c r="M27" s="19">
        <f>AVERAGE(10,18,10)</f>
        <v>12.666666666666666</v>
      </c>
      <c r="N27" s="15">
        <f>AVERAGE(11,11,11,11)</f>
        <v>11</v>
      </c>
      <c r="O27" s="10">
        <v>0.9</v>
      </c>
      <c r="P27" s="15">
        <f>AVERAGE(10,10,10,10)</f>
        <v>10</v>
      </c>
      <c r="Q27" s="15">
        <f>AVERAGE(90,90,90,90)</f>
        <v>90</v>
      </c>
      <c r="R27" s="15">
        <f t="shared" ref="R27:X27" si="9">AVERAGE(0,0,0,0)</f>
        <v>0</v>
      </c>
      <c r="S27" s="15">
        <f t="shared" si="9"/>
        <v>0</v>
      </c>
      <c r="T27" s="15">
        <f t="shared" si="9"/>
        <v>0</v>
      </c>
      <c r="U27" s="15">
        <f t="shared" si="9"/>
        <v>0</v>
      </c>
      <c r="V27" s="15">
        <f t="shared" si="9"/>
        <v>0</v>
      </c>
      <c r="W27" s="15">
        <f t="shared" si="9"/>
        <v>0</v>
      </c>
      <c r="X27" s="15">
        <f t="shared" si="9"/>
        <v>0</v>
      </c>
      <c r="Y27" s="15">
        <f>AVERAGE(5,5,5,5)</f>
        <v>5</v>
      </c>
      <c r="Z27" s="15">
        <f>AVERAGE(80,80,80,80)</f>
        <v>80</v>
      </c>
      <c r="AA27" s="15">
        <f>AVERAGE(5,5,5,5)</f>
        <v>5</v>
      </c>
      <c r="AB27" s="15">
        <f t="shared" si="8"/>
        <v>0</v>
      </c>
      <c r="AC27" s="15">
        <f t="shared" ref="AC27:AC59" si="10">AVERAGE(0,0,0,0)</f>
        <v>0</v>
      </c>
      <c r="AD27" s="15">
        <f>AVERAGE(10,10,10,10)</f>
        <v>10</v>
      </c>
      <c r="AE27" s="15">
        <f>AVERAGE(10,10,10,10)</f>
        <v>10</v>
      </c>
      <c r="AF27" s="15">
        <f>AVERAGE(5,5,5,5)</f>
        <v>5</v>
      </c>
      <c r="AG27" s="15">
        <v>73.409090909090907</v>
      </c>
      <c r="AH27" s="15">
        <v>1.20588235294118</v>
      </c>
      <c r="AI27" s="15">
        <v>144</v>
      </c>
      <c r="AJ27" s="15">
        <v>0.14285714285714299</v>
      </c>
      <c r="AK27" s="15">
        <v>0.33333333333333398</v>
      </c>
      <c r="AL27" s="17"/>
    </row>
    <row r="28" spans="1:38" ht="14.25" customHeight="1" x14ac:dyDescent="0.25">
      <c r="A28" s="6" t="s">
        <v>135</v>
      </c>
      <c r="B28" s="5">
        <v>27.1</v>
      </c>
      <c r="C28" s="5">
        <v>7.5</v>
      </c>
      <c r="D28" s="17"/>
      <c r="E28" s="2">
        <v>122.4</v>
      </c>
      <c r="F28" s="19">
        <v>8</v>
      </c>
      <c r="G28" s="10">
        <v>6</v>
      </c>
      <c r="H28" s="17"/>
      <c r="I28" s="20">
        <v>87</v>
      </c>
      <c r="J28" s="21">
        <f>1/(AVERAGE(4.61,4.47,5.16))</f>
        <v>0.21067415730337077</v>
      </c>
      <c r="K28" s="19">
        <f>AVERAGE(2,2)</f>
        <v>2</v>
      </c>
      <c r="L28" s="15">
        <v>13</v>
      </c>
      <c r="M28" s="19">
        <f>AVERAGE(11,13,7)</f>
        <v>10.333333333333334</v>
      </c>
      <c r="N28" s="15">
        <f>AVERAGE(14,14,14,14)</f>
        <v>14</v>
      </c>
      <c r="O28" s="2">
        <v>1.08</v>
      </c>
      <c r="P28" s="15">
        <f>AVERAGE(10,10,10,10)</f>
        <v>10</v>
      </c>
      <c r="Q28" s="15">
        <f>AVERAGE(90,90,90,90)</f>
        <v>90</v>
      </c>
      <c r="R28" s="15">
        <f t="shared" ref="R28:V31" si="11">AVERAGE(0,0,0,0)</f>
        <v>0</v>
      </c>
      <c r="S28" s="15">
        <f t="shared" si="11"/>
        <v>0</v>
      </c>
      <c r="T28" s="15">
        <f t="shared" si="11"/>
        <v>0</v>
      </c>
      <c r="U28" s="15">
        <f t="shared" si="11"/>
        <v>0</v>
      </c>
      <c r="V28" s="15">
        <f t="shared" si="11"/>
        <v>0</v>
      </c>
      <c r="W28" s="15">
        <f>AVERAGE(5,5,5,5)</f>
        <v>5</v>
      </c>
      <c r="X28" s="15">
        <f t="shared" ref="X28:Y35" si="12">AVERAGE(0,0,0,0)</f>
        <v>0</v>
      </c>
      <c r="Y28" s="15">
        <f t="shared" si="12"/>
        <v>0</v>
      </c>
      <c r="Z28" s="15">
        <f>AVERAGE(30,30,30,30)</f>
        <v>30</v>
      </c>
      <c r="AA28" s="15">
        <f>AVERAGE(10,10,10,10)</f>
        <v>10</v>
      </c>
      <c r="AB28" s="15">
        <f t="shared" si="8"/>
        <v>0</v>
      </c>
      <c r="AC28" s="15">
        <f t="shared" si="10"/>
        <v>0</v>
      </c>
      <c r="AD28" s="15">
        <f>AVERAGE(5,5,5,5)</f>
        <v>5</v>
      </c>
      <c r="AE28" s="15">
        <f>AVERAGE(0,0,0,0)</f>
        <v>0</v>
      </c>
      <c r="AF28" s="15">
        <f>AVERAGE(10,10,10,10)</f>
        <v>10</v>
      </c>
      <c r="AG28" s="15">
        <v>52.954545454545503</v>
      </c>
      <c r="AH28" s="15">
        <v>23.264705882352899</v>
      </c>
      <c r="AI28" s="15">
        <v>165.42857142857099</v>
      </c>
      <c r="AJ28" s="15">
        <v>5.8571428571428603</v>
      </c>
      <c r="AK28" s="15">
        <v>7</v>
      </c>
      <c r="AL28" s="17"/>
    </row>
    <row r="29" spans="1:38" ht="14.25" customHeight="1" x14ac:dyDescent="0.25">
      <c r="A29" s="6" t="s">
        <v>136</v>
      </c>
      <c r="B29" s="15">
        <v>27</v>
      </c>
      <c r="C29" s="5">
        <v>6.6</v>
      </c>
      <c r="D29" s="17"/>
      <c r="E29" s="2">
        <v>111.4</v>
      </c>
      <c r="F29" s="19">
        <v>2</v>
      </c>
      <c r="G29" s="10">
        <v>6.19</v>
      </c>
      <c r="H29" s="17"/>
      <c r="I29" s="20">
        <v>87</v>
      </c>
      <c r="J29" s="21">
        <f>1/(AVERAGE(28.6/0.5,17.42/0.5,20.88/0.5,26.9/0.5))</f>
        <v>2.1321961620469079E-2</v>
      </c>
      <c r="K29" s="19">
        <f>AVERAGE(2,2)</f>
        <v>2</v>
      </c>
      <c r="L29" s="15">
        <v>42</v>
      </c>
      <c r="M29" s="19">
        <f>AVERAGE(7,42,26)</f>
        <v>25</v>
      </c>
      <c r="N29" s="15">
        <f>AVERAGE(38,38,38,38)</f>
        <v>38</v>
      </c>
      <c r="O29" s="10">
        <v>1.5</v>
      </c>
      <c r="P29" s="15">
        <f>AVERAGE(80,80,80,80)</f>
        <v>80</v>
      </c>
      <c r="Q29" s="15">
        <f>AVERAGE(20,20,20,20)</f>
        <v>20</v>
      </c>
      <c r="R29" s="15">
        <f t="shared" si="11"/>
        <v>0</v>
      </c>
      <c r="S29" s="15">
        <f t="shared" si="11"/>
        <v>0</v>
      </c>
      <c r="T29" s="15">
        <f t="shared" si="11"/>
        <v>0</v>
      </c>
      <c r="U29" s="15">
        <f t="shared" si="11"/>
        <v>0</v>
      </c>
      <c r="V29" s="15">
        <f t="shared" si="11"/>
        <v>0</v>
      </c>
      <c r="W29" s="15">
        <f t="shared" ref="W29:W35" si="13">AVERAGE(0,0,0,0)</f>
        <v>0</v>
      </c>
      <c r="X29" s="15">
        <f t="shared" si="12"/>
        <v>0</v>
      </c>
      <c r="Y29" s="15">
        <f t="shared" si="12"/>
        <v>0</v>
      </c>
      <c r="Z29" s="15">
        <f>AVERAGE(40,40,40,40)</f>
        <v>40</v>
      </c>
      <c r="AA29" s="15">
        <f>AVERAGE(10,10,10,10)</f>
        <v>10</v>
      </c>
      <c r="AB29" s="15">
        <f t="shared" si="8"/>
        <v>0</v>
      </c>
      <c r="AC29" s="15">
        <f t="shared" si="10"/>
        <v>0</v>
      </c>
      <c r="AD29" s="15">
        <f>AVERAGE(15,15,15,15)</f>
        <v>15</v>
      </c>
      <c r="AE29" s="15">
        <f>AVERAGE(25,25,25,25)</f>
        <v>25</v>
      </c>
      <c r="AF29" s="15">
        <f>AVERAGE(15,15,15,15)</f>
        <v>15</v>
      </c>
      <c r="AG29" s="15">
        <v>55.227272727272698</v>
      </c>
      <c r="AH29" s="15">
        <v>20.323529411764699</v>
      </c>
      <c r="AI29" s="15">
        <v>189.71428571428601</v>
      </c>
      <c r="AJ29" s="15">
        <v>5.8571428571428603</v>
      </c>
      <c r="AK29" s="15">
        <v>7</v>
      </c>
      <c r="AL29" s="17"/>
    </row>
    <row r="30" spans="1:38" ht="14.25" customHeight="1" x14ac:dyDescent="0.25">
      <c r="A30" s="6" t="s">
        <v>137</v>
      </c>
      <c r="B30" s="5">
        <v>27.5</v>
      </c>
      <c r="C30" s="5">
        <v>5.0999999999999996</v>
      </c>
      <c r="D30" s="17"/>
      <c r="E30" s="19">
        <v>145.69999999999999</v>
      </c>
      <c r="F30" s="19">
        <v>7</v>
      </c>
      <c r="G30" s="2">
        <v>5.99</v>
      </c>
      <c r="H30" s="17"/>
      <c r="I30" s="20">
        <v>76</v>
      </c>
      <c r="J30" s="21">
        <f>1/(AVERAGE(14.98,22.13,26.78))</f>
        <v>4.6955705118171855E-2</v>
      </c>
      <c r="K30" s="19">
        <f>AVERAGE(3,4)</f>
        <v>3.5</v>
      </c>
      <c r="L30" s="15">
        <v>20</v>
      </c>
      <c r="M30" s="19">
        <f>AVERAGE(10,20,19)</f>
        <v>16.333333333333332</v>
      </c>
      <c r="N30" s="15">
        <f>AVERAGE(13,13,13,13)</f>
        <v>13</v>
      </c>
      <c r="O30" s="2">
        <v>2.2400000000000002</v>
      </c>
      <c r="P30" s="15">
        <f>AVERAGE(5,5,5,5)</f>
        <v>5</v>
      </c>
      <c r="Q30" s="15">
        <f>AVERAGE(95,95,95,95)</f>
        <v>95</v>
      </c>
      <c r="R30" s="15">
        <f t="shared" si="11"/>
        <v>0</v>
      </c>
      <c r="S30" s="15">
        <f t="shared" si="11"/>
        <v>0</v>
      </c>
      <c r="T30" s="15">
        <f t="shared" si="11"/>
        <v>0</v>
      </c>
      <c r="U30" s="15">
        <f t="shared" si="11"/>
        <v>0</v>
      </c>
      <c r="V30" s="15">
        <f t="shared" si="11"/>
        <v>0</v>
      </c>
      <c r="W30" s="15">
        <f t="shared" si="13"/>
        <v>0</v>
      </c>
      <c r="X30" s="15">
        <f t="shared" si="12"/>
        <v>0</v>
      </c>
      <c r="Y30" s="15">
        <f t="shared" si="12"/>
        <v>0</v>
      </c>
      <c r="Z30" s="15">
        <f>AVERAGE(60,60,60,60)</f>
        <v>60</v>
      </c>
      <c r="AA30" s="15">
        <f>AVERAGE(5,5,5,5)</f>
        <v>5</v>
      </c>
      <c r="AB30" s="15">
        <f t="shared" si="8"/>
        <v>0</v>
      </c>
      <c r="AC30" s="15">
        <f t="shared" si="10"/>
        <v>0</v>
      </c>
      <c r="AD30" s="15">
        <f>AVERAGE(20,20,20,20)</f>
        <v>20</v>
      </c>
      <c r="AE30" s="15">
        <f>AVERAGE(15,15,15,15)</f>
        <v>15</v>
      </c>
      <c r="AF30" s="15">
        <f>AVERAGE(10,10,10,10)</f>
        <v>10</v>
      </c>
      <c r="AG30" s="15">
        <v>53.409090909090899</v>
      </c>
      <c r="AH30" s="15">
        <v>4.1470588235294104</v>
      </c>
      <c r="AI30" s="15">
        <v>1652.57142857143</v>
      </c>
      <c r="AJ30" s="15">
        <v>4.4285714285714297</v>
      </c>
      <c r="AK30" s="15">
        <v>5.3333333333333401</v>
      </c>
      <c r="AL30" s="17"/>
    </row>
    <row r="31" spans="1:38" ht="14.25" customHeight="1" x14ac:dyDescent="0.25">
      <c r="A31" s="6" t="s">
        <v>139</v>
      </c>
      <c r="B31" s="5">
        <v>27.9</v>
      </c>
      <c r="C31" s="5">
        <v>6.5</v>
      </c>
      <c r="D31" s="17"/>
      <c r="E31" s="19">
        <v>117</v>
      </c>
      <c r="F31" s="19">
        <v>28</v>
      </c>
      <c r="G31" s="2">
        <v>6.46</v>
      </c>
      <c r="H31" s="17"/>
      <c r="I31" s="20">
        <v>76</v>
      </c>
      <c r="J31" s="21">
        <f>1/(AVERAGE(2.77,1.84,2.08,2.24,2.1,1.88,2.29))</f>
        <v>0.46052631578947373</v>
      </c>
      <c r="K31" s="19">
        <f>AVERAGE(3,3)</f>
        <v>3</v>
      </c>
      <c r="L31" s="15">
        <v>17</v>
      </c>
      <c r="M31" s="19">
        <f>AVERAGE(10,17,15)</f>
        <v>14</v>
      </c>
      <c r="N31" s="15">
        <f>AVERAGE(11,11,11,11)</f>
        <v>11</v>
      </c>
      <c r="O31" s="10">
        <v>1.4</v>
      </c>
      <c r="P31" s="15">
        <f>AVERAGE(5,5,5,5)</f>
        <v>5</v>
      </c>
      <c r="Q31" s="15">
        <f>AVERAGE(95,95,95,95)</f>
        <v>95</v>
      </c>
      <c r="R31" s="15">
        <f t="shared" si="11"/>
        <v>0</v>
      </c>
      <c r="S31" s="15">
        <f t="shared" si="11"/>
        <v>0</v>
      </c>
      <c r="T31" s="15">
        <f t="shared" si="11"/>
        <v>0</v>
      </c>
      <c r="U31" s="15">
        <f t="shared" si="11"/>
        <v>0</v>
      </c>
      <c r="V31" s="15">
        <f t="shared" si="11"/>
        <v>0</v>
      </c>
      <c r="W31" s="15">
        <f t="shared" si="13"/>
        <v>0</v>
      </c>
      <c r="X31" s="15">
        <f t="shared" si="12"/>
        <v>0</v>
      </c>
      <c r="Y31" s="15">
        <f t="shared" si="12"/>
        <v>0</v>
      </c>
      <c r="Z31" s="15">
        <f>AVERAGE(50,50,50,50)</f>
        <v>50</v>
      </c>
      <c r="AA31" s="15">
        <f>AVERAGE(5,5,5,5)</f>
        <v>5</v>
      </c>
      <c r="AB31" s="15">
        <f t="shared" si="8"/>
        <v>0</v>
      </c>
      <c r="AC31" s="15">
        <f t="shared" si="10"/>
        <v>0</v>
      </c>
      <c r="AD31" s="15">
        <f>AVERAGE(15,15,15,15)</f>
        <v>15</v>
      </c>
      <c r="AE31" s="15">
        <f>AVERAGE(15,15,15,15)</f>
        <v>15</v>
      </c>
      <c r="AF31" s="15">
        <f>AVERAGE(15,15,15,15)</f>
        <v>15</v>
      </c>
      <c r="AG31" s="15">
        <v>125.681818181818</v>
      </c>
      <c r="AH31" s="15">
        <v>6.2058823529411802</v>
      </c>
      <c r="AI31" s="15">
        <v>2046.8571428571399</v>
      </c>
      <c r="AJ31" s="15">
        <v>7.28571428571429</v>
      </c>
      <c r="AK31" s="15">
        <v>12</v>
      </c>
      <c r="AL31" s="17"/>
    </row>
    <row r="32" spans="1:38" ht="14.25" customHeight="1" x14ac:dyDescent="0.25">
      <c r="A32" s="6" t="s">
        <v>140</v>
      </c>
      <c r="B32" s="15">
        <v>28</v>
      </c>
      <c r="C32" s="5">
        <v>6.8</v>
      </c>
      <c r="D32" s="17"/>
      <c r="E32" s="19">
        <v>184.2</v>
      </c>
      <c r="F32" s="19">
        <v>14</v>
      </c>
      <c r="G32" s="2">
        <v>6.31</v>
      </c>
      <c r="H32" s="17"/>
      <c r="I32" s="20">
        <v>76</v>
      </c>
      <c r="J32" s="21">
        <f>1/(AVERAGE(5.15,5.18,5.89,6.33,8.85,6.79,7))</f>
        <v>0.15490152688647932</v>
      </c>
      <c r="K32" s="19">
        <f>AVERAGE(3,3)</f>
        <v>3</v>
      </c>
      <c r="L32" s="15">
        <v>19</v>
      </c>
      <c r="M32" s="19">
        <f>AVERAGE(4,9,19)</f>
        <v>10.666666666666666</v>
      </c>
      <c r="N32" s="15">
        <f>AVERAGE(10,10,10,10)</f>
        <v>10</v>
      </c>
      <c r="O32" s="2">
        <v>0.96</v>
      </c>
      <c r="P32" s="15">
        <f>AVERAGE(5,5,5,5)</f>
        <v>5</v>
      </c>
      <c r="Q32" s="15">
        <f>AVERAGE(90,90,90,90)</f>
        <v>90</v>
      </c>
      <c r="R32" s="15">
        <f>AVERAGE(5,5,5,5)</f>
        <v>5</v>
      </c>
      <c r="S32" s="15">
        <f t="shared" ref="S32:V40" si="14">AVERAGE(0,0,0,0)</f>
        <v>0</v>
      </c>
      <c r="T32" s="15">
        <f t="shared" si="14"/>
        <v>0</v>
      </c>
      <c r="U32" s="15">
        <f t="shared" si="14"/>
        <v>0</v>
      </c>
      <c r="V32" s="15">
        <f t="shared" si="14"/>
        <v>0</v>
      </c>
      <c r="W32" s="15">
        <f t="shared" si="13"/>
        <v>0</v>
      </c>
      <c r="X32" s="15">
        <f t="shared" si="12"/>
        <v>0</v>
      </c>
      <c r="Y32" s="15">
        <f t="shared" si="12"/>
        <v>0</v>
      </c>
      <c r="Z32" s="15">
        <f>AVERAGE(60,60,60,60)</f>
        <v>60</v>
      </c>
      <c r="AA32" s="15">
        <f>AVERAGE(5,5,5,5)</f>
        <v>5</v>
      </c>
      <c r="AB32" s="15">
        <f t="shared" si="8"/>
        <v>0</v>
      </c>
      <c r="AC32" s="15">
        <f t="shared" si="10"/>
        <v>0</v>
      </c>
      <c r="AD32" s="15">
        <f>AVERAGE(10,10,10,10)</f>
        <v>10</v>
      </c>
      <c r="AE32" s="15">
        <f>AVERAGE(15,15,15,15)</f>
        <v>15</v>
      </c>
      <c r="AF32" s="15">
        <f>AVERAGE(15,15,15,15)</f>
        <v>15</v>
      </c>
      <c r="AG32" s="15">
        <v>103.40909090909101</v>
      </c>
      <c r="AH32" s="15">
        <v>4.7352941176470598</v>
      </c>
      <c r="AI32" s="15">
        <v>2309.7142857142899</v>
      </c>
      <c r="AJ32" s="15">
        <v>5.8571428571428603</v>
      </c>
      <c r="AK32" s="15">
        <v>7</v>
      </c>
      <c r="AL32" s="17"/>
    </row>
    <row r="33" spans="1:38" ht="14.25" customHeight="1" x14ac:dyDescent="0.25">
      <c r="A33" s="6" t="s">
        <v>141</v>
      </c>
      <c r="B33" s="5">
        <v>29.3</v>
      </c>
      <c r="C33" s="5">
        <v>5.4</v>
      </c>
      <c r="D33" s="17"/>
      <c r="E33" s="19">
        <v>250.8</v>
      </c>
      <c r="F33" s="19">
        <v>11</v>
      </c>
      <c r="G33" s="2">
        <v>6.37</v>
      </c>
      <c r="H33" s="17"/>
      <c r="I33" s="20">
        <v>86</v>
      </c>
      <c r="J33" s="21">
        <f>1/(AVERAGE(6.79,6.23,6.76,5.91,6.23,5.73,6.35))</f>
        <v>0.15909090909090906</v>
      </c>
      <c r="K33" s="2">
        <f>AVERAGE(2,3)</f>
        <v>2.5</v>
      </c>
      <c r="L33" s="15">
        <v>30</v>
      </c>
      <c r="M33" s="19">
        <f>AVERAGE(21,30,27)</f>
        <v>26</v>
      </c>
      <c r="N33" s="15">
        <f>AVERAGE(14,14,14,14)</f>
        <v>14</v>
      </c>
      <c r="O33" s="2">
        <v>1.08</v>
      </c>
      <c r="P33" s="15">
        <f>AVERAGE(10,10,10,10)</f>
        <v>10</v>
      </c>
      <c r="Q33" s="15">
        <f>AVERAGE(90,90,90,90)</f>
        <v>90</v>
      </c>
      <c r="R33" s="15">
        <f>AVERAGE(0,0,0,0)</f>
        <v>0</v>
      </c>
      <c r="S33" s="15">
        <f t="shared" si="14"/>
        <v>0</v>
      </c>
      <c r="T33" s="15">
        <f t="shared" si="14"/>
        <v>0</v>
      </c>
      <c r="U33" s="15">
        <f t="shared" si="14"/>
        <v>0</v>
      </c>
      <c r="V33" s="15">
        <f t="shared" si="14"/>
        <v>0</v>
      </c>
      <c r="W33" s="15">
        <f t="shared" si="13"/>
        <v>0</v>
      </c>
      <c r="X33" s="15">
        <f t="shared" si="12"/>
        <v>0</v>
      </c>
      <c r="Y33" s="15">
        <f t="shared" si="12"/>
        <v>0</v>
      </c>
      <c r="Z33" s="15">
        <f>AVERAGE(40,40,40,40)</f>
        <v>40</v>
      </c>
      <c r="AA33" s="19">
        <f>AVERAGE(10,10,10,10)</f>
        <v>10</v>
      </c>
      <c r="AB33" s="15">
        <f t="shared" si="8"/>
        <v>0</v>
      </c>
      <c r="AC33" s="15">
        <f t="shared" si="10"/>
        <v>0</v>
      </c>
      <c r="AD33" s="15">
        <f>AVERAGE(5,5,5,5)</f>
        <v>5</v>
      </c>
      <c r="AE33" s="15">
        <f>AVERAGE(10,10,10,10)</f>
        <v>10</v>
      </c>
      <c r="AF33" s="15">
        <f>AVERAGE(10,10,10,10)</f>
        <v>10</v>
      </c>
      <c r="AG33" s="15">
        <v>173.863636363636</v>
      </c>
      <c r="AH33" s="15">
        <v>1.20588235294118</v>
      </c>
      <c r="AI33" s="15">
        <v>352.57142857142901</v>
      </c>
      <c r="AJ33" s="15">
        <v>5.8571428571428603</v>
      </c>
      <c r="AK33" s="15">
        <v>7</v>
      </c>
      <c r="AL33" s="17"/>
    </row>
    <row r="34" spans="1:38" ht="14.25" customHeight="1" x14ac:dyDescent="0.25">
      <c r="A34" s="6" t="s">
        <v>144</v>
      </c>
      <c r="B34" s="5">
        <v>29.1</v>
      </c>
      <c r="C34" s="15">
        <v>5</v>
      </c>
      <c r="D34" s="17"/>
      <c r="E34" s="19">
        <v>232.3</v>
      </c>
      <c r="F34" s="19">
        <v>8</v>
      </c>
      <c r="G34" s="2">
        <v>6.27</v>
      </c>
      <c r="H34" s="17"/>
      <c r="I34" s="20">
        <v>86</v>
      </c>
      <c r="J34" s="21">
        <f>1/(AVERAGE(9.25,8.36,10.74,8.45,9.79,10.12,8.1))</f>
        <v>0.10800802345317083</v>
      </c>
      <c r="K34" s="2">
        <f>AVERAGE(2,3)</f>
        <v>2.5</v>
      </c>
      <c r="L34" s="15">
        <v>22</v>
      </c>
      <c r="M34" s="19">
        <f>AVERAGE(22,20,21)</f>
        <v>21</v>
      </c>
      <c r="N34" s="15">
        <f>AVERAGE(19,19,19,19)</f>
        <v>19</v>
      </c>
      <c r="O34" s="2">
        <v>0.56000000000000005</v>
      </c>
      <c r="P34" s="15">
        <f>AVERAGE(10,10,10,10)</f>
        <v>10</v>
      </c>
      <c r="Q34" s="15">
        <f>AVERAGE(90,90,90,90)</f>
        <v>90</v>
      </c>
      <c r="R34" s="15">
        <f>AVERAGE(0,0,0,0)</f>
        <v>0</v>
      </c>
      <c r="S34" s="15">
        <f t="shared" si="14"/>
        <v>0</v>
      </c>
      <c r="T34" s="15">
        <f t="shared" si="14"/>
        <v>0</v>
      </c>
      <c r="U34" s="15">
        <f t="shared" si="14"/>
        <v>0</v>
      </c>
      <c r="V34" s="15">
        <f t="shared" si="14"/>
        <v>0</v>
      </c>
      <c r="W34" s="15">
        <f t="shared" si="13"/>
        <v>0</v>
      </c>
      <c r="X34" s="15">
        <f t="shared" si="12"/>
        <v>0</v>
      </c>
      <c r="Y34" s="15">
        <f t="shared" si="12"/>
        <v>0</v>
      </c>
      <c r="Z34" s="19">
        <f>AVERAGE(40,40,40,40)</f>
        <v>40</v>
      </c>
      <c r="AA34" s="19">
        <f>AVERAGE(5,5,5,5)</f>
        <v>5</v>
      </c>
      <c r="AB34" s="15">
        <f t="shared" si="8"/>
        <v>0</v>
      </c>
      <c r="AC34" s="15">
        <f t="shared" si="10"/>
        <v>0</v>
      </c>
      <c r="AD34" s="15">
        <f>AVERAGE(0,0,0,0)</f>
        <v>0</v>
      </c>
      <c r="AE34" s="15">
        <f>AVERAGE(5,5,5,5)</f>
        <v>5</v>
      </c>
      <c r="AF34" s="15">
        <f>AVERAGE(5,5,5,5)</f>
        <v>5</v>
      </c>
      <c r="AG34" s="15">
        <v>141.136363636364</v>
      </c>
      <c r="AH34" s="15">
        <v>2.6764705882352899</v>
      </c>
      <c r="AI34" s="15">
        <v>908.28571428571399</v>
      </c>
      <c r="AJ34" s="15">
        <v>8.7142857142857206</v>
      </c>
      <c r="AK34" s="15">
        <v>15.3333333333333</v>
      </c>
      <c r="AL34" s="17"/>
    </row>
    <row r="35" spans="1:38" ht="14.25" customHeight="1" x14ac:dyDescent="0.25">
      <c r="A35" s="6" t="s">
        <v>145</v>
      </c>
      <c r="B35" s="15">
        <v>29</v>
      </c>
      <c r="C35" s="5">
        <v>5.4</v>
      </c>
      <c r="D35" s="17"/>
      <c r="E35" s="19">
        <v>243</v>
      </c>
      <c r="F35" s="19">
        <v>21</v>
      </c>
      <c r="G35" s="2">
        <v>6.57</v>
      </c>
      <c r="H35" s="17"/>
      <c r="I35" s="20">
        <v>86</v>
      </c>
      <c r="J35" s="21">
        <f>1/(AVERAGE(10.79,9.69,10.11,12.72,11.58,10.95,11.72))</f>
        <v>9.0252707581227457E-2</v>
      </c>
      <c r="K35" s="2">
        <f>AVERAGE(1,2)</f>
        <v>1.5</v>
      </c>
      <c r="L35" s="15">
        <v>14</v>
      </c>
      <c r="M35" s="19">
        <f>AVERAGE(12,14,6)</f>
        <v>10.666666666666666</v>
      </c>
      <c r="N35" s="15">
        <f>AVERAGE(23,23,23,23)</f>
        <v>23</v>
      </c>
      <c r="O35" s="2">
        <v>1.1499999999999999</v>
      </c>
      <c r="P35" s="15">
        <f>AVERAGE(10,10,10,10)</f>
        <v>10</v>
      </c>
      <c r="Q35" s="15">
        <f>AVERAGE(80,80,80,80)</f>
        <v>80</v>
      </c>
      <c r="R35" s="15">
        <f>AVERAGE(10,10,10,10)</f>
        <v>10</v>
      </c>
      <c r="S35" s="15">
        <f t="shared" si="14"/>
        <v>0</v>
      </c>
      <c r="T35" s="15">
        <f t="shared" si="14"/>
        <v>0</v>
      </c>
      <c r="U35" s="15">
        <f t="shared" si="14"/>
        <v>0</v>
      </c>
      <c r="V35" s="15">
        <f t="shared" si="14"/>
        <v>0</v>
      </c>
      <c r="W35" s="15">
        <f t="shared" si="13"/>
        <v>0</v>
      </c>
      <c r="X35" s="15">
        <f t="shared" si="12"/>
        <v>0</v>
      </c>
      <c r="Y35" s="15">
        <f t="shared" si="12"/>
        <v>0</v>
      </c>
      <c r="Z35" s="19">
        <f>AVERAGE(40,40,40,40)</f>
        <v>40</v>
      </c>
      <c r="AA35" s="19">
        <f>AVERAGE(5,5,5,5)</f>
        <v>5</v>
      </c>
      <c r="AB35" s="15">
        <f t="shared" si="8"/>
        <v>0</v>
      </c>
      <c r="AC35" s="15">
        <f t="shared" si="10"/>
        <v>0</v>
      </c>
      <c r="AD35" s="15">
        <f>AVERAGE(10,10,10,10)</f>
        <v>10</v>
      </c>
      <c r="AE35" s="15">
        <f>AVERAGE(15,15,15,15)</f>
        <v>15</v>
      </c>
      <c r="AF35" s="15">
        <f>AVERAGE(25,25,25,25)</f>
        <v>25</v>
      </c>
      <c r="AG35" s="15">
        <v>191.59090909090901</v>
      </c>
      <c r="AH35" s="15">
        <v>2.6764705882352899</v>
      </c>
      <c r="AI35" s="15">
        <v>1044</v>
      </c>
      <c r="AJ35" s="15">
        <v>7.28571428571429</v>
      </c>
      <c r="AK35" s="15">
        <v>33.6666666666667</v>
      </c>
      <c r="AL35" s="17"/>
    </row>
    <row r="36" spans="1:38" ht="14.25" customHeight="1" x14ac:dyDescent="0.25">
      <c r="A36" s="6" t="s">
        <v>146</v>
      </c>
      <c r="B36" s="5">
        <v>31.4</v>
      </c>
      <c r="C36" s="5">
        <v>7.1</v>
      </c>
      <c r="D36" s="17"/>
      <c r="E36" s="2">
        <v>139.1</v>
      </c>
      <c r="F36" s="19">
        <v>8</v>
      </c>
      <c r="G36" s="2">
        <v>6.5</v>
      </c>
      <c r="H36" s="17"/>
      <c r="I36" s="20">
        <v>76</v>
      </c>
      <c r="J36" s="21">
        <v>0</v>
      </c>
      <c r="K36" s="19">
        <f>AVERAGE(1,1)</f>
        <v>1</v>
      </c>
      <c r="L36" s="15">
        <v>200</v>
      </c>
      <c r="M36" s="19">
        <f>AVERAGE(40,40,40,40)</f>
        <v>40</v>
      </c>
      <c r="N36" s="15">
        <f>AVERAGE(18,18,18,18)</f>
        <v>18</v>
      </c>
      <c r="O36" s="2">
        <v>12.22</v>
      </c>
      <c r="P36" s="15">
        <f>AVERAGE(100,100,100,100)</f>
        <v>100</v>
      </c>
      <c r="Q36" s="15">
        <f t="shared" ref="Q36:R38" si="15">AVERAGE(0,0,0,0)</f>
        <v>0</v>
      </c>
      <c r="R36" s="15">
        <f t="shared" si="15"/>
        <v>0</v>
      </c>
      <c r="S36" s="15">
        <f t="shared" si="14"/>
        <v>0</v>
      </c>
      <c r="T36" s="15">
        <f t="shared" si="14"/>
        <v>0</v>
      </c>
      <c r="U36" s="15">
        <f t="shared" si="14"/>
        <v>0</v>
      </c>
      <c r="V36" s="15">
        <f t="shared" si="14"/>
        <v>0</v>
      </c>
      <c r="W36" s="15">
        <f>AVERAGE(0+25,0+25,0+25,0+25)</f>
        <v>25</v>
      </c>
      <c r="X36" s="15">
        <f>AVERAGE(50,50,50,50)</f>
        <v>50</v>
      </c>
      <c r="Y36" s="15">
        <f>AVERAGE(20,20,20,20)</f>
        <v>20</v>
      </c>
      <c r="Z36" s="15">
        <f>AVERAGE(5,5,5,5)</f>
        <v>5</v>
      </c>
      <c r="AA36" s="15">
        <f>AVERAGE(5,5,5,5)</f>
        <v>5</v>
      </c>
      <c r="AB36" s="15">
        <f t="shared" si="8"/>
        <v>0</v>
      </c>
      <c r="AC36" s="15">
        <f t="shared" si="10"/>
        <v>0</v>
      </c>
      <c r="AD36" s="15">
        <f>AVERAGE(5,5,5,5)</f>
        <v>5</v>
      </c>
      <c r="AE36" s="15">
        <f>AVERAGE(5,5,5,5)</f>
        <v>5</v>
      </c>
      <c r="AF36" s="15">
        <f>AVERAGE(5,5,5,5)</f>
        <v>5</v>
      </c>
      <c r="AG36" s="15">
        <v>61.590909090909101</v>
      </c>
      <c r="AH36" s="15">
        <v>10.323529411764699</v>
      </c>
      <c r="AI36" s="15">
        <v>4106.8571428571404</v>
      </c>
      <c r="AJ36" s="15">
        <v>7.28571428571429</v>
      </c>
      <c r="AK36" s="15">
        <v>10.3333333333333</v>
      </c>
      <c r="AL36" s="17"/>
    </row>
    <row r="37" spans="1:38" ht="14.25" customHeight="1" x14ac:dyDescent="0.25">
      <c r="A37" s="6" t="s">
        <v>151</v>
      </c>
      <c r="B37" s="5">
        <v>32.700000000000003</v>
      </c>
      <c r="C37" s="5">
        <v>6.4</v>
      </c>
      <c r="D37" s="17"/>
      <c r="E37" s="2">
        <v>162.19999999999999</v>
      </c>
      <c r="F37" s="19">
        <v>5</v>
      </c>
      <c r="G37" s="2">
        <v>6.3</v>
      </c>
      <c r="H37" s="17"/>
      <c r="I37" s="20">
        <v>76</v>
      </c>
      <c r="J37" s="21">
        <v>0</v>
      </c>
      <c r="K37" s="19">
        <f>AVERAGE(1,1)</f>
        <v>1</v>
      </c>
      <c r="L37" s="15">
        <v>200</v>
      </c>
      <c r="M37" s="19">
        <f>AVERAGE(41,41,41,41)</f>
        <v>41</v>
      </c>
      <c r="N37" s="15">
        <f>AVERAGE(27,27,27,27)</f>
        <v>27</v>
      </c>
      <c r="O37" s="2">
        <v>8.4600000000000009</v>
      </c>
      <c r="P37" s="15">
        <f>AVERAGE(100,100,100,100)</f>
        <v>100</v>
      </c>
      <c r="Q37" s="15">
        <f t="shared" si="15"/>
        <v>0</v>
      </c>
      <c r="R37" s="15">
        <f t="shared" si="15"/>
        <v>0</v>
      </c>
      <c r="S37" s="15">
        <f t="shared" si="14"/>
        <v>0</v>
      </c>
      <c r="T37" s="15">
        <f t="shared" si="14"/>
        <v>0</v>
      </c>
      <c r="U37" s="15">
        <f t="shared" si="14"/>
        <v>0</v>
      </c>
      <c r="V37" s="15">
        <f t="shared" si="14"/>
        <v>0</v>
      </c>
      <c r="W37" s="15">
        <f>AVERAGE(25+25,25+25,25+25,25+25)</f>
        <v>50</v>
      </c>
      <c r="X37" s="15">
        <f>AVERAGE(50,50,50,50)</f>
        <v>50</v>
      </c>
      <c r="Y37" s="15">
        <f>AVERAGE(20,20,20,20)</f>
        <v>20</v>
      </c>
      <c r="Z37" s="15">
        <f>AVERAGE(0,0,0,0)</f>
        <v>0</v>
      </c>
      <c r="AA37" s="15">
        <f>AVERAGE(0,0,0,0)</f>
        <v>0</v>
      </c>
      <c r="AB37" s="15">
        <f t="shared" si="8"/>
        <v>0</v>
      </c>
      <c r="AC37" s="15">
        <f t="shared" si="10"/>
        <v>0</v>
      </c>
      <c r="AD37" s="15">
        <f t="shared" ref="AD37:AF38" si="16">AVERAGE(0,0,0,0)</f>
        <v>0</v>
      </c>
      <c r="AE37" s="15">
        <f t="shared" si="16"/>
        <v>0</v>
      </c>
      <c r="AF37" s="15">
        <f t="shared" si="16"/>
        <v>0</v>
      </c>
      <c r="AG37" s="15">
        <v>73.863636363636402</v>
      </c>
      <c r="AH37" s="15">
        <v>5.0294117647058796</v>
      </c>
      <c r="AI37" s="15">
        <v>322.57142857142901</v>
      </c>
      <c r="AJ37" s="15">
        <v>13</v>
      </c>
      <c r="AK37" s="15">
        <v>15.3333333333333</v>
      </c>
      <c r="AL37" s="17"/>
    </row>
    <row r="38" spans="1:38" ht="14.25" customHeight="1" x14ac:dyDescent="0.25">
      <c r="A38" s="6" t="s">
        <v>152</v>
      </c>
      <c r="B38" s="5">
        <v>33.4</v>
      </c>
      <c r="C38" s="5">
        <v>7.3</v>
      </c>
      <c r="D38" s="17"/>
      <c r="E38" s="2">
        <v>156.4</v>
      </c>
      <c r="F38" s="19">
        <v>12</v>
      </c>
      <c r="G38" s="2">
        <v>6.8</v>
      </c>
      <c r="H38" s="17"/>
      <c r="I38" s="20">
        <v>76</v>
      </c>
      <c r="J38" s="21">
        <v>0</v>
      </c>
      <c r="K38" s="19">
        <f>AVERAGE(1,1)</f>
        <v>1</v>
      </c>
      <c r="L38" s="15">
        <v>200</v>
      </c>
      <c r="M38" s="19">
        <f>AVERAGE(42,42,42,42)</f>
        <v>42</v>
      </c>
      <c r="N38" s="15">
        <f>AVERAGE(33,33,33,33)</f>
        <v>33</v>
      </c>
      <c r="O38" s="2">
        <v>18.760000000000002</v>
      </c>
      <c r="P38" s="15">
        <f>AVERAGE(100,100,100,100)</f>
        <v>100</v>
      </c>
      <c r="Q38" s="15">
        <f t="shared" si="15"/>
        <v>0</v>
      </c>
      <c r="R38" s="15">
        <f t="shared" si="15"/>
        <v>0</v>
      </c>
      <c r="S38" s="15">
        <f t="shared" si="14"/>
        <v>0</v>
      </c>
      <c r="T38" s="15">
        <f t="shared" si="14"/>
        <v>0</v>
      </c>
      <c r="U38" s="15">
        <f t="shared" si="14"/>
        <v>0</v>
      </c>
      <c r="V38" s="15">
        <f t="shared" si="14"/>
        <v>0</v>
      </c>
      <c r="W38" s="15">
        <f>AVERAGE(30+20,30+20,30+20,30+20)</f>
        <v>50</v>
      </c>
      <c r="X38" s="15">
        <f>AVERAGE(40,40,40,40)</f>
        <v>40</v>
      </c>
      <c r="Y38" s="15">
        <f>AVERAGE(20,20,20,20)</f>
        <v>20</v>
      </c>
      <c r="Z38" s="15">
        <f>AVERAGE(0,0,0,0)</f>
        <v>0</v>
      </c>
      <c r="AA38" s="15">
        <f>AVERAGE(0,0,0,0)</f>
        <v>0</v>
      </c>
      <c r="AB38" s="15">
        <f t="shared" si="8"/>
        <v>0</v>
      </c>
      <c r="AC38" s="15">
        <f t="shared" si="10"/>
        <v>0</v>
      </c>
      <c r="AD38" s="15">
        <f t="shared" si="16"/>
        <v>0</v>
      </c>
      <c r="AE38" s="15">
        <f t="shared" si="16"/>
        <v>0</v>
      </c>
      <c r="AF38" s="15">
        <f t="shared" si="16"/>
        <v>0</v>
      </c>
      <c r="AG38" s="15">
        <v>67.954545454545496</v>
      </c>
      <c r="AH38" s="15">
        <v>4.7352941176470598</v>
      </c>
      <c r="AI38" s="15">
        <v>442.57142857142901</v>
      </c>
      <c r="AJ38" s="15">
        <v>75.857142857142904</v>
      </c>
      <c r="AK38" s="15">
        <v>170.333333333333</v>
      </c>
      <c r="AL38" s="17"/>
    </row>
    <row r="39" spans="1:38" ht="14.25" customHeight="1" x14ac:dyDescent="0.25">
      <c r="A39" s="6" t="s">
        <v>153</v>
      </c>
      <c r="B39" s="5">
        <v>28.8</v>
      </c>
      <c r="C39" s="5">
        <v>6.1</v>
      </c>
      <c r="D39" s="17"/>
      <c r="E39" s="2">
        <v>127.9</v>
      </c>
      <c r="F39" s="2">
        <v>13.5</v>
      </c>
      <c r="G39" s="2">
        <v>6.6</v>
      </c>
      <c r="H39" s="17"/>
      <c r="I39" s="20">
        <v>49</v>
      </c>
      <c r="J39" s="21">
        <f>1/(AVERAGE(11.08,8.98,10.67,10.97,13.85,11.08,11.04,13.94,16.38,11.31))</f>
        <v>8.3822296730930418E-2</v>
      </c>
      <c r="K39" s="19">
        <f>AVERAGE(2,1)</f>
        <v>1.5</v>
      </c>
      <c r="L39" s="15">
        <v>100</v>
      </c>
      <c r="M39" s="19">
        <f>AVERAGE(100,98,98)</f>
        <v>98.666666666666671</v>
      </c>
      <c r="N39" s="15">
        <f>AVERAGE(100,100,100,100)</f>
        <v>100</v>
      </c>
      <c r="O39" s="10">
        <v>5.5</v>
      </c>
      <c r="P39" s="15">
        <f>AVERAGE(95,95,95,95)</f>
        <v>95</v>
      </c>
      <c r="Q39" s="15">
        <f>AVERAGE(5,5,5,5)</f>
        <v>5</v>
      </c>
      <c r="R39" s="15">
        <f>AVERAGE(0,0,0,0)</f>
        <v>0</v>
      </c>
      <c r="S39" s="15">
        <f t="shared" si="14"/>
        <v>0</v>
      </c>
      <c r="T39" s="15">
        <f t="shared" si="14"/>
        <v>0</v>
      </c>
      <c r="U39" s="15">
        <f t="shared" si="14"/>
        <v>0</v>
      </c>
      <c r="V39" s="15">
        <f t="shared" si="14"/>
        <v>0</v>
      </c>
      <c r="W39" s="15">
        <f>AVERAGE(0,0,0,0)</f>
        <v>0</v>
      </c>
      <c r="X39" s="15">
        <f>AVERAGE(5,5,5,5)</f>
        <v>5</v>
      </c>
      <c r="Y39" s="15">
        <f>AVERAGE(15,15,15,15)</f>
        <v>15</v>
      </c>
      <c r="Z39" s="15">
        <f>AVERAGE(10,10,10,10)</f>
        <v>10</v>
      </c>
      <c r="AA39" s="15">
        <f>AVERAGE(5,5,5,5)</f>
        <v>5</v>
      </c>
      <c r="AB39" s="15">
        <f t="shared" si="8"/>
        <v>0</v>
      </c>
      <c r="AC39" s="15">
        <f t="shared" si="10"/>
        <v>0</v>
      </c>
      <c r="AD39" s="15">
        <f>AVERAGE(15,15,15,15)</f>
        <v>15</v>
      </c>
      <c r="AE39" s="15">
        <f>AVERAGE(25,25,25,25)</f>
        <v>25</v>
      </c>
      <c r="AF39" s="15">
        <f>AVERAGE(20,20,20,20)</f>
        <v>20</v>
      </c>
      <c r="AG39" s="15">
        <v>80.227272727272705</v>
      </c>
      <c r="AH39" s="15">
        <v>2.6764705882352899</v>
      </c>
      <c r="AI39" s="15">
        <v>461.142857142857</v>
      </c>
      <c r="AJ39" s="15">
        <v>8.7142857142857206</v>
      </c>
      <c r="AK39" s="15">
        <v>12</v>
      </c>
      <c r="AL39" s="17"/>
    </row>
    <row r="40" spans="1:38" ht="14.25" customHeight="1" x14ac:dyDescent="0.25">
      <c r="A40" s="6" t="s">
        <v>158</v>
      </c>
      <c r="B40" s="5">
        <v>29.1</v>
      </c>
      <c r="C40" s="5">
        <v>7.6</v>
      </c>
      <c r="D40" s="17"/>
      <c r="E40" s="2">
        <v>129.4</v>
      </c>
      <c r="F40" s="2">
        <v>14.6</v>
      </c>
      <c r="G40" s="2">
        <v>6.51</v>
      </c>
      <c r="H40" s="17"/>
      <c r="I40" s="20">
        <v>49</v>
      </c>
      <c r="J40" s="21">
        <f>1/(AVERAGE(9.43,9.44,7.99,11.27,10.08,10.25,10.15,8.25,9.99,8.74))</f>
        <v>0.10461345329009311</v>
      </c>
      <c r="K40" s="19">
        <f>AVERAGE(1,1)</f>
        <v>1</v>
      </c>
      <c r="L40" s="15">
        <v>82</v>
      </c>
      <c r="M40" s="19">
        <f>AVERAGE(64,82,64)</f>
        <v>70</v>
      </c>
      <c r="N40" s="15">
        <f>AVERAGE(74,74,74,74)</f>
        <v>74</v>
      </c>
      <c r="O40" s="10">
        <v>3.4</v>
      </c>
      <c r="P40" s="15">
        <f>AVERAGE(100,100,100,100)</f>
        <v>100</v>
      </c>
      <c r="Q40" s="15">
        <f>AVERAGE(0,0,0,0)</f>
        <v>0</v>
      </c>
      <c r="R40" s="15">
        <f>AVERAGE(0,0,0,0)</f>
        <v>0</v>
      </c>
      <c r="S40" s="15">
        <f t="shared" si="14"/>
        <v>0</v>
      </c>
      <c r="T40" s="15">
        <f t="shared" si="14"/>
        <v>0</v>
      </c>
      <c r="U40" s="15">
        <f t="shared" si="14"/>
        <v>0</v>
      </c>
      <c r="V40" s="15">
        <f t="shared" si="14"/>
        <v>0</v>
      </c>
      <c r="W40" s="15">
        <f>AVERAGE(0,0,0,0)</f>
        <v>0</v>
      </c>
      <c r="X40" s="15">
        <f>AVERAGE(5,5,5,5)</f>
        <v>5</v>
      </c>
      <c r="Y40" s="15">
        <f>AVERAGE(5,5,5,5)</f>
        <v>5</v>
      </c>
      <c r="Z40" s="15">
        <f>AVERAGE(30,30,30,30)</f>
        <v>30</v>
      </c>
      <c r="AA40" s="15">
        <f>AVERAGE(5,5,5,5)</f>
        <v>5</v>
      </c>
      <c r="AB40" s="15">
        <f t="shared" si="8"/>
        <v>0</v>
      </c>
      <c r="AC40" s="15">
        <f t="shared" si="10"/>
        <v>0</v>
      </c>
      <c r="AD40" s="15">
        <f>AVERAGE(5,5,5,5)</f>
        <v>5</v>
      </c>
      <c r="AE40" s="15">
        <f>AVERAGE(25,25,25,25)</f>
        <v>25</v>
      </c>
      <c r="AF40" s="15">
        <f>AVERAGE(20,20,20,20)</f>
        <v>20</v>
      </c>
      <c r="AG40" s="15">
        <v>79.318181818181799</v>
      </c>
      <c r="AH40" s="15">
        <v>3.8529411764705901</v>
      </c>
      <c r="AI40" s="15">
        <v>566.857142857143</v>
      </c>
      <c r="AJ40" s="15">
        <v>7.28571428571429</v>
      </c>
      <c r="AK40" s="15">
        <v>22</v>
      </c>
      <c r="AL40" s="17"/>
    </row>
    <row r="41" spans="1:38" ht="14.25" customHeight="1" x14ac:dyDescent="0.25">
      <c r="A41" s="6" t="s">
        <v>159</v>
      </c>
      <c r="B41" s="15">
        <v>28</v>
      </c>
      <c r="C41" s="5">
        <v>7.8</v>
      </c>
      <c r="D41" s="17"/>
      <c r="E41" s="2">
        <v>130.6</v>
      </c>
      <c r="F41" s="2">
        <v>11.9</v>
      </c>
      <c r="G41" s="2">
        <v>6.52</v>
      </c>
      <c r="H41" s="17"/>
      <c r="I41" s="20">
        <v>49</v>
      </c>
      <c r="J41" s="21">
        <f>1/(AVERAGE(16.49,7.08,9.79,10.18,6.29,6.64,7.97,7.72,8.71,6.09))</f>
        <v>0.11499540018399262</v>
      </c>
      <c r="K41" s="19">
        <f>AVERAGE(1,1)</f>
        <v>1</v>
      </c>
      <c r="L41" s="15">
        <v>70</v>
      </c>
      <c r="M41" s="19">
        <f>AVERAGE(66,70,45)</f>
        <v>60.333333333333336</v>
      </c>
      <c r="N41" s="15">
        <f>AVERAGE(5,5,5,5)</f>
        <v>5</v>
      </c>
      <c r="O41" s="10">
        <v>4.03</v>
      </c>
      <c r="P41" s="15">
        <f>AVERAGE(90,90,90,90)</f>
        <v>90</v>
      </c>
      <c r="Q41" s="15">
        <f>AVERAGE(0,0,0,0)</f>
        <v>0</v>
      </c>
      <c r="R41" s="15">
        <f>AVERAGE(0,0,0,0)</f>
        <v>0</v>
      </c>
      <c r="S41" s="15">
        <f t="shared" ref="S41:T68" si="17">AVERAGE(0,0,0,0)</f>
        <v>0</v>
      </c>
      <c r="T41" s="15">
        <f t="shared" si="17"/>
        <v>0</v>
      </c>
      <c r="U41" s="15">
        <f>AVERAGE(10,10,10,10)</f>
        <v>10</v>
      </c>
      <c r="V41" s="15">
        <f t="shared" ref="V41:V68" si="18">AVERAGE(0,0,0,0)</f>
        <v>0</v>
      </c>
      <c r="W41" s="15">
        <f>AVERAGE(0,0,0,0)</f>
        <v>0</v>
      </c>
      <c r="X41" s="15">
        <f>AVERAGE(5,5,5,5)</f>
        <v>5</v>
      </c>
      <c r="Y41" s="15">
        <f>AVERAGE(5,5,5,5)</f>
        <v>5</v>
      </c>
      <c r="Z41" s="15">
        <f>AVERAGE(15,15,15,15)</f>
        <v>15</v>
      </c>
      <c r="AA41" s="15">
        <f>AVERAGE(5,5,5,5)</f>
        <v>5</v>
      </c>
      <c r="AB41" s="15">
        <f t="shared" si="8"/>
        <v>0</v>
      </c>
      <c r="AC41" s="15">
        <f t="shared" si="10"/>
        <v>0</v>
      </c>
      <c r="AD41" s="15">
        <f>AVERAGE(5,5,5,5)</f>
        <v>5</v>
      </c>
      <c r="AE41" s="15">
        <f>AVERAGE(0,0,0,0)</f>
        <v>0</v>
      </c>
      <c r="AF41" s="15">
        <f>AVERAGE(0,0,0,0)</f>
        <v>0</v>
      </c>
      <c r="AG41" s="15">
        <v>87.045454545454604</v>
      </c>
      <c r="AH41" s="15">
        <v>4.1470588235294104</v>
      </c>
      <c r="AI41" s="15">
        <v>1004</v>
      </c>
      <c r="AJ41" s="15">
        <v>10.1428571428571</v>
      </c>
      <c r="AK41" s="15">
        <v>25.3333333333333</v>
      </c>
      <c r="AL41" s="17"/>
    </row>
    <row r="42" spans="1:38" ht="14.25" customHeight="1" x14ac:dyDescent="0.25">
      <c r="A42" s="6" t="s">
        <v>160</v>
      </c>
      <c r="B42" s="5">
        <v>28.7</v>
      </c>
      <c r="C42" s="5">
        <v>5.4</v>
      </c>
      <c r="D42" s="17"/>
      <c r="E42" s="2">
        <v>130.69999999999999</v>
      </c>
      <c r="F42" s="2">
        <v>11.7</v>
      </c>
      <c r="G42" s="2">
        <v>6.84</v>
      </c>
      <c r="H42" s="17"/>
      <c r="I42" s="20">
        <v>47</v>
      </c>
      <c r="J42" s="21">
        <f>1/(AVERAGE(12.77,13.58,11.74,10.54,8.53,,7.06,6.63,11.02,7.64,8.99))</f>
        <v>0.11167512690355332</v>
      </c>
      <c r="K42" s="19">
        <f>AVERAGE(1,1)</f>
        <v>1</v>
      </c>
      <c r="L42" s="15">
        <v>72</v>
      </c>
      <c r="M42" s="19">
        <f>AVERAGE(72,60,58)</f>
        <v>63.333333333333336</v>
      </c>
      <c r="N42" s="15">
        <f>AVERAGE(50,50,50,50)</f>
        <v>50</v>
      </c>
      <c r="O42" s="10">
        <v>11.5</v>
      </c>
      <c r="P42" s="15">
        <f>AVERAGE(100,100,100,100)</f>
        <v>100</v>
      </c>
      <c r="Q42" s="15">
        <f>AVERAGE(0,0,0,0)</f>
        <v>0</v>
      </c>
      <c r="R42" s="15">
        <f>AVERAGE(0,0,0,0)</f>
        <v>0</v>
      </c>
      <c r="S42" s="15">
        <f t="shared" si="17"/>
        <v>0</v>
      </c>
      <c r="T42" s="15">
        <f t="shared" si="17"/>
        <v>0</v>
      </c>
      <c r="U42" s="15">
        <f t="shared" ref="U42:U68" si="19">AVERAGE(0,0,0,0)</f>
        <v>0</v>
      </c>
      <c r="V42" s="15">
        <f t="shared" si="18"/>
        <v>0</v>
      </c>
      <c r="W42" s="15">
        <f>AVERAGE(15,15,15,15)</f>
        <v>15</v>
      </c>
      <c r="X42" s="15">
        <f>AVERAGE(5,5,5,5)</f>
        <v>5</v>
      </c>
      <c r="Y42" s="15">
        <f>AVERAGE(15,15,15,15)</f>
        <v>15</v>
      </c>
      <c r="Z42" s="15">
        <f>AVERAGE(0,0,0,0)</f>
        <v>0</v>
      </c>
      <c r="AA42" s="15">
        <f>AVERAGE(5,5,5,5)</f>
        <v>5</v>
      </c>
      <c r="AB42" s="15">
        <f t="shared" si="8"/>
        <v>0</v>
      </c>
      <c r="AC42" s="15">
        <f t="shared" si="10"/>
        <v>0</v>
      </c>
      <c r="AD42" s="15">
        <f>AVERAGE(0,0,0,0)</f>
        <v>0</v>
      </c>
      <c r="AE42" s="15">
        <f>AVERAGE(0,0,0,0)</f>
        <v>0</v>
      </c>
      <c r="AF42" s="15">
        <f>AVERAGE(0,0,0,0)</f>
        <v>0</v>
      </c>
      <c r="AG42" s="15">
        <v>43.863636363636402</v>
      </c>
      <c r="AH42" s="15">
        <v>3.2647058823529398</v>
      </c>
      <c r="AI42" s="15">
        <v>626.857142857143</v>
      </c>
      <c r="AJ42" s="15">
        <v>7.28571428571429</v>
      </c>
      <c r="AK42" s="15">
        <v>8.6666666666666696</v>
      </c>
      <c r="AL42" s="17"/>
    </row>
    <row r="43" spans="1:38" ht="14.25" customHeight="1" x14ac:dyDescent="0.25">
      <c r="A43" s="6" t="s">
        <v>164</v>
      </c>
      <c r="B43" s="5">
        <v>28.9</v>
      </c>
      <c r="C43" s="15">
        <v>7</v>
      </c>
      <c r="D43" s="17"/>
      <c r="E43" s="2">
        <v>136.6</v>
      </c>
      <c r="F43" s="2">
        <v>9.32</v>
      </c>
      <c r="G43" s="2">
        <v>6.7</v>
      </c>
      <c r="H43" s="17"/>
      <c r="I43" s="20">
        <v>47</v>
      </c>
      <c r="J43" s="21">
        <f>1/(AVERAGE(7.95,5.65,5.83,8.71,5.02,6.75,4.77,3.86,3.36,3.01))</f>
        <v>0.18211619012930252</v>
      </c>
      <c r="K43" s="19">
        <f>AVERAGE(1,1)</f>
        <v>1</v>
      </c>
      <c r="L43" s="15">
        <v>85</v>
      </c>
      <c r="M43" s="19">
        <f>AVERAGE(50,85,60)</f>
        <v>65</v>
      </c>
      <c r="N43" s="15">
        <f>AVERAGE(40,40,40,40)</f>
        <v>40</v>
      </c>
      <c r="O43" s="2">
        <v>10.68</v>
      </c>
      <c r="P43" s="15">
        <f>AVERAGE(5,5,5,5)</f>
        <v>5</v>
      </c>
      <c r="Q43" s="15">
        <f>AVERAGE(85,85,85,85)</f>
        <v>85</v>
      </c>
      <c r="R43" s="15">
        <f>AVERAGE(10,10,10,10)</f>
        <v>10</v>
      </c>
      <c r="S43" s="15">
        <f t="shared" si="17"/>
        <v>0</v>
      </c>
      <c r="T43" s="15">
        <f t="shared" si="17"/>
        <v>0</v>
      </c>
      <c r="U43" s="15">
        <f t="shared" si="19"/>
        <v>0</v>
      </c>
      <c r="V43" s="15">
        <f t="shared" si="18"/>
        <v>0</v>
      </c>
      <c r="W43" s="15">
        <f t="shared" ref="W43:X50" si="20">AVERAGE(0,0,0,0)</f>
        <v>0</v>
      </c>
      <c r="X43" s="15">
        <f t="shared" si="20"/>
        <v>0</v>
      </c>
      <c r="Y43" s="15">
        <f>AVERAGE(5,5,5,5)</f>
        <v>5</v>
      </c>
      <c r="Z43" s="15">
        <f>AVERAGE(30,30,30,30)</f>
        <v>30</v>
      </c>
      <c r="AA43" s="15">
        <f>AVERAGE(5,5,5,5)</f>
        <v>5</v>
      </c>
      <c r="AB43" s="15">
        <f t="shared" si="8"/>
        <v>0</v>
      </c>
      <c r="AC43" s="15">
        <f t="shared" si="10"/>
        <v>0</v>
      </c>
      <c r="AD43" s="15">
        <f>AVERAGE(15,15,15,15)</f>
        <v>15</v>
      </c>
      <c r="AE43" s="15">
        <f>AVERAGE(15,15,15,15)</f>
        <v>15</v>
      </c>
      <c r="AF43" s="15">
        <f>AVERAGE(20,20,20,20)</f>
        <v>20</v>
      </c>
      <c r="AG43" s="15">
        <v>48.863636363636402</v>
      </c>
      <c r="AH43" s="15">
        <v>3.8529411764705901</v>
      </c>
      <c r="AI43" s="15">
        <v>486.857142857143</v>
      </c>
      <c r="AJ43" s="15">
        <v>8.7142857142857206</v>
      </c>
      <c r="AK43" s="15">
        <v>17</v>
      </c>
      <c r="AL43" s="17"/>
    </row>
    <row r="44" spans="1:38" ht="14.25" customHeight="1" x14ac:dyDescent="0.25">
      <c r="A44" s="6" t="s">
        <v>165</v>
      </c>
      <c r="B44" s="5">
        <v>28.5</v>
      </c>
      <c r="C44" s="5">
        <v>5.8</v>
      </c>
      <c r="D44" s="17"/>
      <c r="E44" s="2">
        <v>134</v>
      </c>
      <c r="F44" s="2">
        <v>12.5</v>
      </c>
      <c r="G44" s="2">
        <v>6.6</v>
      </c>
      <c r="H44" s="17"/>
      <c r="I44" s="20">
        <v>47</v>
      </c>
      <c r="J44" s="21">
        <f>1/(AVERAGE(9.13,6.19,5.45,7.14,5.11,4.91,5.44,5.08,4.9,5.37))</f>
        <v>0.17029972752043598</v>
      </c>
      <c r="K44" s="19">
        <f>AVERAGE(1,1)</f>
        <v>1</v>
      </c>
      <c r="L44" s="15">
        <v>93</v>
      </c>
      <c r="M44" s="19">
        <f>AVERAGE(93,62,35)</f>
        <v>63.333333333333336</v>
      </c>
      <c r="N44" s="15">
        <f>AVERAGE(39,39,39,39)</f>
        <v>39</v>
      </c>
      <c r="O44" s="10">
        <v>5.3</v>
      </c>
      <c r="P44" s="15">
        <f>AVERAGE(5,5,5,5)</f>
        <v>5</v>
      </c>
      <c r="Q44" s="15">
        <f>AVERAGE(95,95,95,95)</f>
        <v>95</v>
      </c>
      <c r="R44" s="15">
        <f t="shared" ref="R44:R68" si="21">AVERAGE(0,0,0,0)</f>
        <v>0</v>
      </c>
      <c r="S44" s="15">
        <f t="shared" si="17"/>
        <v>0</v>
      </c>
      <c r="T44" s="15">
        <f t="shared" si="17"/>
        <v>0</v>
      </c>
      <c r="U44" s="15">
        <f t="shared" si="19"/>
        <v>0</v>
      </c>
      <c r="V44" s="15">
        <f t="shared" si="18"/>
        <v>0</v>
      </c>
      <c r="W44" s="15">
        <f t="shared" si="20"/>
        <v>0</v>
      </c>
      <c r="X44" s="15">
        <f t="shared" si="20"/>
        <v>0</v>
      </c>
      <c r="Y44" s="15">
        <f>AVERAGE(0,0,0,0)</f>
        <v>0</v>
      </c>
      <c r="Z44" s="15">
        <f>AVERAGE(50,50,50,50)</f>
        <v>50</v>
      </c>
      <c r="AA44" s="15">
        <f>AVERAGE(0,0,0,0)</f>
        <v>0</v>
      </c>
      <c r="AB44" s="15">
        <f t="shared" si="8"/>
        <v>0</v>
      </c>
      <c r="AC44" s="15">
        <f t="shared" si="10"/>
        <v>0</v>
      </c>
      <c r="AD44" s="15">
        <f>AVERAGE(10,10,10,10)</f>
        <v>10</v>
      </c>
      <c r="AE44" s="15">
        <f>AVERAGE(15,15,15,15)</f>
        <v>15</v>
      </c>
      <c r="AF44" s="15">
        <f>AVERAGE(10,10,10,10)</f>
        <v>10</v>
      </c>
      <c r="AG44" s="15">
        <v>54.772727272727302</v>
      </c>
      <c r="AH44" s="15">
        <v>3.2647058823529398</v>
      </c>
      <c r="AI44" s="15">
        <v>754</v>
      </c>
      <c r="AJ44" s="15">
        <v>10.1428571428571</v>
      </c>
      <c r="AK44" s="15">
        <v>12</v>
      </c>
      <c r="AL44" s="17"/>
    </row>
    <row r="45" spans="1:38" ht="14.25" customHeight="1" x14ac:dyDescent="0.25">
      <c r="A45" s="6" t="s">
        <v>166</v>
      </c>
      <c r="B45" s="5">
        <v>28.6</v>
      </c>
      <c r="C45" s="5">
        <v>7.7</v>
      </c>
      <c r="D45" s="17"/>
      <c r="E45" s="2">
        <v>139.69999999999999</v>
      </c>
      <c r="F45" s="2">
        <v>11.1</v>
      </c>
      <c r="G45" s="2">
        <v>6.7</v>
      </c>
      <c r="H45" s="17"/>
      <c r="I45" s="20">
        <v>54</v>
      </c>
      <c r="J45" s="21">
        <f>1/(AVERAGE(3.23,3.38,3.34,2.7,2.94,2.78,3.02,3.28,2.78,2.83))</f>
        <v>0.33025099075297226</v>
      </c>
      <c r="K45" s="19">
        <f>AVERAGE(3,1)</f>
        <v>2</v>
      </c>
      <c r="L45" s="15">
        <v>36</v>
      </c>
      <c r="M45" s="19">
        <f>AVERAGE(36,32,36)</f>
        <v>34.666666666666664</v>
      </c>
      <c r="N45" s="15">
        <f>AVERAGE(28,28,28,28)</f>
        <v>28</v>
      </c>
      <c r="O45" s="10">
        <v>2.1</v>
      </c>
      <c r="P45" s="15">
        <f>AVERAGE(0,0,0,0)</f>
        <v>0</v>
      </c>
      <c r="Q45" s="15">
        <f>AVERAGE(100,100,100,100)</f>
        <v>100</v>
      </c>
      <c r="R45" s="15">
        <f t="shared" si="21"/>
        <v>0</v>
      </c>
      <c r="S45" s="15">
        <f t="shared" si="17"/>
        <v>0</v>
      </c>
      <c r="T45" s="15">
        <f t="shared" si="17"/>
        <v>0</v>
      </c>
      <c r="U45" s="15">
        <f t="shared" si="19"/>
        <v>0</v>
      </c>
      <c r="V45" s="15">
        <f t="shared" si="18"/>
        <v>0</v>
      </c>
      <c r="W45" s="15">
        <f t="shared" si="20"/>
        <v>0</v>
      </c>
      <c r="X45" s="15">
        <f t="shared" si="20"/>
        <v>0</v>
      </c>
      <c r="Y45" s="15">
        <f>AVERAGE(5,5,5,5)</f>
        <v>5</v>
      </c>
      <c r="Z45" s="15">
        <f>AVERAGE(60,60,60,60)</f>
        <v>60</v>
      </c>
      <c r="AA45" s="15">
        <f>AVERAGE(5,5,5,5)</f>
        <v>5</v>
      </c>
      <c r="AB45" s="15">
        <f t="shared" si="8"/>
        <v>0</v>
      </c>
      <c r="AC45" s="15">
        <f t="shared" si="10"/>
        <v>0</v>
      </c>
      <c r="AD45" s="15">
        <f>AVERAGE(5,5,5,5)</f>
        <v>5</v>
      </c>
      <c r="AE45" s="15">
        <f>AVERAGE(0,0,0,0)</f>
        <v>0</v>
      </c>
      <c r="AF45" s="15">
        <f>AVERAGE(5,5,5,5)</f>
        <v>5</v>
      </c>
      <c r="AG45" s="15">
        <v>54.318181818181799</v>
      </c>
      <c r="AH45" s="15">
        <v>2.6764705882352899</v>
      </c>
      <c r="AI45" s="15">
        <v>655.42857142857099</v>
      </c>
      <c r="AJ45" s="15">
        <v>10.1428571428571</v>
      </c>
      <c r="AK45" s="15">
        <v>12</v>
      </c>
      <c r="AL45" s="17"/>
    </row>
    <row r="46" spans="1:38" ht="14.25" customHeight="1" x14ac:dyDescent="0.25">
      <c r="A46" s="6" t="s">
        <v>168</v>
      </c>
      <c r="B46" s="5">
        <v>28.5</v>
      </c>
      <c r="C46" s="5">
        <v>6.2</v>
      </c>
      <c r="D46" s="17"/>
      <c r="E46" s="2">
        <v>134</v>
      </c>
      <c r="F46" s="2">
        <v>4.2699999999999996</v>
      </c>
      <c r="G46" s="2">
        <v>6.54</v>
      </c>
      <c r="H46" s="17"/>
      <c r="I46" s="20">
        <v>54</v>
      </c>
      <c r="J46" s="21">
        <f>1/(AVERAGE(3.74,3.37,2.7,2.87,2.61,3.37,2.94,2.17,2.57,3.34))</f>
        <v>0.33692722371967648</v>
      </c>
      <c r="K46" s="19">
        <f>AVERAGE(3,1)</f>
        <v>2</v>
      </c>
      <c r="L46" s="15">
        <v>56</v>
      </c>
      <c r="M46" s="19">
        <f>AVERAGE(43,56,43)</f>
        <v>47.333333333333336</v>
      </c>
      <c r="N46" s="15">
        <f>AVERAGE(41,41,41,41)</f>
        <v>41</v>
      </c>
      <c r="O46" s="10">
        <v>2.59</v>
      </c>
      <c r="P46" s="15">
        <f>AVERAGE(0,0,0,0)</f>
        <v>0</v>
      </c>
      <c r="Q46" s="15">
        <f>AVERAGE(100,100,100,100)</f>
        <v>100</v>
      </c>
      <c r="R46" s="15">
        <f t="shared" si="21"/>
        <v>0</v>
      </c>
      <c r="S46" s="15">
        <f t="shared" si="17"/>
        <v>0</v>
      </c>
      <c r="T46" s="15">
        <f t="shared" si="17"/>
        <v>0</v>
      </c>
      <c r="U46" s="15">
        <f t="shared" si="19"/>
        <v>0</v>
      </c>
      <c r="V46" s="15">
        <f t="shared" si="18"/>
        <v>0</v>
      </c>
      <c r="W46" s="15">
        <f t="shared" si="20"/>
        <v>0</v>
      </c>
      <c r="X46" s="15">
        <f t="shared" si="20"/>
        <v>0</v>
      </c>
      <c r="Y46" s="15">
        <f>AVERAGE(0,0,0,0)</f>
        <v>0</v>
      </c>
      <c r="Z46" s="15">
        <f>AVERAGE(60,60,60,60)</f>
        <v>60</v>
      </c>
      <c r="AA46" s="15">
        <f>AVERAGE(5,5,5,5)</f>
        <v>5</v>
      </c>
      <c r="AB46" s="15">
        <f t="shared" si="8"/>
        <v>0</v>
      </c>
      <c r="AC46" s="15">
        <f t="shared" si="10"/>
        <v>0</v>
      </c>
      <c r="AD46" s="15">
        <f>AVERAGE(15,15,15,15)</f>
        <v>15</v>
      </c>
      <c r="AE46" s="15">
        <f>AVERAGE(0,0,0,0)</f>
        <v>0</v>
      </c>
      <c r="AF46" s="15">
        <f>AVERAGE(5,5,5,5)</f>
        <v>5</v>
      </c>
      <c r="AG46" s="15">
        <v>50.227272727272698</v>
      </c>
      <c r="AH46" s="15">
        <v>3.8529411764705901</v>
      </c>
      <c r="AI46" s="15">
        <v>695.42857142857099</v>
      </c>
      <c r="AJ46" s="15">
        <v>13</v>
      </c>
      <c r="AK46" s="15">
        <v>18.6666666666667</v>
      </c>
      <c r="AL46" s="17"/>
    </row>
    <row r="47" spans="1:38" ht="14.25" customHeight="1" x14ac:dyDescent="0.25">
      <c r="A47" s="6" t="s">
        <v>169</v>
      </c>
      <c r="B47" s="5">
        <v>28.6</v>
      </c>
      <c r="C47" s="5">
        <v>6.2</v>
      </c>
      <c r="D47" s="17"/>
      <c r="E47" s="2">
        <v>123.7</v>
      </c>
      <c r="F47" s="2">
        <v>8.8699999999999992</v>
      </c>
      <c r="G47" s="2">
        <v>6.64</v>
      </c>
      <c r="H47" s="17"/>
      <c r="I47" s="20">
        <v>54</v>
      </c>
      <c r="J47" s="21">
        <f>1/(AVERAGE(2.16,2.1,3.29,2.3,2.47,1.98,2.33,1.98,2.54,2.43))</f>
        <v>0.42408821034775229</v>
      </c>
      <c r="K47" s="19">
        <f>AVERAGE(3,1)</f>
        <v>2</v>
      </c>
      <c r="L47" s="15">
        <v>42</v>
      </c>
      <c r="M47" s="19">
        <f>AVERAGE(33,42,33)</f>
        <v>36</v>
      </c>
      <c r="N47" s="15">
        <f>AVERAGE(40,40,40,40)</f>
        <v>40</v>
      </c>
      <c r="O47" s="10">
        <v>2.67</v>
      </c>
      <c r="P47" s="15">
        <f>AVERAGE(0,0,0,0)</f>
        <v>0</v>
      </c>
      <c r="Q47" s="15">
        <f>AVERAGE(100,100,100,100)</f>
        <v>100</v>
      </c>
      <c r="R47" s="15">
        <f t="shared" si="21"/>
        <v>0</v>
      </c>
      <c r="S47" s="15">
        <f t="shared" si="17"/>
        <v>0</v>
      </c>
      <c r="T47" s="15">
        <f t="shared" si="17"/>
        <v>0</v>
      </c>
      <c r="U47" s="15">
        <f t="shared" si="19"/>
        <v>0</v>
      </c>
      <c r="V47" s="15">
        <f t="shared" si="18"/>
        <v>0</v>
      </c>
      <c r="W47" s="15">
        <f t="shared" si="20"/>
        <v>0</v>
      </c>
      <c r="X47" s="15">
        <f t="shared" si="20"/>
        <v>0</v>
      </c>
      <c r="Y47" s="15">
        <f>AVERAGE(0,0,0,0)</f>
        <v>0</v>
      </c>
      <c r="Z47" s="15">
        <f>AVERAGE(60,60,60,60)</f>
        <v>60</v>
      </c>
      <c r="AA47" s="15">
        <f>AVERAGE(5,5,5,5)</f>
        <v>5</v>
      </c>
      <c r="AB47" s="15">
        <f t="shared" si="8"/>
        <v>0</v>
      </c>
      <c r="AC47" s="15">
        <f t="shared" si="10"/>
        <v>0</v>
      </c>
      <c r="AD47" s="15">
        <f>AVERAGE(5,5,5,5)</f>
        <v>5</v>
      </c>
      <c r="AE47" s="15">
        <f>AVERAGE(0,0,0,0)</f>
        <v>0</v>
      </c>
      <c r="AF47" s="15">
        <f>AVERAGE(15,15,15,15)</f>
        <v>15</v>
      </c>
      <c r="AG47" s="15">
        <v>46.136363636363598</v>
      </c>
      <c r="AH47" s="15">
        <v>2.6764705882352899</v>
      </c>
      <c r="AI47" s="15">
        <v>581.142857142857</v>
      </c>
      <c r="AJ47" s="15">
        <v>11.5714285714286</v>
      </c>
      <c r="AK47" s="15">
        <v>13.6666666666667</v>
      </c>
      <c r="AL47" s="17"/>
    </row>
    <row r="48" spans="1:38" ht="14.25" customHeight="1" x14ac:dyDescent="0.25">
      <c r="A48" s="6" t="s">
        <v>170</v>
      </c>
      <c r="B48" s="5">
        <v>28.2</v>
      </c>
      <c r="C48" s="5">
        <v>7.7</v>
      </c>
      <c r="D48" s="17"/>
      <c r="E48" s="2">
        <v>138.69999999999999</v>
      </c>
      <c r="F48" s="2">
        <v>14.2</v>
      </c>
      <c r="G48" s="2">
        <v>6.71</v>
      </c>
      <c r="H48" s="17"/>
      <c r="I48" s="20">
        <v>49</v>
      </c>
      <c r="J48" s="21">
        <f>1/(AVERAGE(9.54,8.97,6.81,7.71,8.87,10.2,8.54,8.37,10.83,7.26))</f>
        <v>0.11481056257175662</v>
      </c>
      <c r="K48" s="19">
        <f>AVERAGE(2,1)</f>
        <v>1.5</v>
      </c>
      <c r="L48" s="15">
        <v>70</v>
      </c>
      <c r="M48" s="19">
        <f>AVERAGE(94,70,94)</f>
        <v>86</v>
      </c>
      <c r="N48" s="15">
        <f>AVERAGE(94,94,94,94)</f>
        <v>94</v>
      </c>
      <c r="O48" s="10">
        <v>2.8</v>
      </c>
      <c r="P48" s="15">
        <f t="shared" ref="P48:P61" si="22">AVERAGE(100,100,100,100)</f>
        <v>100</v>
      </c>
      <c r="Q48" s="15">
        <f t="shared" ref="Q48:Q61" si="23">AVERAGE(0,0,0,0)</f>
        <v>0</v>
      </c>
      <c r="R48" s="15">
        <f t="shared" si="21"/>
        <v>0</v>
      </c>
      <c r="S48" s="15">
        <f t="shared" si="17"/>
        <v>0</v>
      </c>
      <c r="T48" s="15">
        <f t="shared" si="17"/>
        <v>0</v>
      </c>
      <c r="U48" s="15">
        <f t="shared" si="19"/>
        <v>0</v>
      </c>
      <c r="V48" s="15">
        <f t="shared" si="18"/>
        <v>0</v>
      </c>
      <c r="W48" s="15">
        <f t="shared" si="20"/>
        <v>0</v>
      </c>
      <c r="X48" s="15">
        <f t="shared" si="20"/>
        <v>0</v>
      </c>
      <c r="Y48" s="15">
        <f>AVERAGE(10,10,10,10)</f>
        <v>10</v>
      </c>
      <c r="Z48" s="15">
        <f>AVERAGE(50,50,50,50)</f>
        <v>50</v>
      </c>
      <c r="AA48" s="15">
        <f>AVERAGE(15,15,15,15)</f>
        <v>15</v>
      </c>
      <c r="AB48" s="15">
        <f t="shared" si="8"/>
        <v>0</v>
      </c>
      <c r="AC48" s="15">
        <f t="shared" si="10"/>
        <v>0</v>
      </c>
      <c r="AD48" s="15">
        <f>AVERAGE(10,10,10,10)</f>
        <v>10</v>
      </c>
      <c r="AE48" s="15">
        <f>AVERAGE(15,15,15,15)</f>
        <v>15</v>
      </c>
      <c r="AF48" s="15">
        <f>AVERAGE(10,10,10,10)</f>
        <v>10</v>
      </c>
      <c r="AG48" s="15">
        <v>81.136363636363598</v>
      </c>
      <c r="AH48" s="15">
        <v>2.97058823529412</v>
      </c>
      <c r="AI48" s="15">
        <v>702.57142857142901</v>
      </c>
      <c r="AJ48" s="15">
        <v>7.28571428571429</v>
      </c>
      <c r="AK48" s="15">
        <v>8.6666666666666696</v>
      </c>
      <c r="AL48" s="17"/>
    </row>
    <row r="49" spans="1:38" ht="14.25" customHeight="1" x14ac:dyDescent="0.25">
      <c r="A49" s="6" t="s">
        <v>173</v>
      </c>
      <c r="B49" s="5">
        <v>28.2</v>
      </c>
      <c r="C49" s="5">
        <v>7.2</v>
      </c>
      <c r="D49" s="17"/>
      <c r="E49" s="2">
        <v>125.6</v>
      </c>
      <c r="F49" s="2">
        <v>9.01</v>
      </c>
      <c r="G49" s="2">
        <v>6.89</v>
      </c>
      <c r="H49" s="17"/>
      <c r="I49" s="20">
        <v>49</v>
      </c>
      <c r="J49" s="21">
        <f>1/(AVERAGE(7.66,7.43,7.98,8.21,6.63,7.26,8.79,8.06,8.51,8.16))</f>
        <v>0.12708095056551022</v>
      </c>
      <c r="K49" s="19">
        <f>AVERAGE(2,1)</f>
        <v>1.5</v>
      </c>
      <c r="L49" s="5">
        <v>105</v>
      </c>
      <c r="M49" s="19">
        <f>AVERAGE(70,105,70)</f>
        <v>81.666666666666671</v>
      </c>
      <c r="N49" s="15">
        <f>AVERAGE(55,55,55,55)</f>
        <v>55</v>
      </c>
      <c r="O49" s="10">
        <v>2.2999999999999998</v>
      </c>
      <c r="P49" s="15">
        <f t="shared" si="22"/>
        <v>100</v>
      </c>
      <c r="Q49" s="15">
        <f t="shared" si="23"/>
        <v>0</v>
      </c>
      <c r="R49" s="15">
        <f t="shared" si="21"/>
        <v>0</v>
      </c>
      <c r="S49" s="15">
        <f t="shared" si="17"/>
        <v>0</v>
      </c>
      <c r="T49" s="15">
        <f t="shared" si="17"/>
        <v>0</v>
      </c>
      <c r="U49" s="15">
        <f t="shared" si="19"/>
        <v>0</v>
      </c>
      <c r="V49" s="15">
        <f t="shared" si="18"/>
        <v>0</v>
      </c>
      <c r="W49" s="15">
        <f t="shared" si="20"/>
        <v>0</v>
      </c>
      <c r="X49" s="15">
        <f t="shared" si="20"/>
        <v>0</v>
      </c>
      <c r="Y49" s="15">
        <f>AVERAGE(10,10,10,10)</f>
        <v>10</v>
      </c>
      <c r="Z49" s="15">
        <f>AVERAGE(50,50,50,50)</f>
        <v>50</v>
      </c>
      <c r="AA49" s="15">
        <f>AVERAGE(15,15,15,15)</f>
        <v>15</v>
      </c>
      <c r="AB49" s="15">
        <f t="shared" si="8"/>
        <v>0</v>
      </c>
      <c r="AC49" s="15">
        <f t="shared" si="10"/>
        <v>0</v>
      </c>
      <c r="AD49" s="15">
        <f>AVERAGE(10,10,10,10)</f>
        <v>10</v>
      </c>
      <c r="AE49" s="15">
        <f>AVERAGE(15,15,15,15)</f>
        <v>15</v>
      </c>
      <c r="AF49" s="15">
        <f>AVERAGE(10,10,10,10)</f>
        <v>10</v>
      </c>
      <c r="AG49" s="15">
        <v>194.772727272727</v>
      </c>
      <c r="AH49" s="15">
        <v>96.794117647058798</v>
      </c>
      <c r="AI49" s="15">
        <v>889.71428571428601</v>
      </c>
      <c r="AJ49" s="15">
        <v>23</v>
      </c>
      <c r="AK49" s="15">
        <v>30.3333333333333</v>
      </c>
      <c r="AL49" s="17"/>
    </row>
    <row r="50" spans="1:38" ht="14.25" customHeight="1" x14ac:dyDescent="0.25">
      <c r="A50" s="6" t="s">
        <v>174</v>
      </c>
      <c r="B50" s="5">
        <v>28.1</v>
      </c>
      <c r="C50" s="5">
        <v>5.2</v>
      </c>
      <c r="D50" s="17"/>
      <c r="E50" s="2">
        <v>138.69999999999999</v>
      </c>
      <c r="F50" s="2">
        <v>13.8</v>
      </c>
      <c r="G50" s="2">
        <v>6.68</v>
      </c>
      <c r="H50" s="17"/>
      <c r="I50" s="20">
        <v>49</v>
      </c>
      <c r="J50" s="21">
        <f>1/(AVERAGE(6.83,7.3,6.05,4.82,7.15,5.34,5.38,5.06,7.46,5.09))</f>
        <v>0.16534391534391535</v>
      </c>
      <c r="K50" s="19">
        <f>AVERAGE(2,1)</f>
        <v>1.5</v>
      </c>
      <c r="L50" s="5">
        <v>110</v>
      </c>
      <c r="M50" s="19">
        <f>AVERAGE(110,110,110)</f>
        <v>110</v>
      </c>
      <c r="N50" s="15">
        <f>AVERAGE(33,33,33,33)</f>
        <v>33</v>
      </c>
      <c r="O50" s="10">
        <v>5.3</v>
      </c>
      <c r="P50" s="15">
        <f t="shared" si="22"/>
        <v>100</v>
      </c>
      <c r="Q50" s="15">
        <f t="shared" si="23"/>
        <v>0</v>
      </c>
      <c r="R50" s="15">
        <f t="shared" si="21"/>
        <v>0</v>
      </c>
      <c r="S50" s="15">
        <f t="shared" si="17"/>
        <v>0</v>
      </c>
      <c r="T50" s="15">
        <f t="shared" si="17"/>
        <v>0</v>
      </c>
      <c r="U50" s="15">
        <f t="shared" si="19"/>
        <v>0</v>
      </c>
      <c r="V50" s="15">
        <f t="shared" si="18"/>
        <v>0</v>
      </c>
      <c r="W50" s="15">
        <f t="shared" si="20"/>
        <v>0</v>
      </c>
      <c r="X50" s="15">
        <f t="shared" si="20"/>
        <v>0</v>
      </c>
      <c r="Y50" s="15">
        <f>AVERAGE(25,25,25,25)</f>
        <v>25</v>
      </c>
      <c r="Z50" s="15">
        <f>AVERAGE(70,70,70,70)</f>
        <v>70</v>
      </c>
      <c r="AA50" s="15">
        <f>AVERAGE(15,15,15,15)</f>
        <v>15</v>
      </c>
      <c r="AB50" s="15">
        <f t="shared" si="8"/>
        <v>0</v>
      </c>
      <c r="AC50" s="15">
        <f t="shared" si="10"/>
        <v>0</v>
      </c>
      <c r="AD50" s="15">
        <f>AVERAGE(10,10,10,10)</f>
        <v>10</v>
      </c>
      <c r="AE50" s="15">
        <f>AVERAGE(15,15,15,15)</f>
        <v>15</v>
      </c>
      <c r="AF50" s="15">
        <f>AVERAGE(10,10,10,10)</f>
        <v>10</v>
      </c>
      <c r="AG50" s="15">
        <v>53.409090909090899</v>
      </c>
      <c r="AH50" s="15">
        <v>2.97058823529412</v>
      </c>
      <c r="AI50" s="15">
        <v>594</v>
      </c>
      <c r="AJ50" s="15">
        <v>8.7142857142857206</v>
      </c>
      <c r="AK50" s="15">
        <v>10.3333333333333</v>
      </c>
      <c r="AL50" s="17"/>
    </row>
    <row r="51" spans="1:38" ht="14.25" customHeight="1" x14ac:dyDescent="0.25">
      <c r="A51" s="6" t="s">
        <v>175</v>
      </c>
      <c r="B51" s="15"/>
      <c r="C51" s="15"/>
      <c r="D51" s="15"/>
      <c r="E51" s="19">
        <v>128.80000000000001</v>
      </c>
      <c r="F51" s="10">
        <v>2</v>
      </c>
      <c r="G51" s="10">
        <v>4.8099999999999996</v>
      </c>
      <c r="H51" s="15"/>
      <c r="I51" s="15"/>
      <c r="J51" s="21">
        <f>1/(AVERAGE(6.07,5.56,7.08))</f>
        <v>0.16034206306787813</v>
      </c>
      <c r="K51" s="15">
        <f>AVERAGE(2,1)</f>
        <v>1.5</v>
      </c>
      <c r="L51" s="15">
        <v>15</v>
      </c>
      <c r="M51" s="21">
        <f>AVERAGE(7,15,5)</f>
        <v>9</v>
      </c>
      <c r="N51" s="15">
        <f>AVERAGE(3,3,3,3)</f>
        <v>3</v>
      </c>
      <c r="O51" s="20">
        <v>7.5</v>
      </c>
      <c r="P51" s="15">
        <f t="shared" si="22"/>
        <v>100</v>
      </c>
      <c r="Q51" s="15">
        <f t="shared" si="23"/>
        <v>0</v>
      </c>
      <c r="R51" s="15">
        <f t="shared" si="21"/>
        <v>0</v>
      </c>
      <c r="S51" s="15">
        <f t="shared" si="17"/>
        <v>0</v>
      </c>
      <c r="T51" s="15">
        <f t="shared" si="17"/>
        <v>0</v>
      </c>
      <c r="U51" s="15">
        <f t="shared" si="19"/>
        <v>0</v>
      </c>
      <c r="V51" s="15">
        <f t="shared" si="18"/>
        <v>0</v>
      </c>
      <c r="W51" s="15">
        <f>AVERAGE(5,5,5,5)</f>
        <v>5</v>
      </c>
      <c r="X51" s="15">
        <f>AVERAGE(5,5,5,5)</f>
        <v>5</v>
      </c>
      <c r="Y51" s="15">
        <f>AVERAGE(15,15,15,15)</f>
        <v>15</v>
      </c>
      <c r="Z51" s="15">
        <f>AVERAGE(50,50,50,50)</f>
        <v>50</v>
      </c>
      <c r="AA51" s="15">
        <f>AVERAGE(5,5,5,5)</f>
        <v>5</v>
      </c>
      <c r="AB51" s="15">
        <f t="shared" si="8"/>
        <v>0</v>
      </c>
      <c r="AC51" s="15">
        <f t="shared" si="10"/>
        <v>0</v>
      </c>
      <c r="AD51" s="15">
        <f>AVERAGE(10,10,10,10)</f>
        <v>10</v>
      </c>
      <c r="AE51" s="15">
        <f>AVERAGE(20,20,20,20)</f>
        <v>20</v>
      </c>
      <c r="AF51" s="15">
        <f>AVERAGE(25,25,25,25)</f>
        <v>25</v>
      </c>
      <c r="AG51" s="15"/>
      <c r="AH51" s="15"/>
      <c r="AI51" s="15"/>
      <c r="AJ51" s="15"/>
      <c r="AK51" s="15"/>
      <c r="AL51" s="15"/>
    </row>
    <row r="52" spans="1:38" ht="14.25" customHeight="1" x14ac:dyDescent="0.25">
      <c r="A52" s="6" t="s">
        <v>177</v>
      </c>
      <c r="B52" s="15"/>
      <c r="C52" s="15"/>
      <c r="D52" s="15"/>
      <c r="E52" s="19">
        <v>137.9</v>
      </c>
      <c r="F52" s="10">
        <v>3</v>
      </c>
      <c r="G52" s="10">
        <v>4.87</v>
      </c>
      <c r="H52" s="15"/>
      <c r="I52" s="15"/>
      <c r="J52" s="21">
        <f>1/(AVERAGE(22.88,24.4,28.58))</f>
        <v>3.9546533087266016E-2</v>
      </c>
      <c r="K52" s="15">
        <f>AVERAGE(2,1)</f>
        <v>1.5</v>
      </c>
      <c r="L52" s="15">
        <v>17</v>
      </c>
      <c r="M52" s="21">
        <f>AVERAGE(7,17,15)</f>
        <v>13</v>
      </c>
      <c r="N52" s="15">
        <f>AVERAGE(8,8,8,8)</f>
        <v>8</v>
      </c>
      <c r="O52" s="20">
        <v>4.3499999999999996</v>
      </c>
      <c r="P52" s="15">
        <f t="shared" si="22"/>
        <v>100</v>
      </c>
      <c r="Q52" s="15">
        <f t="shared" si="23"/>
        <v>0</v>
      </c>
      <c r="R52" s="15">
        <f t="shared" si="21"/>
        <v>0</v>
      </c>
      <c r="S52" s="15">
        <f t="shared" si="17"/>
        <v>0</v>
      </c>
      <c r="T52" s="15">
        <f t="shared" si="17"/>
        <v>0</v>
      </c>
      <c r="U52" s="15">
        <f t="shared" si="19"/>
        <v>0</v>
      </c>
      <c r="V52" s="15">
        <f t="shared" si="18"/>
        <v>0</v>
      </c>
      <c r="W52" s="15">
        <f>AVERAGE(10,10,10,10)</f>
        <v>10</v>
      </c>
      <c r="X52" s="15">
        <f>AVERAGE(5,5,5,5)</f>
        <v>5</v>
      </c>
      <c r="Y52" s="15">
        <f>AVERAGE(5,5,5,5)</f>
        <v>5</v>
      </c>
      <c r="Z52" s="15">
        <f>AVERAGE(40,40,40,40)</f>
        <v>40</v>
      </c>
      <c r="AA52" s="15">
        <f>AVERAGE(5,5,5,5)</f>
        <v>5</v>
      </c>
      <c r="AB52" s="15">
        <f t="shared" si="8"/>
        <v>0</v>
      </c>
      <c r="AC52" s="15">
        <f t="shared" si="10"/>
        <v>0</v>
      </c>
      <c r="AD52" s="15">
        <f>AVERAGE(5,5,5,5)</f>
        <v>5</v>
      </c>
      <c r="AE52" s="15">
        <f>AVERAGE(10,10,10,10)</f>
        <v>10</v>
      </c>
      <c r="AF52" s="15">
        <f>AVERAGE(10,10,10,10)</f>
        <v>10</v>
      </c>
      <c r="AG52" s="15"/>
      <c r="AH52" s="15"/>
      <c r="AI52" s="15"/>
      <c r="AJ52" s="15"/>
      <c r="AK52" s="15"/>
      <c r="AL52" s="15"/>
    </row>
    <row r="53" spans="1:38" ht="14.25" customHeight="1" x14ac:dyDescent="0.25">
      <c r="A53" s="6" t="s">
        <v>178</v>
      </c>
      <c r="B53" s="15"/>
      <c r="C53" s="15"/>
      <c r="D53" s="15"/>
      <c r="E53" s="19">
        <v>119.2</v>
      </c>
      <c r="F53" s="10">
        <v>3</v>
      </c>
      <c r="G53" s="10">
        <v>4.72</v>
      </c>
      <c r="H53" s="15"/>
      <c r="I53" s="15"/>
      <c r="J53" s="21">
        <f>1/(AVERAGE(5.78,6.25,7.38,6.21,5.37))</f>
        <v>0.16134236850596967</v>
      </c>
      <c r="K53" s="15">
        <f>AVERAGE(3,1)</f>
        <v>2</v>
      </c>
      <c r="L53" s="15">
        <v>13</v>
      </c>
      <c r="M53" s="21">
        <f>AVERAGE(12,13,17)</f>
        <v>14</v>
      </c>
      <c r="N53" s="15">
        <f>AVERAGE(12,12,12,12)</f>
        <v>12</v>
      </c>
      <c r="O53" s="20">
        <v>14.14</v>
      </c>
      <c r="P53" s="15">
        <f t="shared" si="22"/>
        <v>100</v>
      </c>
      <c r="Q53" s="15">
        <f t="shared" si="23"/>
        <v>0</v>
      </c>
      <c r="R53" s="15">
        <f t="shared" si="21"/>
        <v>0</v>
      </c>
      <c r="S53" s="15">
        <f t="shared" si="17"/>
        <v>0</v>
      </c>
      <c r="T53" s="15">
        <f t="shared" si="17"/>
        <v>0</v>
      </c>
      <c r="U53" s="15">
        <f t="shared" si="19"/>
        <v>0</v>
      </c>
      <c r="V53" s="15">
        <f t="shared" si="18"/>
        <v>0</v>
      </c>
      <c r="W53" s="15">
        <f>AVERAGE(5,5,5,5)</f>
        <v>5</v>
      </c>
      <c r="X53" s="15">
        <f t="shared" ref="X53:Y55" si="24">AVERAGE(10,10,10,10)</f>
        <v>10</v>
      </c>
      <c r="Y53" s="15">
        <f t="shared" si="24"/>
        <v>10</v>
      </c>
      <c r="Z53" s="15">
        <f>AVERAGE(50,50,50,50)</f>
        <v>50</v>
      </c>
      <c r="AA53" s="15">
        <f>AVERAGE(5,5,5,5)</f>
        <v>5</v>
      </c>
      <c r="AB53" s="15">
        <f t="shared" si="8"/>
        <v>0</v>
      </c>
      <c r="AC53" s="15">
        <f t="shared" si="10"/>
        <v>0</v>
      </c>
      <c r="AD53" s="15">
        <f>AVERAGE(15,15,15,15)</f>
        <v>15</v>
      </c>
      <c r="AE53" s="15">
        <f>AVERAGE(10,10,10,10)</f>
        <v>10</v>
      </c>
      <c r="AF53" s="15">
        <f>AVERAGE(20,20,20,20)</f>
        <v>20</v>
      </c>
      <c r="AG53" s="15"/>
      <c r="AH53" s="15"/>
      <c r="AI53" s="15"/>
      <c r="AJ53" s="15"/>
      <c r="AK53" s="15"/>
      <c r="AL53" s="15"/>
    </row>
    <row r="54" spans="1:38" ht="14.25" customHeight="1" x14ac:dyDescent="0.25">
      <c r="A54" s="6" t="s">
        <v>179</v>
      </c>
      <c r="B54" s="15"/>
      <c r="C54" s="15"/>
      <c r="D54" s="15"/>
      <c r="E54" s="19">
        <v>142.80000000000001</v>
      </c>
      <c r="F54" s="10">
        <v>4</v>
      </c>
      <c r="G54" s="10">
        <v>4.58</v>
      </c>
      <c r="H54" s="15"/>
      <c r="I54" s="15"/>
      <c r="J54" s="21">
        <f>1/(AVERAGE(13.23,13.97,10.14,15.17,13.92))</f>
        <v>7.5267198554869783E-2</v>
      </c>
      <c r="K54" s="15">
        <f>AVERAGE(3,3)</f>
        <v>3</v>
      </c>
      <c r="L54" s="15">
        <v>40</v>
      </c>
      <c r="M54" s="21">
        <f>AVERAGE(20,40,15)</f>
        <v>25</v>
      </c>
      <c r="N54" s="15">
        <f>AVERAGE(9,9,9,9)</f>
        <v>9</v>
      </c>
      <c r="O54" s="20">
        <v>4.9000000000000004</v>
      </c>
      <c r="P54" s="15">
        <f t="shared" si="22"/>
        <v>100</v>
      </c>
      <c r="Q54" s="15">
        <f t="shared" si="23"/>
        <v>0</v>
      </c>
      <c r="R54" s="15">
        <f t="shared" si="21"/>
        <v>0</v>
      </c>
      <c r="S54" s="15">
        <f t="shared" si="17"/>
        <v>0</v>
      </c>
      <c r="T54" s="15">
        <f t="shared" si="17"/>
        <v>0</v>
      </c>
      <c r="U54" s="15">
        <f t="shared" si="19"/>
        <v>0</v>
      </c>
      <c r="V54" s="15">
        <f t="shared" si="18"/>
        <v>0</v>
      </c>
      <c r="W54" s="15">
        <f t="shared" ref="W54:W67" si="25">AVERAGE(0,0,0,0)</f>
        <v>0</v>
      </c>
      <c r="X54" s="15">
        <f t="shared" si="24"/>
        <v>10</v>
      </c>
      <c r="Y54" s="15">
        <f t="shared" si="24"/>
        <v>10</v>
      </c>
      <c r="Z54" s="15">
        <f>AVERAGE(50,50,50,50)</f>
        <v>50</v>
      </c>
      <c r="AA54" s="15">
        <f>AVERAGE(25,25,25,25)</f>
        <v>25</v>
      </c>
      <c r="AB54" s="15">
        <f t="shared" si="8"/>
        <v>0</v>
      </c>
      <c r="AC54" s="15">
        <f t="shared" si="10"/>
        <v>0</v>
      </c>
      <c r="AD54" s="15">
        <f>AVERAGE(15,15,15,15)</f>
        <v>15</v>
      </c>
      <c r="AE54" s="15">
        <f>AVERAGE(10,10,10,10)</f>
        <v>10</v>
      </c>
      <c r="AF54" s="15">
        <f>AVERAGE(10,10,10,10)</f>
        <v>10</v>
      </c>
      <c r="AG54" s="15"/>
      <c r="AH54" s="15"/>
      <c r="AI54" s="15"/>
      <c r="AJ54" s="15"/>
      <c r="AK54" s="15"/>
      <c r="AL54" s="15"/>
    </row>
    <row r="55" spans="1:38" ht="14.25" customHeight="1" x14ac:dyDescent="0.25">
      <c r="A55" s="6" t="s">
        <v>180</v>
      </c>
      <c r="B55" s="15"/>
      <c r="C55" s="15"/>
      <c r="D55" s="15"/>
      <c r="E55" s="19">
        <v>148.1</v>
      </c>
      <c r="F55" s="10">
        <v>4</v>
      </c>
      <c r="G55" s="10">
        <v>4.55</v>
      </c>
      <c r="H55" s="15"/>
      <c r="I55" s="15"/>
      <c r="J55" s="21">
        <f>1/(AVERAGE(10.14,10.28,10.79,11.06))</f>
        <v>9.4629761059853323E-2</v>
      </c>
      <c r="K55" s="15">
        <f>AVERAGE(3,3)</f>
        <v>3</v>
      </c>
      <c r="L55" s="15">
        <v>38</v>
      </c>
      <c r="M55" s="21">
        <f>AVERAGE(34,38,23)</f>
        <v>31.666666666666668</v>
      </c>
      <c r="N55" s="15">
        <f>AVERAGE(23,23,23,23)</f>
        <v>23</v>
      </c>
      <c r="O55" s="20">
        <v>9.1999999999999993</v>
      </c>
      <c r="P55" s="15">
        <f t="shared" si="22"/>
        <v>100</v>
      </c>
      <c r="Q55" s="15">
        <f t="shared" si="23"/>
        <v>0</v>
      </c>
      <c r="R55" s="15">
        <f t="shared" si="21"/>
        <v>0</v>
      </c>
      <c r="S55" s="15">
        <f t="shared" si="17"/>
        <v>0</v>
      </c>
      <c r="T55" s="15">
        <f t="shared" si="17"/>
        <v>0</v>
      </c>
      <c r="U55" s="15">
        <f t="shared" si="19"/>
        <v>0</v>
      </c>
      <c r="V55" s="15">
        <f t="shared" si="18"/>
        <v>0</v>
      </c>
      <c r="W55" s="15">
        <f t="shared" si="25"/>
        <v>0</v>
      </c>
      <c r="X55" s="15">
        <f t="shared" si="24"/>
        <v>10</v>
      </c>
      <c r="Y55" s="15">
        <f t="shared" si="24"/>
        <v>10</v>
      </c>
      <c r="Z55" s="15">
        <f>AVERAGE(50,50,50,50)</f>
        <v>50</v>
      </c>
      <c r="AA55" s="15">
        <f>AVERAGE(25,25,25,25)</f>
        <v>25</v>
      </c>
      <c r="AB55" s="15">
        <f t="shared" si="8"/>
        <v>0</v>
      </c>
      <c r="AC55" s="15">
        <f t="shared" si="10"/>
        <v>0</v>
      </c>
      <c r="AD55" s="15">
        <f>AVERAGE(15,15,15,15)</f>
        <v>15</v>
      </c>
      <c r="AE55" s="15">
        <f>AVERAGE(10,10,10,10)</f>
        <v>10</v>
      </c>
      <c r="AF55" s="15">
        <f>AVERAGE(10,10,10,10)</f>
        <v>10</v>
      </c>
      <c r="AG55" s="15"/>
      <c r="AH55" s="15"/>
      <c r="AI55" s="15"/>
      <c r="AJ55" s="15"/>
      <c r="AK55" s="15"/>
      <c r="AL55" s="15"/>
    </row>
    <row r="56" spans="1:38" ht="14.25" customHeight="1" x14ac:dyDescent="0.25">
      <c r="A56" s="6" t="s">
        <v>181</v>
      </c>
      <c r="B56" s="15"/>
      <c r="C56" s="15"/>
      <c r="D56" s="15"/>
      <c r="E56" s="19">
        <v>152.19999999999999</v>
      </c>
      <c r="F56" s="10">
        <v>3</v>
      </c>
      <c r="G56" s="10">
        <v>4.7699999999999996</v>
      </c>
      <c r="H56" s="15"/>
      <c r="I56" s="15"/>
      <c r="J56" s="21">
        <f>1/(AVERAGE(4.15,3.61,6.28,3.11,3.67))</f>
        <v>0.24015369836695488</v>
      </c>
      <c r="K56" s="15">
        <f>AVERAGE(3,2)</f>
        <v>2.5</v>
      </c>
      <c r="L56" s="15">
        <v>27</v>
      </c>
      <c r="M56" s="21">
        <f>AVERAGE(10,27,12)</f>
        <v>16.333333333333332</v>
      </c>
      <c r="N56" s="15">
        <f>AVERAGE(8,8,8,8)</f>
        <v>8</v>
      </c>
      <c r="O56" s="20">
        <v>0.66</v>
      </c>
      <c r="P56" s="15">
        <f t="shared" si="22"/>
        <v>100</v>
      </c>
      <c r="Q56" s="15">
        <f t="shared" si="23"/>
        <v>0</v>
      </c>
      <c r="R56" s="15">
        <f t="shared" si="21"/>
        <v>0</v>
      </c>
      <c r="S56" s="15">
        <f t="shared" si="17"/>
        <v>0</v>
      </c>
      <c r="T56" s="15">
        <f t="shared" si="17"/>
        <v>0</v>
      </c>
      <c r="U56" s="15">
        <f t="shared" si="19"/>
        <v>0</v>
      </c>
      <c r="V56" s="15">
        <f t="shared" si="18"/>
        <v>0</v>
      </c>
      <c r="W56" s="15">
        <f t="shared" si="25"/>
        <v>0</v>
      </c>
      <c r="X56" s="15">
        <f>AVERAGE(15,15,15,15)</f>
        <v>15</v>
      </c>
      <c r="Y56" s="15">
        <f>AVERAGE(5,5,5,5)</f>
        <v>5</v>
      </c>
      <c r="Z56" s="15">
        <f>AVERAGE(80,80,80,80)</f>
        <v>80</v>
      </c>
      <c r="AA56" s="15">
        <f>AVERAGE(5,5,5,5)</f>
        <v>5</v>
      </c>
      <c r="AB56" s="15">
        <f t="shared" si="8"/>
        <v>0</v>
      </c>
      <c r="AC56" s="15">
        <f t="shared" si="10"/>
        <v>0</v>
      </c>
      <c r="AD56" s="15">
        <f>AVERAGE(10,10,10,10)</f>
        <v>10</v>
      </c>
      <c r="AE56" s="15">
        <f>AVERAGE(10,10,10,10)</f>
        <v>10</v>
      </c>
      <c r="AF56" s="15">
        <f>AVERAGE(10,10,10,10)</f>
        <v>10</v>
      </c>
      <c r="AG56" s="15"/>
      <c r="AH56" s="15"/>
      <c r="AI56" s="15"/>
      <c r="AJ56" s="15"/>
      <c r="AK56" s="15"/>
      <c r="AL56" s="15"/>
    </row>
    <row r="57" spans="1:38" ht="14.25" customHeight="1" x14ac:dyDescent="0.25">
      <c r="A57" s="6" t="s">
        <v>182</v>
      </c>
      <c r="B57" s="15"/>
      <c r="C57" s="15"/>
      <c r="D57" s="15"/>
      <c r="E57" s="19">
        <v>154.4</v>
      </c>
      <c r="F57" s="10">
        <v>7</v>
      </c>
      <c r="G57" s="10">
        <v>5.08</v>
      </c>
      <c r="H57" s="15"/>
      <c r="I57" s="15"/>
      <c r="J57" s="21">
        <f>1/(AVERAGE(5.61,5.49,5.33,5.16,5.41,5.59,5.16))</f>
        <v>0.18543046357615892</v>
      </c>
      <c r="K57" s="15">
        <f>AVERAGE(3,2)</f>
        <v>2.5</v>
      </c>
      <c r="L57" s="15">
        <v>39</v>
      </c>
      <c r="M57" s="21">
        <f>AVERAGE(9,39,18)</f>
        <v>22</v>
      </c>
      <c r="N57" s="15">
        <f>AVERAGE(7,7,7,7)</f>
        <v>7</v>
      </c>
      <c r="O57" s="20">
        <v>2.1</v>
      </c>
      <c r="P57" s="15">
        <f t="shared" si="22"/>
        <v>100</v>
      </c>
      <c r="Q57" s="15">
        <f t="shared" si="23"/>
        <v>0</v>
      </c>
      <c r="R57" s="15">
        <f t="shared" si="21"/>
        <v>0</v>
      </c>
      <c r="S57" s="15">
        <f t="shared" si="17"/>
        <v>0</v>
      </c>
      <c r="T57" s="15">
        <f t="shared" si="17"/>
        <v>0</v>
      </c>
      <c r="U57" s="15">
        <f t="shared" si="19"/>
        <v>0</v>
      </c>
      <c r="V57" s="15">
        <f t="shared" si="18"/>
        <v>0</v>
      </c>
      <c r="W57" s="15">
        <f t="shared" si="25"/>
        <v>0</v>
      </c>
      <c r="X57" s="15">
        <f>AVERAGE(15,15,15,15)</f>
        <v>15</v>
      </c>
      <c r="Y57" s="15">
        <f>AVERAGE(10,10,10,10)</f>
        <v>10</v>
      </c>
      <c r="Z57" s="15">
        <f>AVERAGE(70,70,70,70)</f>
        <v>70</v>
      </c>
      <c r="AA57" s="15">
        <f>AVERAGE(10,10,10,10)</f>
        <v>10</v>
      </c>
      <c r="AB57" s="15">
        <f t="shared" si="8"/>
        <v>0</v>
      </c>
      <c r="AC57" s="15">
        <f t="shared" si="10"/>
        <v>0</v>
      </c>
      <c r="AD57" s="15">
        <f>AVERAGE(15,15,15,15)</f>
        <v>15</v>
      </c>
      <c r="AE57" s="15">
        <f>AVERAGE(15,15,15,15)</f>
        <v>15</v>
      </c>
      <c r="AF57" s="15">
        <f>AVERAGE(15,15,15,15)</f>
        <v>15</v>
      </c>
      <c r="AG57" s="15"/>
      <c r="AH57" s="15"/>
      <c r="AI57" s="15"/>
      <c r="AJ57" s="15"/>
      <c r="AK57" s="15"/>
      <c r="AL57" s="15"/>
    </row>
    <row r="58" spans="1:38" ht="14.25" customHeight="1" x14ac:dyDescent="0.25">
      <c r="A58" s="6" t="s">
        <v>183</v>
      </c>
      <c r="B58" s="15"/>
      <c r="C58" s="15"/>
      <c r="D58" s="15"/>
      <c r="E58" s="19">
        <v>152.6</v>
      </c>
      <c r="F58" s="10">
        <v>3</v>
      </c>
      <c r="G58" s="10">
        <v>4.53</v>
      </c>
      <c r="H58" s="15"/>
      <c r="I58" s="15"/>
      <c r="J58" s="21">
        <f>1/(AVERAGE(3.75,5.98,5.19,4.86,4.5,5.6,3.99))</f>
        <v>0.20667257159728372</v>
      </c>
      <c r="K58" s="15">
        <f>AVERAGE(3,2)</f>
        <v>2.5</v>
      </c>
      <c r="L58" s="15">
        <v>22</v>
      </c>
      <c r="M58" s="21">
        <f>AVERAGE(25,22,16)</f>
        <v>21</v>
      </c>
      <c r="N58" s="15">
        <f>AVERAGE(7,7,7,7)</f>
        <v>7</v>
      </c>
      <c r="O58" s="20">
        <v>1.4</v>
      </c>
      <c r="P58" s="15">
        <f t="shared" si="22"/>
        <v>100</v>
      </c>
      <c r="Q58" s="15">
        <f t="shared" si="23"/>
        <v>0</v>
      </c>
      <c r="R58" s="15">
        <f t="shared" si="21"/>
        <v>0</v>
      </c>
      <c r="S58" s="15">
        <f t="shared" si="17"/>
        <v>0</v>
      </c>
      <c r="T58" s="15">
        <f t="shared" si="17"/>
        <v>0</v>
      </c>
      <c r="U58" s="15">
        <f t="shared" si="19"/>
        <v>0</v>
      </c>
      <c r="V58" s="15">
        <f t="shared" si="18"/>
        <v>0</v>
      </c>
      <c r="W58" s="15">
        <f t="shared" si="25"/>
        <v>0</v>
      </c>
      <c r="X58" s="15">
        <f>AVERAGE(0,0,0,0)</f>
        <v>0</v>
      </c>
      <c r="Y58" s="15">
        <f>AVERAGE(10,10,10,10)</f>
        <v>10</v>
      </c>
      <c r="Z58" s="15">
        <f>AVERAGE(60,60,60,60)</f>
        <v>60</v>
      </c>
      <c r="AA58" s="15">
        <f>AVERAGE(10,10,10,10)</f>
        <v>10</v>
      </c>
      <c r="AB58" s="15">
        <f t="shared" si="8"/>
        <v>0</v>
      </c>
      <c r="AC58" s="15">
        <f t="shared" si="10"/>
        <v>0</v>
      </c>
      <c r="AD58" s="15">
        <f>AVERAGE(10,10,10,10)</f>
        <v>10</v>
      </c>
      <c r="AE58" s="15">
        <f>AVERAGE(10,10,10,10)</f>
        <v>10</v>
      </c>
      <c r="AF58" s="15">
        <f>AVERAGE(10,10,10,10)</f>
        <v>10</v>
      </c>
      <c r="AG58" s="15"/>
      <c r="AH58" s="15"/>
      <c r="AI58" s="15"/>
      <c r="AJ58" s="15"/>
      <c r="AK58" s="15"/>
      <c r="AL58" s="15"/>
    </row>
    <row r="59" spans="1:38" ht="14.25" customHeight="1" x14ac:dyDescent="0.25">
      <c r="A59" s="6" t="s">
        <v>184</v>
      </c>
      <c r="B59" s="15"/>
      <c r="C59" s="15"/>
      <c r="D59" s="15"/>
      <c r="E59" s="19">
        <v>130.80000000000001</v>
      </c>
      <c r="F59" s="10">
        <v>6</v>
      </c>
      <c r="G59" s="10">
        <v>4.74</v>
      </c>
      <c r="H59" s="15"/>
      <c r="I59" s="15"/>
      <c r="J59" s="21">
        <f>1/(AVERAGE(5.69,5.59,5.28,4.99,4.2,4.41,4.41))</f>
        <v>0.20248770610355796</v>
      </c>
      <c r="K59" s="15">
        <f>AVERAGE(3,3)</f>
        <v>3</v>
      </c>
      <c r="L59" s="15">
        <v>47</v>
      </c>
      <c r="M59" s="21">
        <f>AVERAGE(23,47,53)</f>
        <v>41</v>
      </c>
      <c r="N59" s="15">
        <f>AVERAGE(13,13,13,13)</f>
        <v>13</v>
      </c>
      <c r="O59" s="20">
        <v>3.2</v>
      </c>
      <c r="P59" s="15">
        <f t="shared" si="22"/>
        <v>100</v>
      </c>
      <c r="Q59" s="15">
        <f t="shared" si="23"/>
        <v>0</v>
      </c>
      <c r="R59" s="15">
        <f t="shared" si="21"/>
        <v>0</v>
      </c>
      <c r="S59" s="15">
        <f t="shared" si="17"/>
        <v>0</v>
      </c>
      <c r="T59" s="15">
        <f t="shared" si="17"/>
        <v>0</v>
      </c>
      <c r="U59" s="15">
        <f t="shared" si="19"/>
        <v>0</v>
      </c>
      <c r="V59" s="15">
        <f t="shared" si="18"/>
        <v>0</v>
      </c>
      <c r="W59" s="15">
        <f t="shared" si="25"/>
        <v>0</v>
      </c>
      <c r="X59" s="15">
        <f>AVERAGE(15,15,15,15)</f>
        <v>15</v>
      </c>
      <c r="Y59" s="15">
        <f>AVERAGE(5,5,5,5)</f>
        <v>5</v>
      </c>
      <c r="Z59" s="15">
        <f>AVERAGE(75,75,75,75)</f>
        <v>75</v>
      </c>
      <c r="AA59" s="15">
        <f>AVERAGE(15,15,15,15)</f>
        <v>15</v>
      </c>
      <c r="AB59" s="15">
        <f t="shared" si="8"/>
        <v>0</v>
      </c>
      <c r="AC59" s="15">
        <f t="shared" si="10"/>
        <v>0</v>
      </c>
      <c r="AD59" s="15">
        <f>AVERAGE(20,20,20,20)</f>
        <v>20</v>
      </c>
      <c r="AE59" s="15">
        <f>AVERAGE(15,15,15,15)</f>
        <v>15</v>
      </c>
      <c r="AF59" s="15">
        <f>AVERAGE(10,10,10,10)</f>
        <v>10</v>
      </c>
      <c r="AG59" s="15"/>
      <c r="AH59" s="15"/>
      <c r="AI59" s="15"/>
      <c r="AJ59" s="15"/>
      <c r="AK59" s="15"/>
      <c r="AL59" s="15"/>
    </row>
    <row r="60" spans="1:38" ht="14.25" customHeight="1" x14ac:dyDescent="0.25">
      <c r="A60" s="6" t="s">
        <v>185</v>
      </c>
      <c r="B60" s="15"/>
      <c r="C60" s="15"/>
      <c r="D60" s="15"/>
      <c r="E60" s="19">
        <v>148.80000000000001</v>
      </c>
      <c r="F60" s="10">
        <v>4</v>
      </c>
      <c r="G60" s="10">
        <v>4.99</v>
      </c>
      <c r="H60" s="15"/>
      <c r="I60" s="15"/>
      <c r="J60" s="21">
        <v>0</v>
      </c>
      <c r="K60" s="15">
        <f>AVERAGE(1,1)</f>
        <v>1</v>
      </c>
      <c r="L60" s="19">
        <v>60</v>
      </c>
      <c r="M60" s="21">
        <f>AVERAGE(70,60,18)</f>
        <v>49.333333333333336</v>
      </c>
      <c r="N60" s="15">
        <f>AVERAGE(58,58,58,58)</f>
        <v>58</v>
      </c>
      <c r="O60" s="20">
        <v>16</v>
      </c>
      <c r="P60" s="15">
        <f t="shared" si="22"/>
        <v>100</v>
      </c>
      <c r="Q60" s="15">
        <f t="shared" si="23"/>
        <v>0</v>
      </c>
      <c r="R60" s="15">
        <f t="shared" si="21"/>
        <v>0</v>
      </c>
      <c r="S60" s="15">
        <f t="shared" si="17"/>
        <v>0</v>
      </c>
      <c r="T60" s="15">
        <f t="shared" si="17"/>
        <v>0</v>
      </c>
      <c r="U60" s="15">
        <f t="shared" si="19"/>
        <v>0</v>
      </c>
      <c r="V60" s="15">
        <f t="shared" si="18"/>
        <v>0</v>
      </c>
      <c r="W60" s="15">
        <f t="shared" si="25"/>
        <v>0</v>
      </c>
      <c r="X60" s="15">
        <f>AVERAGE(15,15,15,15)</f>
        <v>15</v>
      </c>
      <c r="Y60" s="15">
        <f>AVERAGE(10,10,10,10)</f>
        <v>10</v>
      </c>
      <c r="Z60" s="15">
        <f>AVERAGE(25,25,25,25)</f>
        <v>25</v>
      </c>
      <c r="AA60" s="15">
        <f>AVERAGE(10,10,10,10)</f>
        <v>10</v>
      </c>
      <c r="AB60" s="15">
        <f>AVERAGE(15,15,15,15)</f>
        <v>15</v>
      </c>
      <c r="AC60" s="15">
        <f>AVERAGE(10,10,10,10)</f>
        <v>10</v>
      </c>
      <c r="AD60" s="15">
        <f>AVERAGE(10,10,10,10)</f>
        <v>10</v>
      </c>
      <c r="AE60" s="15">
        <f>AVERAGE(5,5,5,5)</f>
        <v>5</v>
      </c>
      <c r="AF60" s="15">
        <f>AVERAGE(10,10,10,10)</f>
        <v>10</v>
      </c>
      <c r="AG60" s="15"/>
      <c r="AH60" s="15"/>
      <c r="AI60" s="15"/>
      <c r="AJ60" s="15"/>
      <c r="AK60" s="15"/>
      <c r="AL60" s="15"/>
    </row>
    <row r="61" spans="1:38" ht="14.25" customHeight="1" x14ac:dyDescent="0.25">
      <c r="A61" s="6" t="s">
        <v>186</v>
      </c>
      <c r="B61" s="15"/>
      <c r="C61" s="15"/>
      <c r="D61" s="15"/>
      <c r="E61" s="2">
        <v>141.6</v>
      </c>
      <c r="F61" s="10">
        <v>5</v>
      </c>
      <c r="G61" s="10">
        <v>5.21</v>
      </c>
      <c r="H61" s="15"/>
      <c r="I61" s="15"/>
      <c r="J61" s="21">
        <v>0</v>
      </c>
      <c r="K61" s="15">
        <f>AVERAGE(1,1)</f>
        <v>1</v>
      </c>
      <c r="L61" s="15">
        <v>60</v>
      </c>
      <c r="M61" s="21">
        <f>AVERAGE(70,60,18)</f>
        <v>49.333333333333336</v>
      </c>
      <c r="N61" s="15">
        <f>AVERAGE(58,58,58,58)</f>
        <v>58</v>
      </c>
      <c r="O61" s="20">
        <v>16</v>
      </c>
      <c r="P61" s="15">
        <f t="shared" si="22"/>
        <v>100</v>
      </c>
      <c r="Q61" s="15">
        <f t="shared" si="23"/>
        <v>0</v>
      </c>
      <c r="R61" s="15">
        <f t="shared" si="21"/>
        <v>0</v>
      </c>
      <c r="S61" s="15">
        <f t="shared" si="17"/>
        <v>0</v>
      </c>
      <c r="T61" s="15">
        <f t="shared" si="17"/>
        <v>0</v>
      </c>
      <c r="U61" s="15">
        <f t="shared" si="19"/>
        <v>0</v>
      </c>
      <c r="V61" s="15">
        <f t="shared" si="18"/>
        <v>0</v>
      </c>
      <c r="W61" s="15">
        <f t="shared" si="25"/>
        <v>0</v>
      </c>
      <c r="X61" s="15">
        <f>AVERAGE(15,15,15,15)</f>
        <v>15</v>
      </c>
      <c r="Y61" s="15">
        <f>AVERAGE(10,10,10,10)</f>
        <v>10</v>
      </c>
      <c r="Z61" s="15">
        <f>AVERAGE(25,25,25,25)</f>
        <v>25</v>
      </c>
      <c r="AA61" s="15">
        <f>AVERAGE(10,10,10,10)</f>
        <v>10</v>
      </c>
      <c r="AB61" s="15">
        <f>AVERAGE(15,15,15,15)</f>
        <v>15</v>
      </c>
      <c r="AC61" s="15">
        <f>AVERAGE(10,10,10,10)</f>
        <v>10</v>
      </c>
      <c r="AD61" s="15">
        <f>AVERAGE(10,10,10,10)</f>
        <v>10</v>
      </c>
      <c r="AE61" s="15">
        <f>AVERAGE(5,5,5,5)</f>
        <v>5</v>
      </c>
      <c r="AF61" s="15">
        <f>AVERAGE(10,10,10,10)</f>
        <v>10</v>
      </c>
      <c r="AG61" s="15"/>
      <c r="AH61" s="15"/>
      <c r="AI61" s="15"/>
      <c r="AJ61" s="15"/>
      <c r="AK61" s="15"/>
      <c r="AL61" s="15"/>
    </row>
    <row r="62" spans="1:38" ht="14.25" customHeight="1" x14ac:dyDescent="0.25">
      <c r="A62" s="6" t="s">
        <v>187</v>
      </c>
      <c r="B62" s="15"/>
      <c r="C62" s="15"/>
      <c r="D62" s="15"/>
      <c r="E62" s="2">
        <v>152.69999999999999</v>
      </c>
      <c r="F62" s="10">
        <v>6</v>
      </c>
      <c r="G62" s="10">
        <v>4.97</v>
      </c>
      <c r="H62" s="15"/>
      <c r="I62" s="15"/>
      <c r="J62" s="21">
        <f>1/(AVERAGE(8.93,13.89,11.82,9.91,7.28,7.36,8.47))</f>
        <v>0.10345846881466154</v>
      </c>
      <c r="K62" s="15">
        <f>AVERAGE(1,1)</f>
        <v>1</v>
      </c>
      <c r="L62" s="15">
        <v>35</v>
      </c>
      <c r="M62" s="21">
        <f>AVERAGE(26,35,24)</f>
        <v>28.333333333333332</v>
      </c>
      <c r="N62" s="15">
        <f>AVERAGE(16,16,16,16)</f>
        <v>16</v>
      </c>
      <c r="O62" s="20">
        <v>2.36</v>
      </c>
      <c r="P62" s="15">
        <f>AVERAGE(5,5,5,5)</f>
        <v>5</v>
      </c>
      <c r="Q62" s="15">
        <f>AVERAGE(95,95,95,95)</f>
        <v>95</v>
      </c>
      <c r="R62" s="15">
        <f t="shared" si="21"/>
        <v>0</v>
      </c>
      <c r="S62" s="15">
        <f t="shared" si="17"/>
        <v>0</v>
      </c>
      <c r="T62" s="15">
        <f t="shared" si="17"/>
        <v>0</v>
      </c>
      <c r="U62" s="15">
        <f t="shared" si="19"/>
        <v>0</v>
      </c>
      <c r="V62" s="15">
        <f t="shared" si="18"/>
        <v>0</v>
      </c>
      <c r="W62" s="15">
        <f t="shared" si="25"/>
        <v>0</v>
      </c>
      <c r="X62" s="15">
        <f>AVERAGE(15,15,15,15)</f>
        <v>15</v>
      </c>
      <c r="Y62" s="15">
        <f>AVERAGE(5,5,5,5)</f>
        <v>5</v>
      </c>
      <c r="Z62" s="15">
        <f>AVERAGE(50,50,50,50)</f>
        <v>50</v>
      </c>
      <c r="AA62" s="15">
        <f>AVERAGE(10,10,10,10)</f>
        <v>10</v>
      </c>
      <c r="AB62" s="15">
        <f t="shared" ref="AB62:AB68" si="26">AVERAGE(0,0,0,0)</f>
        <v>0</v>
      </c>
      <c r="AC62" s="15">
        <f>AVERAGE(15,15,15,15)</f>
        <v>15</v>
      </c>
      <c r="AD62" s="15">
        <f>AVERAGE(5,5,5,5)</f>
        <v>5</v>
      </c>
      <c r="AE62" s="15">
        <f>AVERAGE(0,0,0,0)</f>
        <v>0</v>
      </c>
      <c r="AF62" s="15">
        <f>AVERAGE(5,5,5,5)</f>
        <v>5</v>
      </c>
      <c r="AG62" s="15"/>
      <c r="AH62" s="15"/>
      <c r="AI62" s="15"/>
      <c r="AJ62" s="15"/>
      <c r="AK62" s="15"/>
      <c r="AL62" s="15"/>
    </row>
    <row r="63" spans="1:38" ht="14.25" customHeight="1" x14ac:dyDescent="0.25">
      <c r="A63" s="6" t="s">
        <v>188</v>
      </c>
      <c r="B63" s="15"/>
      <c r="C63" s="15"/>
      <c r="D63" s="15"/>
      <c r="E63" s="2">
        <v>139.9</v>
      </c>
      <c r="F63" s="10">
        <v>11</v>
      </c>
      <c r="G63" s="10">
        <v>5.43</v>
      </c>
      <c r="H63" s="15"/>
      <c r="I63" s="15"/>
      <c r="J63" s="21">
        <f>1/(AVERAGE(4.68,6.38,5.11,5.77,4.71,4.18,4.92,6.53))</f>
        <v>0.1892147587511826</v>
      </c>
      <c r="K63" s="15">
        <f>AVERAGE(2,1)</f>
        <v>1.5</v>
      </c>
      <c r="L63" s="15">
        <v>34</v>
      </c>
      <c r="M63" s="21">
        <f>AVERAGE(20,34,31)</f>
        <v>28.333333333333332</v>
      </c>
      <c r="N63" s="15">
        <f>AVERAGE(12,12,12,12)</f>
        <v>12</v>
      </c>
      <c r="O63" s="10">
        <v>1.9</v>
      </c>
      <c r="P63" s="15">
        <f>AVERAGE(10,10,10,10)</f>
        <v>10</v>
      </c>
      <c r="Q63" s="15">
        <f>AVERAGE(90,90,90,90)</f>
        <v>90</v>
      </c>
      <c r="R63" s="15">
        <f t="shared" si="21"/>
        <v>0</v>
      </c>
      <c r="S63" s="15">
        <f t="shared" si="17"/>
        <v>0</v>
      </c>
      <c r="T63" s="15">
        <f t="shared" si="17"/>
        <v>0</v>
      </c>
      <c r="U63" s="15">
        <f t="shared" si="19"/>
        <v>0</v>
      </c>
      <c r="V63" s="15">
        <f t="shared" si="18"/>
        <v>0</v>
      </c>
      <c r="W63" s="15">
        <f t="shared" si="25"/>
        <v>0</v>
      </c>
      <c r="X63" s="15">
        <f>AVERAGE(0,0,0,0)</f>
        <v>0</v>
      </c>
      <c r="Y63" s="15">
        <f>AVERAGE(10,10,10,10)</f>
        <v>10</v>
      </c>
      <c r="Z63" s="15">
        <f>AVERAGE(80,80,80,80)</f>
        <v>80</v>
      </c>
      <c r="AA63" s="15">
        <f>AVERAGE(10,10,10,10)</f>
        <v>10</v>
      </c>
      <c r="AB63" s="15">
        <f t="shared" si="26"/>
        <v>0</v>
      </c>
      <c r="AC63" s="15">
        <f>AVERAGE(0,0,0,0)</f>
        <v>0</v>
      </c>
      <c r="AD63" s="15">
        <f>AVERAGE(10,10,10,10)</f>
        <v>10</v>
      </c>
      <c r="AE63" s="15">
        <f>AVERAGE(5,5,5,5)</f>
        <v>5</v>
      </c>
      <c r="AF63" s="15">
        <f>AVERAGE(10,10,10,10)</f>
        <v>10</v>
      </c>
      <c r="AG63" s="15"/>
      <c r="AH63" s="15"/>
      <c r="AI63" s="15"/>
      <c r="AJ63" s="15"/>
      <c r="AK63" s="15"/>
      <c r="AL63" s="15"/>
    </row>
    <row r="64" spans="1:38" ht="14.25" customHeight="1" x14ac:dyDescent="0.25">
      <c r="A64" s="6" t="s">
        <v>189</v>
      </c>
      <c r="B64" s="15"/>
      <c r="C64" s="15"/>
      <c r="D64" s="15"/>
      <c r="E64" s="2">
        <v>120.8</v>
      </c>
      <c r="F64" s="10">
        <v>12</v>
      </c>
      <c r="G64" s="10">
        <v>5.5</v>
      </c>
      <c r="H64" s="15"/>
      <c r="I64" s="15"/>
      <c r="J64" s="21">
        <f>1/(AVERAGE(4.21,4.3,3.96,3.68,2.75,1.77,1.96,1.95))</f>
        <v>0.32546786004882022</v>
      </c>
      <c r="K64" s="15">
        <f>AVERAGE(2,1)</f>
        <v>1.5</v>
      </c>
      <c r="L64" s="15">
        <v>30</v>
      </c>
      <c r="M64" s="21">
        <f>AVERAGE(12,30,32)</f>
        <v>24.666666666666668</v>
      </c>
      <c r="N64" s="15">
        <f>AVERAGE(11,11,11,11)</f>
        <v>11</v>
      </c>
      <c r="O64" s="10">
        <v>2</v>
      </c>
      <c r="P64" s="15">
        <f>AVERAGE(5,5,5,5)</f>
        <v>5</v>
      </c>
      <c r="Q64" s="15">
        <f>AVERAGE(95,95,95,95)</f>
        <v>95</v>
      </c>
      <c r="R64" s="15">
        <f t="shared" si="21"/>
        <v>0</v>
      </c>
      <c r="S64" s="15">
        <f t="shared" si="17"/>
        <v>0</v>
      </c>
      <c r="T64" s="15">
        <f t="shared" si="17"/>
        <v>0</v>
      </c>
      <c r="U64" s="15">
        <f t="shared" si="19"/>
        <v>0</v>
      </c>
      <c r="V64" s="15">
        <f t="shared" si="18"/>
        <v>0</v>
      </c>
      <c r="W64" s="15">
        <f t="shared" si="25"/>
        <v>0</v>
      </c>
      <c r="X64" s="15">
        <f>AVERAGE(0,0,0,0)</f>
        <v>0</v>
      </c>
      <c r="Y64" s="15">
        <f>AVERAGE(5,5,5,5)</f>
        <v>5</v>
      </c>
      <c r="Z64" s="15">
        <f>AVERAGE(70,70,70,70)</f>
        <v>70</v>
      </c>
      <c r="AA64" s="15">
        <f>AVERAGE(5,5,5,5)</f>
        <v>5</v>
      </c>
      <c r="AB64" s="15">
        <f t="shared" si="26"/>
        <v>0</v>
      </c>
      <c r="AC64" s="15">
        <f>AVERAGE(0,0,0,0)</f>
        <v>0</v>
      </c>
      <c r="AD64" s="15">
        <f>AVERAGE(5,5,5,5)</f>
        <v>5</v>
      </c>
      <c r="AE64" s="15">
        <f>AVERAGE(5,5,5,5)</f>
        <v>5</v>
      </c>
      <c r="AF64" s="15">
        <f>AVERAGE(10,10,10,10)</f>
        <v>10</v>
      </c>
      <c r="AG64" s="15"/>
      <c r="AH64" s="15"/>
      <c r="AI64" s="15"/>
      <c r="AJ64" s="15"/>
      <c r="AK64" s="15"/>
      <c r="AL64" s="15"/>
    </row>
    <row r="65" spans="1:38" ht="14.25" customHeight="1" x14ac:dyDescent="0.25">
      <c r="A65" s="6" t="s">
        <v>190</v>
      </c>
      <c r="B65" s="15"/>
      <c r="C65" s="15"/>
      <c r="D65" s="15"/>
      <c r="E65" s="2">
        <v>138.30000000000001</v>
      </c>
      <c r="F65" s="10">
        <v>15</v>
      </c>
      <c r="G65" s="10">
        <v>5.32</v>
      </c>
      <c r="H65" s="15"/>
      <c r="I65" s="15"/>
      <c r="J65" s="21">
        <f>1/(AVERAGE(5.28,5.28,5.63,7.11,5.2,5.96,6.54,5.43))</f>
        <v>0.17230239069567091</v>
      </c>
      <c r="K65" s="15">
        <f>AVERAGE(2,1)</f>
        <v>1.5</v>
      </c>
      <c r="L65" s="15">
        <v>30</v>
      </c>
      <c r="M65" s="21">
        <f>AVERAGE(30,30,27)</f>
        <v>29</v>
      </c>
      <c r="N65" s="15">
        <f>AVERAGE(30,30,30,30)</f>
        <v>30</v>
      </c>
      <c r="O65" s="10">
        <v>2.5</v>
      </c>
      <c r="P65" s="15">
        <f>AVERAGE(5,5,5,5)</f>
        <v>5</v>
      </c>
      <c r="Q65" s="15">
        <f>AVERAGE(95,95,95,95)</f>
        <v>95</v>
      </c>
      <c r="R65" s="15">
        <f t="shared" si="21"/>
        <v>0</v>
      </c>
      <c r="S65" s="15">
        <f t="shared" si="17"/>
        <v>0</v>
      </c>
      <c r="T65" s="15">
        <f t="shared" si="17"/>
        <v>0</v>
      </c>
      <c r="U65" s="15">
        <f t="shared" si="19"/>
        <v>0</v>
      </c>
      <c r="V65" s="15">
        <f t="shared" si="18"/>
        <v>0</v>
      </c>
      <c r="W65" s="15">
        <f t="shared" si="25"/>
        <v>0</v>
      </c>
      <c r="X65" s="15">
        <f>AVERAGE(0,0,0,0)</f>
        <v>0</v>
      </c>
      <c r="Y65" s="15">
        <f>AVERAGE(0,0,0,0)</f>
        <v>0</v>
      </c>
      <c r="Z65" s="15">
        <f>AVERAGE(60,60,60,60)</f>
        <v>60</v>
      </c>
      <c r="AA65" s="15">
        <f>AVERAGE(5,5,5,5)</f>
        <v>5</v>
      </c>
      <c r="AB65" s="15">
        <f t="shared" si="26"/>
        <v>0</v>
      </c>
      <c r="AC65" s="15">
        <f>AVERAGE(0,0,0,0)</f>
        <v>0</v>
      </c>
      <c r="AD65" s="15">
        <f>AVERAGE(10,10,10,10)</f>
        <v>10</v>
      </c>
      <c r="AE65" s="15">
        <f>AVERAGE(10,10,10,10)</f>
        <v>10</v>
      </c>
      <c r="AF65" s="15">
        <f>AVERAGE(10,10,10,10)</f>
        <v>10</v>
      </c>
      <c r="AG65" s="15"/>
      <c r="AH65" s="15"/>
      <c r="AI65" s="15"/>
      <c r="AJ65" s="15"/>
      <c r="AK65" s="15"/>
      <c r="AL65" s="15"/>
    </row>
    <row r="66" spans="1:38" ht="14.25" customHeight="1" x14ac:dyDescent="0.25">
      <c r="A66" s="6" t="s">
        <v>191</v>
      </c>
      <c r="B66" s="15"/>
      <c r="C66" s="15"/>
      <c r="D66" s="15"/>
      <c r="E66" s="2">
        <v>105</v>
      </c>
      <c r="F66" s="10">
        <v>10</v>
      </c>
      <c r="G66" s="10">
        <v>5.64</v>
      </c>
      <c r="H66" s="15"/>
      <c r="I66" s="15"/>
      <c r="J66" s="21">
        <f>1/(AVERAGE(16.4,17.82,18.43))</f>
        <v>5.6980056980056981E-2</v>
      </c>
      <c r="K66" s="15">
        <f>AVERAGE(1,1)</f>
        <v>1</v>
      </c>
      <c r="L66" s="15">
        <v>20</v>
      </c>
      <c r="M66" s="21">
        <f>AVERAGE(18,20,38)</f>
        <v>25.333333333333332</v>
      </c>
      <c r="N66" s="15">
        <f>AVERAGE(17,17,17,17)</f>
        <v>17</v>
      </c>
      <c r="O66" s="10">
        <v>8.6</v>
      </c>
      <c r="P66" s="15">
        <f>AVERAGE(20,20,20,20)</f>
        <v>20</v>
      </c>
      <c r="Q66" s="15">
        <f>AVERAGE(80,80,80,80)</f>
        <v>80</v>
      </c>
      <c r="R66" s="15">
        <f t="shared" si="21"/>
        <v>0</v>
      </c>
      <c r="S66" s="15">
        <f t="shared" si="17"/>
        <v>0</v>
      </c>
      <c r="T66" s="15">
        <f t="shared" si="17"/>
        <v>0</v>
      </c>
      <c r="U66" s="15">
        <f t="shared" si="19"/>
        <v>0</v>
      </c>
      <c r="V66" s="15">
        <f t="shared" si="18"/>
        <v>0</v>
      </c>
      <c r="W66" s="15">
        <f t="shared" si="25"/>
        <v>0</v>
      </c>
      <c r="X66" s="15">
        <f>AVERAGE(15,15,15,15)</f>
        <v>15</v>
      </c>
      <c r="Y66" s="15">
        <f>AVERAGE(5,5,5,5)</f>
        <v>5</v>
      </c>
      <c r="Z66" s="15">
        <f>AVERAGE(5,5,5,5)</f>
        <v>5</v>
      </c>
      <c r="AA66" s="15">
        <f>AVERAGE(5,5,5,5)</f>
        <v>5</v>
      </c>
      <c r="AB66" s="15">
        <f t="shared" si="26"/>
        <v>0</v>
      </c>
      <c r="AC66" s="15">
        <f>AVERAGE(5,5,5,5)</f>
        <v>5</v>
      </c>
      <c r="AD66" s="15">
        <f>AVERAGE(10,10,10,10)</f>
        <v>10</v>
      </c>
      <c r="AE66" s="15">
        <f>AVERAGE(0,0,0,0)</f>
        <v>0</v>
      </c>
      <c r="AF66" s="15">
        <f>AVERAGE(5,5,5,5)</f>
        <v>5</v>
      </c>
      <c r="AG66" s="15"/>
      <c r="AH66" s="15"/>
      <c r="AI66" s="15"/>
      <c r="AJ66" s="15"/>
      <c r="AK66" s="15"/>
      <c r="AL66" s="15"/>
    </row>
    <row r="67" spans="1:38" ht="14.25" customHeight="1" x14ac:dyDescent="0.25">
      <c r="A67" s="6" t="s">
        <v>192</v>
      </c>
      <c r="B67" s="15"/>
      <c r="C67" s="15"/>
      <c r="D67" s="15"/>
      <c r="E67" s="2">
        <v>144.30000000000001</v>
      </c>
      <c r="F67" s="10">
        <v>18</v>
      </c>
      <c r="G67" s="10">
        <v>5.33</v>
      </c>
      <c r="H67" s="15"/>
      <c r="I67" s="15"/>
      <c r="J67" s="21">
        <f>1/(AVERAGE(9.22,8.86,8.18,7.39))</f>
        <v>0.11887072808320952</v>
      </c>
      <c r="K67" s="15">
        <f>AVERAGE(1,1)</f>
        <v>1</v>
      </c>
      <c r="L67" s="15">
        <v>40</v>
      </c>
      <c r="M67" s="21">
        <f>AVERAGE(21,40,41)</f>
        <v>34</v>
      </c>
      <c r="N67" s="15">
        <f>AVERAGE(20,20,20,20)</f>
        <v>20</v>
      </c>
      <c r="O67" s="10">
        <v>10.199999999999999</v>
      </c>
      <c r="P67" s="15">
        <f>AVERAGE(10,10,10,10)</f>
        <v>10</v>
      </c>
      <c r="Q67" s="15">
        <f>AVERAGE(90,90,90,90)</f>
        <v>90</v>
      </c>
      <c r="R67" s="15">
        <f t="shared" si="21"/>
        <v>0</v>
      </c>
      <c r="S67" s="15">
        <f t="shared" si="17"/>
        <v>0</v>
      </c>
      <c r="T67" s="15">
        <f t="shared" si="17"/>
        <v>0</v>
      </c>
      <c r="U67" s="15">
        <f t="shared" si="19"/>
        <v>0</v>
      </c>
      <c r="V67" s="15">
        <f t="shared" si="18"/>
        <v>0</v>
      </c>
      <c r="W67" s="15">
        <f t="shared" si="25"/>
        <v>0</v>
      </c>
      <c r="X67" s="15">
        <f>AVERAGE(25,25,25,25)</f>
        <v>25</v>
      </c>
      <c r="Y67" s="15">
        <f>AVERAGE(10,10,10,10)</f>
        <v>10</v>
      </c>
      <c r="Z67" s="15">
        <f>AVERAGE(0,0,0,0)</f>
        <v>0</v>
      </c>
      <c r="AA67" s="15">
        <f>AVERAGE(0,0,0,0)</f>
        <v>0</v>
      </c>
      <c r="AB67" s="15">
        <f t="shared" si="26"/>
        <v>0</v>
      </c>
      <c r="AC67" s="15">
        <f>AVERAGE(0,0,0,0)</f>
        <v>0</v>
      </c>
      <c r="AD67" s="15">
        <f>AVERAGE(0,0,0,0)</f>
        <v>0</v>
      </c>
      <c r="AE67" s="15">
        <f>AVERAGE(0,0,0,0)</f>
        <v>0</v>
      </c>
      <c r="AF67" s="15">
        <f>AVERAGE(0,0,0,0)</f>
        <v>0</v>
      </c>
      <c r="AG67" s="15"/>
      <c r="AH67" s="15"/>
      <c r="AI67" s="15"/>
      <c r="AJ67" s="15"/>
      <c r="AK67" s="15"/>
      <c r="AL67" s="15"/>
    </row>
    <row r="68" spans="1:38" ht="14.25" customHeight="1" x14ac:dyDescent="0.25">
      <c r="A68" s="6" t="s">
        <v>193</v>
      </c>
      <c r="B68" s="15"/>
      <c r="C68" s="15"/>
      <c r="D68" s="15"/>
      <c r="E68" s="2">
        <v>132.19999999999999</v>
      </c>
      <c r="F68" s="10">
        <v>12</v>
      </c>
      <c r="G68" s="10">
        <v>5.29</v>
      </c>
      <c r="H68" s="15"/>
      <c r="I68" s="15"/>
      <c r="J68" s="21">
        <f>AVERAGE(0)</f>
        <v>0</v>
      </c>
      <c r="K68" s="15">
        <f>AVERAGE(1,1)</f>
        <v>1</v>
      </c>
      <c r="L68" s="15">
        <v>22</v>
      </c>
      <c r="M68" s="21">
        <f>AVERAGE(38,22,30)</f>
        <v>30</v>
      </c>
      <c r="N68" s="15">
        <f>AVERAGE(28,28,28,28)</f>
        <v>28</v>
      </c>
      <c r="O68" s="10">
        <v>4.9000000000000004</v>
      </c>
      <c r="P68" s="15">
        <f>AVERAGE(100,100,100,100)</f>
        <v>100</v>
      </c>
      <c r="Q68" s="15">
        <f>AVERAGE(0,0,0,0)</f>
        <v>0</v>
      </c>
      <c r="R68" s="15">
        <f t="shared" si="21"/>
        <v>0</v>
      </c>
      <c r="S68" s="15">
        <f t="shared" si="17"/>
        <v>0</v>
      </c>
      <c r="T68" s="15">
        <f t="shared" si="17"/>
        <v>0</v>
      </c>
      <c r="U68" s="15">
        <f t="shared" si="19"/>
        <v>0</v>
      </c>
      <c r="V68" s="15">
        <f t="shared" si="18"/>
        <v>0</v>
      </c>
      <c r="W68" s="15">
        <f>AVERAGE(5,5,5,5)</f>
        <v>5</v>
      </c>
      <c r="X68" s="15">
        <f>AVERAGE(50,50,50,50)</f>
        <v>50</v>
      </c>
      <c r="Y68" s="15">
        <f>AVERAGE(0,0,0,0)</f>
        <v>0</v>
      </c>
      <c r="Z68" s="15">
        <f>AVERAGE(0,0,0,0)</f>
        <v>0</v>
      </c>
      <c r="AA68" s="15">
        <f>AVERAGE(0,0,0,0)</f>
        <v>0</v>
      </c>
      <c r="AB68" s="15">
        <f t="shared" si="26"/>
        <v>0</v>
      </c>
      <c r="AC68" s="15">
        <f>AVERAGE(0,0,0,0)</f>
        <v>0</v>
      </c>
      <c r="AD68" s="15">
        <f>AVERAGE(0,0,0,0)</f>
        <v>0</v>
      </c>
      <c r="AE68" s="15">
        <f>AVERAGE(0,0,0,0)</f>
        <v>0</v>
      </c>
      <c r="AF68" s="15">
        <f>AVERAGE(0,0,0,0)</f>
        <v>0</v>
      </c>
      <c r="AG68" s="15"/>
      <c r="AH68" s="15"/>
      <c r="AI68" s="15"/>
      <c r="AJ68" s="15"/>
      <c r="AK68" s="15"/>
      <c r="AL68" s="15"/>
    </row>
    <row r="69" spans="1:38" ht="14.25" customHeight="1" x14ac:dyDescent="0.25">
      <c r="A69" s="6" t="s">
        <v>194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spans="1:38" ht="14.25" customHeight="1" x14ac:dyDescent="0.25">
      <c r="A70" s="6" t="s">
        <v>195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spans="1:38" ht="14.25" customHeight="1" x14ac:dyDescent="0.25">
      <c r="A71" s="6" t="s">
        <v>196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spans="1:38" ht="14.25" customHeight="1" x14ac:dyDescent="0.25">
      <c r="A72" s="6" t="s">
        <v>197</v>
      </c>
      <c r="B72" s="15"/>
      <c r="C72" s="15"/>
      <c r="D72" s="15"/>
      <c r="E72" s="15">
        <v>85.2</v>
      </c>
      <c r="F72" s="15">
        <v>346</v>
      </c>
      <c r="G72" s="15">
        <v>5.57</v>
      </c>
      <c r="H72" s="15"/>
      <c r="I72" s="15"/>
      <c r="J72" s="21">
        <f>1/(AVERAGE(2.91,4.57,2.4,3.23,2.16,2.4,2.4,2.62,3.21,3.41))</f>
        <v>0.34118048447628796</v>
      </c>
      <c r="K72" s="19">
        <f>AVERAGE(1,1)</f>
        <v>1</v>
      </c>
      <c r="L72" s="15">
        <v>19</v>
      </c>
      <c r="M72" s="19">
        <f>AVERAGE(10,19,12)</f>
        <v>13.666666666666666</v>
      </c>
      <c r="N72" s="15">
        <f>AVERAGE(10,10,10,10)</f>
        <v>10</v>
      </c>
      <c r="O72" s="10">
        <v>1.4</v>
      </c>
      <c r="P72" s="15">
        <f t="shared" ref="P72:P77" si="27">AVERAGE(90,90,90,90)</f>
        <v>90</v>
      </c>
      <c r="Q72" s="15">
        <f t="shared" ref="Q72:Q77" si="28">AVERAGE(10,10,10,10)</f>
        <v>10</v>
      </c>
      <c r="R72" s="15">
        <f t="shared" ref="R72:X81" si="29">AVERAGE(0,0,0,0)</f>
        <v>0</v>
      </c>
      <c r="S72" s="15">
        <f t="shared" si="29"/>
        <v>0</v>
      </c>
      <c r="T72" s="15">
        <f t="shared" si="29"/>
        <v>0</v>
      </c>
      <c r="U72" s="15">
        <f t="shared" si="29"/>
        <v>0</v>
      </c>
      <c r="V72" s="15">
        <f t="shared" si="29"/>
        <v>0</v>
      </c>
      <c r="W72" s="15">
        <f t="shared" si="29"/>
        <v>0</v>
      </c>
      <c r="X72" s="15">
        <f t="shared" si="29"/>
        <v>0</v>
      </c>
      <c r="Y72" s="15">
        <f>AVERAGE(5,5,5,5)</f>
        <v>5</v>
      </c>
      <c r="Z72" s="15">
        <f>AVERAGE(80,80,80,80)</f>
        <v>80</v>
      </c>
      <c r="AA72" s="15">
        <f t="shared" ref="AA72:AA80" si="30">AVERAGE(5,5,5,5)</f>
        <v>5</v>
      </c>
      <c r="AB72" s="15">
        <f t="shared" ref="AB72:AC98" si="31">AVERAGE(0,0,0,0)</f>
        <v>0</v>
      </c>
      <c r="AC72" s="15">
        <f t="shared" si="31"/>
        <v>0</v>
      </c>
      <c r="AD72" s="15">
        <f>AVERAGE(10,10,10,10)</f>
        <v>10</v>
      </c>
      <c r="AE72" s="15">
        <f>AVERAGE(10,10,10,10)</f>
        <v>10</v>
      </c>
      <c r="AF72" s="15">
        <f>AVERAGE(15,15,15,15)</f>
        <v>15</v>
      </c>
      <c r="AG72" s="15"/>
      <c r="AH72" s="15"/>
      <c r="AI72" s="15"/>
      <c r="AJ72" s="15"/>
      <c r="AK72" s="15"/>
      <c r="AL72" s="15"/>
    </row>
    <row r="73" spans="1:38" ht="14.25" customHeight="1" x14ac:dyDescent="0.25">
      <c r="A73" s="6" t="s">
        <v>198</v>
      </c>
      <c r="B73" s="15"/>
      <c r="C73" s="15"/>
      <c r="D73" s="15"/>
      <c r="E73" s="15">
        <v>107.1</v>
      </c>
      <c r="F73" s="15">
        <v>69</v>
      </c>
      <c r="G73" s="15">
        <v>5.49</v>
      </c>
      <c r="H73" s="15"/>
      <c r="I73" s="15"/>
      <c r="J73" s="21">
        <f>1/(AVERAGE(2.91,4.57,2.4,3.23,2.16,2.4,2.4,2.62,3.21,3.41))</f>
        <v>0.34118048447628796</v>
      </c>
      <c r="K73" s="19">
        <f>AVERAGE(1,1)</f>
        <v>1</v>
      </c>
      <c r="L73" s="15">
        <v>19</v>
      </c>
      <c r="M73" s="19">
        <f>AVERAGE(10,19,12)</f>
        <v>13.666666666666666</v>
      </c>
      <c r="N73" s="15">
        <f>AVERAGE(10,10,10,10)</f>
        <v>10</v>
      </c>
      <c r="O73" s="10">
        <v>1.4</v>
      </c>
      <c r="P73" s="15">
        <f t="shared" si="27"/>
        <v>90</v>
      </c>
      <c r="Q73" s="15">
        <f t="shared" si="28"/>
        <v>10</v>
      </c>
      <c r="R73" s="15">
        <f t="shared" si="29"/>
        <v>0</v>
      </c>
      <c r="S73" s="15">
        <f t="shared" si="29"/>
        <v>0</v>
      </c>
      <c r="T73" s="15">
        <f t="shared" si="29"/>
        <v>0</v>
      </c>
      <c r="U73" s="15">
        <f t="shared" si="29"/>
        <v>0</v>
      </c>
      <c r="V73" s="15">
        <f t="shared" si="29"/>
        <v>0</v>
      </c>
      <c r="W73" s="15">
        <f t="shared" si="29"/>
        <v>0</v>
      </c>
      <c r="X73" s="15">
        <f t="shared" si="29"/>
        <v>0</v>
      </c>
      <c r="Y73" s="15">
        <f>AVERAGE(5,5,5,5)</f>
        <v>5</v>
      </c>
      <c r="Z73" s="15">
        <f>AVERAGE(80,80,80,80)</f>
        <v>80</v>
      </c>
      <c r="AA73" s="15">
        <f t="shared" si="30"/>
        <v>5</v>
      </c>
      <c r="AB73" s="15">
        <f t="shared" si="31"/>
        <v>0</v>
      </c>
      <c r="AC73" s="15">
        <f t="shared" si="31"/>
        <v>0</v>
      </c>
      <c r="AD73" s="15">
        <f>AVERAGE(10,10,10,10)</f>
        <v>10</v>
      </c>
      <c r="AE73" s="15">
        <f>AVERAGE(10,10,10,10)</f>
        <v>10</v>
      </c>
      <c r="AF73" s="15">
        <f>AVERAGE(15,15,15,15)</f>
        <v>15</v>
      </c>
      <c r="AG73" s="15"/>
      <c r="AH73" s="15"/>
      <c r="AI73" s="15"/>
      <c r="AJ73" s="15"/>
      <c r="AK73" s="15"/>
      <c r="AL73" s="15"/>
    </row>
    <row r="74" spans="1:38" ht="14.25" customHeight="1" x14ac:dyDescent="0.25">
      <c r="A74" s="6" t="s">
        <v>199</v>
      </c>
      <c r="B74" s="15"/>
      <c r="C74" s="15"/>
      <c r="D74" s="15"/>
      <c r="E74" s="15">
        <v>104.8</v>
      </c>
      <c r="F74" s="15">
        <v>40</v>
      </c>
      <c r="G74" s="15">
        <v>5.35</v>
      </c>
      <c r="H74" s="15"/>
      <c r="I74" s="15"/>
      <c r="J74" s="21">
        <f>1/(AVERAGE(1.97,1.58,2.11,2.11,1.94,1.49,1.65,1.32,1.39,1.45))</f>
        <v>0.58788947677836567</v>
      </c>
      <c r="K74" s="19">
        <f>AVERAGE(3,1)</f>
        <v>2</v>
      </c>
      <c r="L74" s="15">
        <v>36</v>
      </c>
      <c r="M74" s="19">
        <f>AVERAGE(16,36,16)</f>
        <v>22.666666666666668</v>
      </c>
      <c r="N74" s="15">
        <f>AVERAGE(14,14,14,14)</f>
        <v>14</v>
      </c>
      <c r="O74" s="10">
        <v>1.9</v>
      </c>
      <c r="P74" s="15">
        <f t="shared" si="27"/>
        <v>90</v>
      </c>
      <c r="Q74" s="15">
        <f t="shared" si="28"/>
        <v>10</v>
      </c>
      <c r="R74" s="15">
        <f t="shared" si="29"/>
        <v>0</v>
      </c>
      <c r="S74" s="15">
        <f t="shared" si="29"/>
        <v>0</v>
      </c>
      <c r="T74" s="15">
        <f t="shared" si="29"/>
        <v>0</v>
      </c>
      <c r="U74" s="15">
        <f t="shared" si="29"/>
        <v>0</v>
      </c>
      <c r="V74" s="15">
        <f t="shared" si="29"/>
        <v>0</v>
      </c>
      <c r="W74" s="15">
        <f t="shared" si="29"/>
        <v>0</v>
      </c>
      <c r="X74" s="15">
        <f t="shared" si="29"/>
        <v>0</v>
      </c>
      <c r="Y74" s="15">
        <f>AVERAGE(0,0,0,0)</f>
        <v>0</v>
      </c>
      <c r="Z74" s="15">
        <f>AVERAGE(75,75,75,75)</f>
        <v>75</v>
      </c>
      <c r="AA74" s="15">
        <f t="shared" si="30"/>
        <v>5</v>
      </c>
      <c r="AB74" s="15">
        <f t="shared" si="31"/>
        <v>0</v>
      </c>
      <c r="AC74" s="15">
        <f t="shared" si="31"/>
        <v>0</v>
      </c>
      <c r="AD74" s="15">
        <f>AVERAGE(5,5,5,5)</f>
        <v>5</v>
      </c>
      <c r="AE74" s="15">
        <f>AVERAGE(20,20,20,20)</f>
        <v>20</v>
      </c>
      <c r="AF74" s="15">
        <f>AVERAGE(20,20,20,20)</f>
        <v>20</v>
      </c>
      <c r="AG74" s="15"/>
      <c r="AH74" s="15"/>
      <c r="AI74" s="15"/>
      <c r="AJ74" s="15"/>
      <c r="AK74" s="15"/>
      <c r="AL74" s="15"/>
    </row>
    <row r="75" spans="1:38" ht="14.25" customHeight="1" x14ac:dyDescent="0.25">
      <c r="A75" s="6" t="s">
        <v>200</v>
      </c>
      <c r="B75" s="15"/>
      <c r="C75" s="15"/>
      <c r="D75" s="15"/>
      <c r="E75" s="15">
        <v>82.65</v>
      </c>
      <c r="F75" s="15">
        <v>9</v>
      </c>
      <c r="G75" s="15">
        <v>5.51</v>
      </c>
      <c r="H75" s="15"/>
      <c r="I75" s="15"/>
      <c r="J75" s="21">
        <f>1/(AVERAGE(2.33,2.25,2.86,2.13,2.45,2.71,2.78,2.43,2.54,3.14))</f>
        <v>0.39032006245120993</v>
      </c>
      <c r="K75" s="19">
        <f>AVERAGE(2,2)</f>
        <v>2</v>
      </c>
      <c r="L75" s="15">
        <v>46</v>
      </c>
      <c r="M75" s="19">
        <f>AVERAGE(16,46,15)</f>
        <v>25.666666666666668</v>
      </c>
      <c r="N75" s="15">
        <f>AVERAGE(15,15,15,15)</f>
        <v>15</v>
      </c>
      <c r="O75" s="5">
        <v>1.75</v>
      </c>
      <c r="P75" s="15">
        <f t="shared" si="27"/>
        <v>90</v>
      </c>
      <c r="Q75" s="15">
        <f t="shared" si="28"/>
        <v>10</v>
      </c>
      <c r="R75" s="15">
        <f t="shared" si="29"/>
        <v>0</v>
      </c>
      <c r="S75" s="15">
        <f t="shared" si="29"/>
        <v>0</v>
      </c>
      <c r="T75" s="15">
        <f t="shared" si="29"/>
        <v>0</v>
      </c>
      <c r="U75" s="15">
        <f t="shared" si="29"/>
        <v>0</v>
      </c>
      <c r="V75" s="15">
        <f t="shared" si="29"/>
        <v>0</v>
      </c>
      <c r="W75" s="15">
        <f t="shared" si="29"/>
        <v>0</v>
      </c>
      <c r="X75" s="15">
        <f t="shared" si="29"/>
        <v>0</v>
      </c>
      <c r="Y75" s="15">
        <f>AVERAGE(10,10,10,10)</f>
        <v>10</v>
      </c>
      <c r="Z75" s="15">
        <f>AVERAGE(70,70,70,70)</f>
        <v>70</v>
      </c>
      <c r="AA75" s="15">
        <f t="shared" si="30"/>
        <v>5</v>
      </c>
      <c r="AB75" s="15">
        <f t="shared" si="31"/>
        <v>0</v>
      </c>
      <c r="AC75" s="15">
        <f t="shared" si="31"/>
        <v>0</v>
      </c>
      <c r="AD75" s="15">
        <f>AVERAGE(15,15,15,15)</f>
        <v>15</v>
      </c>
      <c r="AE75" s="15">
        <f>AVERAGE(15,15,15,15)</f>
        <v>15</v>
      </c>
      <c r="AF75" s="15">
        <f>AVERAGE(10,10,10,10)</f>
        <v>10</v>
      </c>
      <c r="AG75" s="15"/>
      <c r="AH75" s="15"/>
      <c r="AI75" s="15"/>
      <c r="AJ75" s="15"/>
      <c r="AK75" s="15"/>
      <c r="AL75" s="15"/>
    </row>
    <row r="76" spans="1:38" ht="14.25" customHeight="1" x14ac:dyDescent="0.25">
      <c r="A76" s="6" t="s">
        <v>201</v>
      </c>
      <c r="B76" s="15"/>
      <c r="C76" s="15"/>
      <c r="D76" s="15"/>
      <c r="E76" s="15">
        <v>78.3</v>
      </c>
      <c r="F76" s="15">
        <v>21</v>
      </c>
      <c r="G76" s="15">
        <v>5.73</v>
      </c>
      <c r="H76" s="15"/>
      <c r="I76" s="15"/>
      <c r="J76" s="21">
        <f>1/(AVERAGE(1.96,1.72,2.34,2.08,2.63,2.11,2.96,2.14,2.82,2.86))</f>
        <v>0.42337002540220153</v>
      </c>
      <c r="K76" s="19">
        <f>AVERAGE(2,2)</f>
        <v>2</v>
      </c>
      <c r="L76" s="15">
        <v>53</v>
      </c>
      <c r="M76" s="19">
        <f>AVERAGE(28,53,28)</f>
        <v>36.333333333333336</v>
      </c>
      <c r="N76" s="15">
        <f>AVERAGE(25,25,25,25)</f>
        <v>25</v>
      </c>
      <c r="O76" s="20">
        <v>3.7</v>
      </c>
      <c r="P76" s="15">
        <f t="shared" si="27"/>
        <v>90</v>
      </c>
      <c r="Q76" s="15">
        <f t="shared" si="28"/>
        <v>10</v>
      </c>
      <c r="R76" s="15">
        <f t="shared" si="29"/>
        <v>0</v>
      </c>
      <c r="S76" s="15">
        <f t="shared" si="29"/>
        <v>0</v>
      </c>
      <c r="T76" s="15">
        <f t="shared" si="29"/>
        <v>0</v>
      </c>
      <c r="U76" s="15">
        <f t="shared" si="29"/>
        <v>0</v>
      </c>
      <c r="V76" s="15">
        <f t="shared" si="29"/>
        <v>0</v>
      </c>
      <c r="W76" s="15">
        <f t="shared" si="29"/>
        <v>0</v>
      </c>
      <c r="X76" s="15">
        <f t="shared" si="29"/>
        <v>0</v>
      </c>
      <c r="Y76" s="15">
        <f>AVERAGE(10,10,10,10)</f>
        <v>10</v>
      </c>
      <c r="Z76" s="15">
        <f>AVERAGE(80,80,80,80)</f>
        <v>80</v>
      </c>
      <c r="AA76" s="15">
        <f t="shared" si="30"/>
        <v>5</v>
      </c>
      <c r="AB76" s="15">
        <f t="shared" si="31"/>
        <v>0</v>
      </c>
      <c r="AC76" s="15">
        <f t="shared" si="31"/>
        <v>0</v>
      </c>
      <c r="AD76" s="15">
        <f>AVERAGE(10,10,10,10)</f>
        <v>10</v>
      </c>
      <c r="AE76" s="15">
        <f>AVERAGE(15,15,15,15)</f>
        <v>15</v>
      </c>
      <c r="AF76" s="15">
        <f>AVERAGE(20,20,20,20)</f>
        <v>20</v>
      </c>
      <c r="AG76" s="15"/>
      <c r="AH76" s="15"/>
      <c r="AI76" s="15"/>
      <c r="AJ76" s="15"/>
      <c r="AK76" s="15"/>
      <c r="AL76" s="15"/>
    </row>
    <row r="77" spans="1:38" ht="14.25" customHeight="1" x14ac:dyDescent="0.25">
      <c r="A77" s="6" t="s">
        <v>202</v>
      </c>
      <c r="B77" s="15"/>
      <c r="C77" s="15"/>
      <c r="D77" s="15"/>
      <c r="E77" s="15">
        <v>82.93</v>
      </c>
      <c r="F77" s="15">
        <v>20</v>
      </c>
      <c r="G77" s="15">
        <v>5.96</v>
      </c>
      <c r="H77" s="15"/>
      <c r="I77" s="15"/>
      <c r="J77" s="21">
        <f>1/(AVERAGE(4.2,4.3,4.6,3.38,3.85,4.92,4.98,4.2,4.62,5.07))</f>
        <v>0.22665457842248413</v>
      </c>
      <c r="K77" s="19">
        <f>AVERAGE(2,2)</f>
        <v>2</v>
      </c>
      <c r="L77" s="15">
        <v>47</v>
      </c>
      <c r="M77" s="19">
        <f>AVERAGE(14,47,16)</f>
        <v>25.666666666666668</v>
      </c>
      <c r="N77" s="15">
        <f>AVERAGE(14,14,14,14)</f>
        <v>14</v>
      </c>
      <c r="O77" s="20">
        <v>2.9</v>
      </c>
      <c r="P77" s="15">
        <f t="shared" si="27"/>
        <v>90</v>
      </c>
      <c r="Q77" s="15">
        <f t="shared" si="28"/>
        <v>10</v>
      </c>
      <c r="R77" s="15">
        <f t="shared" si="29"/>
        <v>0</v>
      </c>
      <c r="S77" s="15">
        <f t="shared" si="29"/>
        <v>0</v>
      </c>
      <c r="T77" s="15">
        <f t="shared" si="29"/>
        <v>0</v>
      </c>
      <c r="U77" s="15">
        <f t="shared" si="29"/>
        <v>0</v>
      </c>
      <c r="V77" s="15">
        <f t="shared" si="29"/>
        <v>0</v>
      </c>
      <c r="W77" s="15">
        <f t="shared" si="29"/>
        <v>0</v>
      </c>
      <c r="X77" s="15">
        <f t="shared" si="29"/>
        <v>0</v>
      </c>
      <c r="Y77" s="15">
        <f>AVERAGE(15,15,15,15)</f>
        <v>15</v>
      </c>
      <c r="Z77" s="15">
        <f>AVERAGE(80,80,80,80)</f>
        <v>80</v>
      </c>
      <c r="AA77" s="15">
        <f t="shared" si="30"/>
        <v>5</v>
      </c>
      <c r="AB77" s="15">
        <f t="shared" si="31"/>
        <v>0</v>
      </c>
      <c r="AC77" s="15">
        <f t="shared" si="31"/>
        <v>0</v>
      </c>
      <c r="AD77" s="15">
        <f>AVERAGE(5,5,5,5)</f>
        <v>5</v>
      </c>
      <c r="AE77" s="15">
        <f>AVERAGE(10,10,10,10)</f>
        <v>10</v>
      </c>
      <c r="AF77" s="15">
        <f>AVERAGE(20,20,20,20)</f>
        <v>20</v>
      </c>
      <c r="AG77" s="15"/>
      <c r="AH77" s="15"/>
      <c r="AI77" s="15"/>
      <c r="AJ77" s="15"/>
      <c r="AK77" s="15"/>
      <c r="AL77" s="15"/>
    </row>
    <row r="78" spans="1:38" ht="14.25" customHeight="1" x14ac:dyDescent="0.25">
      <c r="A78" s="6" t="s">
        <v>203</v>
      </c>
      <c r="B78" s="15"/>
      <c r="C78" s="15"/>
      <c r="D78" s="15"/>
      <c r="E78" s="15">
        <v>181.1</v>
      </c>
      <c r="F78" s="15">
        <v>41</v>
      </c>
      <c r="G78" s="15">
        <v>6.07</v>
      </c>
      <c r="H78" s="15"/>
      <c r="I78" s="15"/>
      <c r="J78" s="21">
        <f>1/(AVERAGE(2.82,3.25,2.74,2.27,2.46,2.56,2.05))</f>
        <v>0.38567493112947665</v>
      </c>
      <c r="K78" s="19">
        <f>AVERAGE(4,3)</f>
        <v>3.5</v>
      </c>
      <c r="L78" s="15">
        <v>30</v>
      </c>
      <c r="M78" s="19">
        <f>AVERAGE(30,22,17)</f>
        <v>23</v>
      </c>
      <c r="N78" s="15">
        <f>AVERAGE(14,14,14,14)</f>
        <v>14</v>
      </c>
      <c r="O78" s="10">
        <v>2.1</v>
      </c>
      <c r="P78" s="15">
        <f>AVERAGE(0,0,0,0)</f>
        <v>0</v>
      </c>
      <c r="Q78" s="15">
        <f>AVERAGE(100,100,100,100)</f>
        <v>100</v>
      </c>
      <c r="R78" s="15">
        <f t="shared" si="29"/>
        <v>0</v>
      </c>
      <c r="S78" s="15">
        <f t="shared" si="29"/>
        <v>0</v>
      </c>
      <c r="T78" s="15">
        <f t="shared" si="29"/>
        <v>0</v>
      </c>
      <c r="U78" s="15">
        <f t="shared" si="29"/>
        <v>0</v>
      </c>
      <c r="V78" s="15">
        <f t="shared" si="29"/>
        <v>0</v>
      </c>
      <c r="W78" s="15">
        <f t="shared" si="29"/>
        <v>0</v>
      </c>
      <c r="X78" s="15">
        <f t="shared" si="29"/>
        <v>0</v>
      </c>
      <c r="Y78" s="15">
        <f>AVERAGE(10,10,10,10)</f>
        <v>10</v>
      </c>
      <c r="Z78" s="15">
        <f>AVERAGE(85,85,85,85)</f>
        <v>85</v>
      </c>
      <c r="AA78" s="15">
        <f t="shared" si="30"/>
        <v>5</v>
      </c>
      <c r="AB78" s="15">
        <f t="shared" si="31"/>
        <v>0</v>
      </c>
      <c r="AC78" s="15">
        <f t="shared" si="31"/>
        <v>0</v>
      </c>
      <c r="AD78" s="15">
        <f>AVERAGE(10,10,10,10)</f>
        <v>10</v>
      </c>
      <c r="AE78" s="15">
        <f>AVERAGE(5,5,5,5)</f>
        <v>5</v>
      </c>
      <c r="AF78" s="15">
        <f>AVERAGE(10,10,10,10)</f>
        <v>10</v>
      </c>
      <c r="AG78" s="15"/>
      <c r="AH78" s="15"/>
      <c r="AI78" s="15"/>
      <c r="AJ78" s="15"/>
      <c r="AK78" s="15"/>
      <c r="AL78" s="15"/>
    </row>
    <row r="79" spans="1:38" ht="14.25" customHeight="1" x14ac:dyDescent="0.25">
      <c r="A79" s="6" t="s">
        <v>204</v>
      </c>
      <c r="B79" s="15"/>
      <c r="C79" s="15"/>
      <c r="D79" s="15"/>
      <c r="E79" s="15">
        <v>116</v>
      </c>
      <c r="F79" s="15">
        <v>33</v>
      </c>
      <c r="G79" s="15">
        <v>6.02</v>
      </c>
      <c r="H79" s="15"/>
      <c r="I79" s="15"/>
      <c r="J79" s="21">
        <f>1/(AVERAGE(2.58,3.31,3.23,2.74,3.51,2.65,3.36))</f>
        <v>0.32740879326473338</v>
      </c>
      <c r="K79" s="19">
        <f>AVERAGE(4,3)</f>
        <v>3.5</v>
      </c>
      <c r="L79" s="15">
        <v>20</v>
      </c>
      <c r="M79" s="19">
        <f>AVERAGE(14,20,9)</f>
        <v>14.333333333333334</v>
      </c>
      <c r="N79" s="15">
        <f>AVERAGE(13,13,13,13)</f>
        <v>13</v>
      </c>
      <c r="O79" s="10">
        <v>6.7</v>
      </c>
      <c r="P79" s="15">
        <f>AVERAGE(0,0,0,0)</f>
        <v>0</v>
      </c>
      <c r="Q79" s="15">
        <f>AVERAGE(100,100,100,100)</f>
        <v>100</v>
      </c>
      <c r="R79" s="15">
        <f t="shared" si="29"/>
        <v>0</v>
      </c>
      <c r="S79" s="15">
        <f t="shared" si="29"/>
        <v>0</v>
      </c>
      <c r="T79" s="15">
        <f t="shared" si="29"/>
        <v>0</v>
      </c>
      <c r="U79" s="15">
        <f t="shared" si="29"/>
        <v>0</v>
      </c>
      <c r="V79" s="15">
        <f t="shared" si="29"/>
        <v>0</v>
      </c>
      <c r="W79" s="15">
        <f t="shared" si="29"/>
        <v>0</v>
      </c>
      <c r="X79" s="15">
        <f t="shared" si="29"/>
        <v>0</v>
      </c>
      <c r="Y79" s="15">
        <f>AVERAGE(5,5,5,5)</f>
        <v>5</v>
      </c>
      <c r="Z79" s="15">
        <f>AVERAGE(70,70,70,70)</f>
        <v>70</v>
      </c>
      <c r="AA79" s="15">
        <f t="shared" si="30"/>
        <v>5</v>
      </c>
      <c r="AB79" s="15">
        <f t="shared" si="31"/>
        <v>0</v>
      </c>
      <c r="AC79" s="15">
        <f t="shared" si="31"/>
        <v>0</v>
      </c>
      <c r="AD79" s="15">
        <f>AVERAGE(5,5,5,5)</f>
        <v>5</v>
      </c>
      <c r="AE79" s="15">
        <f>AVERAGE(5,5,5,5)</f>
        <v>5</v>
      </c>
      <c r="AF79" s="15">
        <f>AVERAGE(5,5,5,5)</f>
        <v>5</v>
      </c>
      <c r="AG79" s="15"/>
      <c r="AH79" s="15"/>
      <c r="AI79" s="15"/>
      <c r="AJ79" s="15"/>
      <c r="AK79" s="15"/>
      <c r="AL79" s="15"/>
    </row>
    <row r="80" spans="1:38" ht="14.25" customHeight="1" x14ac:dyDescent="0.25">
      <c r="A80" s="6" t="s">
        <v>205</v>
      </c>
      <c r="B80" s="15"/>
      <c r="C80" s="15"/>
      <c r="D80" s="15"/>
      <c r="E80" s="15">
        <v>92.25</v>
      </c>
      <c r="F80" s="15">
        <v>44</v>
      </c>
      <c r="G80" s="15">
        <v>5.97</v>
      </c>
      <c r="H80" s="15"/>
      <c r="I80" s="15"/>
      <c r="J80" s="21">
        <f>1/(AVERAGE(3.31,2.56,2.45,2.13,2.54,2.12,2.43))</f>
        <v>0.39908779931584948</v>
      </c>
      <c r="K80" s="19">
        <f>AVERAGE(3,2)</f>
        <v>2.5</v>
      </c>
      <c r="L80" s="15">
        <v>45</v>
      </c>
      <c r="M80" s="19">
        <f>AVERAGE(45,41,36)</f>
        <v>40.666666666666664</v>
      </c>
      <c r="N80" s="15">
        <f>AVERAGE(15,15,15,15)</f>
        <v>15</v>
      </c>
      <c r="O80" s="10">
        <v>5.3</v>
      </c>
      <c r="P80" s="15">
        <f>AVERAGE(30,30,30,30)</f>
        <v>30</v>
      </c>
      <c r="Q80" s="15">
        <f>AVERAGE(70,70,70,70)</f>
        <v>70</v>
      </c>
      <c r="R80" s="15">
        <f t="shared" si="29"/>
        <v>0</v>
      </c>
      <c r="S80" s="15">
        <f t="shared" si="29"/>
        <v>0</v>
      </c>
      <c r="T80" s="15">
        <f t="shared" si="29"/>
        <v>0</v>
      </c>
      <c r="U80" s="15">
        <f t="shared" si="29"/>
        <v>0</v>
      </c>
      <c r="V80" s="15">
        <f t="shared" si="29"/>
        <v>0</v>
      </c>
      <c r="W80" s="15">
        <f t="shared" si="29"/>
        <v>0</v>
      </c>
      <c r="X80" s="15">
        <f t="shared" si="29"/>
        <v>0</v>
      </c>
      <c r="Y80" s="15">
        <f>AVERAGE(15,15,15,15)</f>
        <v>15</v>
      </c>
      <c r="Z80" s="15">
        <f>AVERAGE(70,70,70,70)</f>
        <v>70</v>
      </c>
      <c r="AA80" s="15">
        <f t="shared" si="30"/>
        <v>5</v>
      </c>
      <c r="AB80" s="15">
        <f t="shared" si="31"/>
        <v>0</v>
      </c>
      <c r="AC80" s="15">
        <f t="shared" si="31"/>
        <v>0</v>
      </c>
      <c r="AD80" s="15">
        <f>AVERAGE(10,10,10,10)</f>
        <v>10</v>
      </c>
      <c r="AE80" s="15">
        <f>AVERAGE(20,20,20,20)</f>
        <v>20</v>
      </c>
      <c r="AF80" s="15">
        <f>AVERAGE(10,10,10,10)</f>
        <v>10</v>
      </c>
      <c r="AG80" s="15"/>
      <c r="AH80" s="15"/>
      <c r="AI80" s="15"/>
      <c r="AJ80" s="15"/>
      <c r="AK80" s="15"/>
      <c r="AL80" s="15"/>
    </row>
    <row r="81" spans="1:38" ht="14.25" customHeight="1" x14ac:dyDescent="0.25">
      <c r="A81" s="6" t="s">
        <v>206</v>
      </c>
      <c r="B81" s="15"/>
      <c r="C81" s="15"/>
      <c r="D81" s="15"/>
      <c r="E81" s="19">
        <v>226.3</v>
      </c>
      <c r="F81" s="19">
        <v>6</v>
      </c>
      <c r="G81" s="2">
        <v>6.06</v>
      </c>
      <c r="H81" s="15"/>
      <c r="I81" s="15"/>
      <c r="J81" s="21">
        <f>1/(AVERAGE(3.94,4.12,3.94,3.45,3.67,3.15,3.69))</f>
        <v>0.26964560862865949</v>
      </c>
      <c r="K81" s="15">
        <f>AVERAGE(3,2)</f>
        <v>2.5</v>
      </c>
      <c r="L81" s="15">
        <v>16</v>
      </c>
      <c r="M81" s="19">
        <f>AVERAGE(12,16,12)</f>
        <v>13.333333333333334</v>
      </c>
      <c r="N81" s="15">
        <f>AVERAGE(8,8,8,8)</f>
        <v>8</v>
      </c>
      <c r="O81" s="2">
        <v>1.1000000000000001</v>
      </c>
      <c r="P81" s="15">
        <f>AVERAGE(5,5,5,5)</f>
        <v>5</v>
      </c>
      <c r="Q81" s="15">
        <f>AVERAGE(95,95,95,95)</f>
        <v>95</v>
      </c>
      <c r="R81" s="15">
        <f t="shared" si="29"/>
        <v>0</v>
      </c>
      <c r="S81" s="15">
        <f t="shared" si="29"/>
        <v>0</v>
      </c>
      <c r="T81" s="15">
        <f t="shared" si="29"/>
        <v>0</v>
      </c>
      <c r="U81" s="15">
        <f t="shared" si="29"/>
        <v>0</v>
      </c>
      <c r="V81" s="15">
        <f t="shared" si="29"/>
        <v>0</v>
      </c>
      <c r="W81" s="15">
        <f t="shared" si="29"/>
        <v>0</v>
      </c>
      <c r="X81" s="15">
        <f t="shared" si="29"/>
        <v>0</v>
      </c>
      <c r="Y81" s="15">
        <f>AVERAGE(0,0,0,0)</f>
        <v>0</v>
      </c>
      <c r="Z81" s="15">
        <f>AVERAGE(50,50,50,50)</f>
        <v>50</v>
      </c>
      <c r="AA81" s="15">
        <f>AVERAGE(10,10,10,10)</f>
        <v>10</v>
      </c>
      <c r="AB81" s="15">
        <f t="shared" si="31"/>
        <v>0</v>
      </c>
      <c r="AC81" s="15">
        <f t="shared" si="31"/>
        <v>0</v>
      </c>
      <c r="AD81" s="15">
        <f>AVERAGE(25,25,25,25)</f>
        <v>25</v>
      </c>
      <c r="AE81" s="15">
        <f>AVERAGE(0,0,0,0)</f>
        <v>0</v>
      </c>
      <c r="AF81" s="15">
        <f>AVERAGE(10,10,10,10)</f>
        <v>10</v>
      </c>
      <c r="AG81" s="15"/>
      <c r="AH81" s="15"/>
      <c r="AI81" s="15"/>
      <c r="AJ81" s="15"/>
      <c r="AK81" s="15"/>
      <c r="AL81" s="15"/>
    </row>
    <row r="82" spans="1:38" ht="14.25" customHeight="1" x14ac:dyDescent="0.25">
      <c r="A82" s="6" t="s">
        <v>207</v>
      </c>
      <c r="B82" s="15"/>
      <c r="C82" s="15"/>
      <c r="D82" s="15"/>
      <c r="E82" s="19">
        <v>172.5</v>
      </c>
      <c r="F82" s="19">
        <v>8</v>
      </c>
      <c r="G82" s="2">
        <v>6.03</v>
      </c>
      <c r="H82" s="15"/>
      <c r="I82" s="15"/>
      <c r="J82" s="21">
        <f>1/(AVERAGE(3,2.73,2.34,4.3,3.27,3.39,4.12))</f>
        <v>0.30237580993520519</v>
      </c>
      <c r="K82" s="15">
        <f>AVERAGE(3,2)</f>
        <v>2.5</v>
      </c>
      <c r="L82" s="15">
        <v>33</v>
      </c>
      <c r="M82" s="19">
        <f>AVERAGE(12,33,18)</f>
        <v>21</v>
      </c>
      <c r="N82" s="15">
        <f>AVERAGE(8,8,8,8)</f>
        <v>8</v>
      </c>
      <c r="O82" s="2">
        <v>1.3</v>
      </c>
      <c r="P82" s="15">
        <f>AVERAGE(0,0,0,0)</f>
        <v>0</v>
      </c>
      <c r="Q82" s="15">
        <f>AVERAGE(100,100,100,100)</f>
        <v>100</v>
      </c>
      <c r="R82" s="15">
        <f t="shared" ref="R82:W89" si="32">AVERAGE(0,0,0,0)</f>
        <v>0</v>
      </c>
      <c r="S82" s="15">
        <f t="shared" si="32"/>
        <v>0</v>
      </c>
      <c r="T82" s="15">
        <f t="shared" si="32"/>
        <v>0</v>
      </c>
      <c r="U82" s="15">
        <f t="shared" si="32"/>
        <v>0</v>
      </c>
      <c r="V82" s="15">
        <f t="shared" si="32"/>
        <v>0</v>
      </c>
      <c r="W82" s="15">
        <f t="shared" si="32"/>
        <v>0</v>
      </c>
      <c r="X82" s="15">
        <f>AVERAGE(5,5,5,5)</f>
        <v>5</v>
      </c>
      <c r="Y82" s="15">
        <f>AVERAGE(0,0,0,0)</f>
        <v>0</v>
      </c>
      <c r="Z82" s="15">
        <f>AVERAGE(60,60,60,60)</f>
        <v>60</v>
      </c>
      <c r="AA82" s="15">
        <f>AVERAGE(5,5,5,5)</f>
        <v>5</v>
      </c>
      <c r="AB82" s="15">
        <f t="shared" si="31"/>
        <v>0</v>
      </c>
      <c r="AC82" s="15">
        <f t="shared" si="31"/>
        <v>0</v>
      </c>
      <c r="AD82" s="15">
        <f>AVERAGE(5,5,5,5)</f>
        <v>5</v>
      </c>
      <c r="AE82" s="15">
        <f>AVERAGE(0,0,0,0)</f>
        <v>0</v>
      </c>
      <c r="AF82" s="15">
        <f>AVERAGE(10,10,10,10)</f>
        <v>10</v>
      </c>
      <c r="AG82" s="15"/>
      <c r="AH82" s="15"/>
      <c r="AI82" s="15"/>
      <c r="AJ82" s="15"/>
      <c r="AK82" s="15"/>
      <c r="AL82" s="15"/>
    </row>
    <row r="83" spans="1:38" ht="14.25" customHeight="1" x14ac:dyDescent="0.25">
      <c r="A83" s="6" t="s">
        <v>208</v>
      </c>
      <c r="B83" s="15"/>
      <c r="C83" s="15"/>
      <c r="D83" s="15"/>
      <c r="E83" s="19">
        <v>213</v>
      </c>
      <c r="F83" s="19">
        <v>16</v>
      </c>
      <c r="G83" s="2">
        <v>6.23</v>
      </c>
      <c r="H83" s="15"/>
      <c r="I83" s="15"/>
      <c r="J83" s="21">
        <f>1/(AVERAGE(3.56,3.58,5.17,3.91,4.85,3.86,3.87))</f>
        <v>0.24305555555555552</v>
      </c>
      <c r="K83" s="15">
        <f>AVERAGE(3,2)</f>
        <v>2.5</v>
      </c>
      <c r="L83" s="15">
        <v>14</v>
      </c>
      <c r="M83" s="19">
        <f>AVERAGE(9,14,11)</f>
        <v>11.333333333333334</v>
      </c>
      <c r="N83" s="15">
        <f>AVERAGE(10,10,10,10)</f>
        <v>10</v>
      </c>
      <c r="O83" s="2">
        <v>1.1399999999999999</v>
      </c>
      <c r="P83" s="15">
        <f>AVERAGE(10,10,10,10)</f>
        <v>10</v>
      </c>
      <c r="Q83" s="15">
        <f>AVERAGE(90,90,90,90)</f>
        <v>90</v>
      </c>
      <c r="R83" s="15">
        <f t="shared" si="32"/>
        <v>0</v>
      </c>
      <c r="S83" s="15">
        <f t="shared" si="32"/>
        <v>0</v>
      </c>
      <c r="T83" s="15">
        <f t="shared" si="32"/>
        <v>0</v>
      </c>
      <c r="U83" s="15">
        <f t="shared" si="32"/>
        <v>0</v>
      </c>
      <c r="V83" s="15">
        <f t="shared" si="32"/>
        <v>0</v>
      </c>
      <c r="W83" s="15">
        <f t="shared" si="32"/>
        <v>0</v>
      </c>
      <c r="X83" s="15">
        <f>AVERAGE(0,0,0,0)</f>
        <v>0</v>
      </c>
      <c r="Y83" s="15">
        <f>AVERAGE(0,0,0,0)</f>
        <v>0</v>
      </c>
      <c r="Z83" s="15">
        <f>AVERAGE(70,70,70,70)</f>
        <v>70</v>
      </c>
      <c r="AA83" s="15">
        <f>AVERAGE(10,10,10,10)</f>
        <v>10</v>
      </c>
      <c r="AB83" s="15">
        <f t="shared" si="31"/>
        <v>0</v>
      </c>
      <c r="AC83" s="15">
        <f t="shared" si="31"/>
        <v>0</v>
      </c>
      <c r="AD83" s="15">
        <f>AVERAGE(10,10,10,10)</f>
        <v>10</v>
      </c>
      <c r="AE83" s="15">
        <f>AVERAGE(10,10,10,10)</f>
        <v>10</v>
      </c>
      <c r="AF83" s="15">
        <f>AVERAGE(10,10,10,10)</f>
        <v>10</v>
      </c>
      <c r="AG83" s="15"/>
      <c r="AH83" s="15"/>
      <c r="AI83" s="15"/>
      <c r="AJ83" s="15"/>
      <c r="AK83" s="15"/>
      <c r="AL83" s="15"/>
    </row>
    <row r="84" spans="1:38" ht="14.25" customHeight="1" x14ac:dyDescent="0.25">
      <c r="A84" s="6" t="s">
        <v>209</v>
      </c>
      <c r="B84" s="15"/>
      <c r="C84" s="15"/>
      <c r="D84" s="15"/>
      <c r="E84" s="15">
        <v>212.5</v>
      </c>
      <c r="F84" s="15">
        <v>7</v>
      </c>
      <c r="G84" s="15">
        <v>6.93</v>
      </c>
      <c r="H84" s="15"/>
      <c r="I84" s="15"/>
      <c r="J84" s="21">
        <v>0</v>
      </c>
      <c r="K84" s="19">
        <f>AVERAGE(1,1)</f>
        <v>1</v>
      </c>
      <c r="L84" s="15"/>
      <c r="M84" s="19">
        <f>AVERAGE(27)</f>
        <v>27</v>
      </c>
      <c r="N84" s="15">
        <f>AVERAGE(13,13,13,13)</f>
        <v>13</v>
      </c>
      <c r="O84" s="15"/>
      <c r="P84" s="15">
        <f>AVERAGE(0,0,0,0)</f>
        <v>0</v>
      </c>
      <c r="Q84" s="15">
        <f>AVERAGE(100,100,100,100)</f>
        <v>100</v>
      </c>
      <c r="R84" s="15">
        <f t="shared" si="32"/>
        <v>0</v>
      </c>
      <c r="S84" s="15">
        <f t="shared" si="32"/>
        <v>0</v>
      </c>
      <c r="T84" s="15">
        <f t="shared" si="32"/>
        <v>0</v>
      </c>
      <c r="U84" s="15">
        <f t="shared" si="32"/>
        <v>0</v>
      </c>
      <c r="V84" s="15">
        <f t="shared" si="32"/>
        <v>0</v>
      </c>
      <c r="W84" s="15">
        <f t="shared" si="32"/>
        <v>0</v>
      </c>
      <c r="X84" s="15">
        <f>AVERAGE(15,15,15,15)</f>
        <v>15</v>
      </c>
      <c r="Y84" s="15">
        <f>AVERAGE(15,15,15,15)</f>
        <v>15</v>
      </c>
      <c r="Z84" s="15">
        <f>AVERAGE(0,0,0,0)</f>
        <v>0</v>
      </c>
      <c r="AA84" s="15">
        <f>AVERAGE(0,0,0,0)</f>
        <v>0</v>
      </c>
      <c r="AB84" s="15">
        <f t="shared" si="31"/>
        <v>0</v>
      </c>
      <c r="AC84" s="15">
        <f t="shared" si="31"/>
        <v>0</v>
      </c>
      <c r="AD84" s="15">
        <f t="shared" ref="AD84:AE86" si="33">AVERAGE(0,0,0,0)</f>
        <v>0</v>
      </c>
      <c r="AE84" s="15">
        <f t="shared" si="33"/>
        <v>0</v>
      </c>
      <c r="AF84" s="15">
        <f>AVERAGE(5,5,5,5)</f>
        <v>5</v>
      </c>
      <c r="AG84" s="15"/>
      <c r="AH84" s="15"/>
      <c r="AI84" s="15"/>
      <c r="AJ84" s="15"/>
      <c r="AK84" s="15"/>
      <c r="AL84" s="15"/>
    </row>
    <row r="85" spans="1:38" ht="14.25" customHeight="1" x14ac:dyDescent="0.25">
      <c r="A85" s="6" t="s">
        <v>210</v>
      </c>
      <c r="B85" s="15"/>
      <c r="C85" s="15"/>
      <c r="D85" s="15"/>
      <c r="E85" s="15">
        <v>141.30000000000001</v>
      </c>
      <c r="F85" s="15">
        <v>20</v>
      </c>
      <c r="G85" s="15">
        <v>6.27</v>
      </c>
      <c r="H85" s="15"/>
      <c r="I85" s="15"/>
      <c r="J85" s="21">
        <v>0</v>
      </c>
      <c r="K85" s="19">
        <f>AVERAGE(1,1)</f>
        <v>1</v>
      </c>
      <c r="L85" s="15">
        <v>1.1000000000000001</v>
      </c>
      <c r="M85" s="19">
        <f>AVERAGE(20,1.1,21)</f>
        <v>14.033333333333333</v>
      </c>
      <c r="N85" s="15">
        <f>AVERAGE(19,19,19,19)</f>
        <v>19</v>
      </c>
      <c r="O85" s="15"/>
      <c r="P85" s="15">
        <f t="shared" ref="P85:P92" si="34">AVERAGE(100,100,100,100)</f>
        <v>100</v>
      </c>
      <c r="Q85" s="15">
        <f t="shared" ref="Q85:Q92" si="35">AVERAGE(0,0,0,0)</f>
        <v>0</v>
      </c>
      <c r="R85" s="15">
        <f t="shared" si="32"/>
        <v>0</v>
      </c>
      <c r="S85" s="15">
        <f t="shared" si="32"/>
        <v>0</v>
      </c>
      <c r="T85" s="15">
        <f t="shared" si="32"/>
        <v>0</v>
      </c>
      <c r="U85" s="15">
        <f t="shared" si="32"/>
        <v>0</v>
      </c>
      <c r="V85" s="15">
        <f t="shared" si="32"/>
        <v>0</v>
      </c>
      <c r="W85" s="15">
        <f t="shared" si="32"/>
        <v>0</v>
      </c>
      <c r="X85" s="15">
        <f>AVERAGE(40,40,40,40)</f>
        <v>40</v>
      </c>
      <c r="Y85" s="15">
        <f>AVERAGE(20,20,20,20)</f>
        <v>20</v>
      </c>
      <c r="Z85" s="15">
        <f>AVERAGE(0,0,0,0)</f>
        <v>0</v>
      </c>
      <c r="AA85" s="15">
        <f>AVERAGE(0,0,0,0)</f>
        <v>0</v>
      </c>
      <c r="AB85" s="15">
        <f t="shared" si="31"/>
        <v>0</v>
      </c>
      <c r="AC85" s="15">
        <f t="shared" si="31"/>
        <v>0</v>
      </c>
      <c r="AD85" s="15">
        <f t="shared" si="33"/>
        <v>0</v>
      </c>
      <c r="AE85" s="15">
        <f t="shared" si="33"/>
        <v>0</v>
      </c>
      <c r="AF85" s="15">
        <f>AVERAGE(10,10,10,10)</f>
        <v>10</v>
      </c>
      <c r="AG85" s="15"/>
      <c r="AH85" s="15"/>
      <c r="AI85" s="15"/>
      <c r="AJ85" s="15"/>
      <c r="AK85" s="15"/>
      <c r="AL85" s="15"/>
    </row>
    <row r="86" spans="1:38" ht="14.25" customHeight="1" x14ac:dyDescent="0.25">
      <c r="A86" s="6" t="s">
        <v>211</v>
      </c>
      <c r="B86" s="15"/>
      <c r="C86" s="15"/>
      <c r="D86" s="15"/>
      <c r="E86" s="15">
        <v>109.3</v>
      </c>
      <c r="F86" s="15">
        <v>16</v>
      </c>
      <c r="G86" s="15">
        <v>6.22</v>
      </c>
      <c r="H86" s="15"/>
      <c r="I86" s="15"/>
      <c r="J86" s="21">
        <v>0</v>
      </c>
      <c r="K86" s="19">
        <f>AVERAGE(1,1)</f>
        <v>1</v>
      </c>
      <c r="L86" s="15"/>
      <c r="M86" s="19">
        <f>AVERAGE(34)</f>
        <v>34</v>
      </c>
      <c r="N86" s="15">
        <f>AVERAGE(12,12,12,12)</f>
        <v>12</v>
      </c>
      <c r="O86" s="2">
        <v>26.46</v>
      </c>
      <c r="P86" s="15">
        <f t="shared" si="34"/>
        <v>100</v>
      </c>
      <c r="Q86" s="15">
        <f t="shared" si="35"/>
        <v>0</v>
      </c>
      <c r="R86" s="15">
        <f t="shared" si="32"/>
        <v>0</v>
      </c>
      <c r="S86" s="15">
        <f t="shared" si="32"/>
        <v>0</v>
      </c>
      <c r="T86" s="15">
        <f t="shared" si="32"/>
        <v>0</v>
      </c>
      <c r="U86" s="15">
        <f t="shared" si="32"/>
        <v>0</v>
      </c>
      <c r="V86" s="15">
        <f t="shared" si="32"/>
        <v>0</v>
      </c>
      <c r="W86" s="15">
        <f t="shared" si="32"/>
        <v>0</v>
      </c>
      <c r="X86" s="15">
        <f>AVERAGE(40,40,40,40)</f>
        <v>40</v>
      </c>
      <c r="Y86" s="15">
        <f>AVERAGE(5,5,5,5)</f>
        <v>5</v>
      </c>
      <c r="Z86" s="15">
        <f>AVERAGE(0,0,0,0)</f>
        <v>0</v>
      </c>
      <c r="AA86" s="15">
        <f>AVERAGE(5,5,5,5)</f>
        <v>5</v>
      </c>
      <c r="AB86" s="15">
        <f t="shared" si="31"/>
        <v>0</v>
      </c>
      <c r="AC86" s="15">
        <f t="shared" si="31"/>
        <v>0</v>
      </c>
      <c r="AD86" s="15">
        <f t="shared" si="33"/>
        <v>0</v>
      </c>
      <c r="AE86" s="15">
        <f t="shared" si="33"/>
        <v>0</v>
      </c>
      <c r="AF86" s="15">
        <f>AVERAGE(0,0,0,0)</f>
        <v>0</v>
      </c>
      <c r="AG86" s="15"/>
      <c r="AH86" s="15"/>
      <c r="AI86" s="15"/>
      <c r="AJ86" s="15"/>
      <c r="AK86" s="15"/>
      <c r="AL86" s="15"/>
    </row>
    <row r="87" spans="1:38" ht="14.25" customHeight="1" x14ac:dyDescent="0.25">
      <c r="A87" s="6" t="s">
        <v>212</v>
      </c>
      <c r="B87" s="15"/>
      <c r="C87" s="15"/>
      <c r="D87" s="15"/>
      <c r="E87" s="15">
        <v>110.9</v>
      </c>
      <c r="F87" s="15">
        <v>61</v>
      </c>
      <c r="G87" s="15">
        <v>6.31</v>
      </c>
      <c r="H87" s="15"/>
      <c r="I87" s="15"/>
      <c r="J87" s="21">
        <f>1/(AVERAGE(2.33,2.23,2.53,2.31,1.99,3.44,3.79,2.45))</f>
        <v>0.37968675842429994</v>
      </c>
      <c r="K87" s="19">
        <f>AVERAGE(3,2)</f>
        <v>2.5</v>
      </c>
      <c r="L87" s="15"/>
      <c r="M87" s="19">
        <f>AVERAGE(25)</f>
        <v>25</v>
      </c>
      <c r="N87" s="15">
        <f>AVERAGE(21,21,21,21)</f>
        <v>21</v>
      </c>
      <c r="O87" s="10">
        <v>5.8</v>
      </c>
      <c r="P87" s="15">
        <f t="shared" si="34"/>
        <v>100</v>
      </c>
      <c r="Q87" s="15">
        <f t="shared" si="35"/>
        <v>0</v>
      </c>
      <c r="R87" s="15">
        <f t="shared" si="32"/>
        <v>0</v>
      </c>
      <c r="S87" s="15">
        <f t="shared" si="32"/>
        <v>0</v>
      </c>
      <c r="T87" s="15">
        <f t="shared" si="32"/>
        <v>0</v>
      </c>
      <c r="U87" s="15">
        <f t="shared" si="32"/>
        <v>0</v>
      </c>
      <c r="V87" s="15">
        <f t="shared" si="32"/>
        <v>0</v>
      </c>
      <c r="W87" s="15">
        <f t="shared" si="32"/>
        <v>0</v>
      </c>
      <c r="X87" s="15">
        <f>AVERAGE(10,10,10,10)</f>
        <v>10</v>
      </c>
      <c r="Y87" s="15">
        <f>AVERAGE(10,10,10,10)</f>
        <v>10</v>
      </c>
      <c r="Z87" s="15">
        <f>AVERAGE(25,25,25,25)</f>
        <v>25</v>
      </c>
      <c r="AA87" s="15">
        <f>AVERAGE(0,0,0,0)</f>
        <v>0</v>
      </c>
      <c r="AB87" s="15">
        <f t="shared" si="31"/>
        <v>0</v>
      </c>
      <c r="AC87" s="15">
        <f t="shared" si="31"/>
        <v>0</v>
      </c>
      <c r="AD87" s="15">
        <f>AVERAGE(10,10,10,10)</f>
        <v>10</v>
      </c>
      <c r="AE87" s="15">
        <f>AVERAGE(15,15,15,15)</f>
        <v>15</v>
      </c>
      <c r="AF87" s="15">
        <f>AVERAGE(20,20,20,20)</f>
        <v>20</v>
      </c>
      <c r="AG87" s="15"/>
      <c r="AH87" s="15"/>
      <c r="AI87" s="15"/>
      <c r="AJ87" s="15"/>
      <c r="AK87" s="15"/>
      <c r="AL87" s="15"/>
    </row>
    <row r="88" spans="1:38" ht="14.25" customHeight="1" x14ac:dyDescent="0.25">
      <c r="A88" s="6" t="s">
        <v>213</v>
      </c>
      <c r="B88" s="15"/>
      <c r="C88" s="15"/>
      <c r="D88" s="15"/>
      <c r="E88" s="15">
        <v>124.9</v>
      </c>
      <c r="F88" s="15">
        <v>51</v>
      </c>
      <c r="G88" s="15">
        <v>6.28</v>
      </c>
      <c r="H88" s="15"/>
      <c r="I88" s="15"/>
      <c r="J88" s="21">
        <f>1/(AVERAGE(2.05,1.89,2.39,2.13,1.26,2.36,1.47,2.09,2.09))</f>
        <v>0.50761421319796951</v>
      </c>
      <c r="K88" s="19">
        <f>AVERAGE(4,2)</f>
        <v>3</v>
      </c>
      <c r="L88" s="15">
        <v>1.07</v>
      </c>
      <c r="M88" s="19">
        <f>AVERAGE(23,1.07,23)</f>
        <v>15.69</v>
      </c>
      <c r="N88" s="15">
        <f>AVERAGE(18,18,18,18)</f>
        <v>18</v>
      </c>
      <c r="O88" s="10">
        <v>4.9000000000000004</v>
      </c>
      <c r="P88" s="15">
        <f t="shared" si="34"/>
        <v>100</v>
      </c>
      <c r="Q88" s="15">
        <f t="shared" si="35"/>
        <v>0</v>
      </c>
      <c r="R88" s="15">
        <f t="shared" si="32"/>
        <v>0</v>
      </c>
      <c r="S88" s="15">
        <f t="shared" si="32"/>
        <v>0</v>
      </c>
      <c r="T88" s="15">
        <f t="shared" si="32"/>
        <v>0</v>
      </c>
      <c r="U88" s="15">
        <f t="shared" si="32"/>
        <v>0</v>
      </c>
      <c r="V88" s="15">
        <f t="shared" si="32"/>
        <v>0</v>
      </c>
      <c r="W88" s="15">
        <f t="shared" si="32"/>
        <v>0</v>
      </c>
      <c r="X88" s="15">
        <f>AVERAGE(5,5,5,5)</f>
        <v>5</v>
      </c>
      <c r="Y88" s="15">
        <f>AVERAGE(10,10,10,10)</f>
        <v>10</v>
      </c>
      <c r="Z88" s="15">
        <f>AVERAGE(30,30,30,30)</f>
        <v>30</v>
      </c>
      <c r="AA88" s="15">
        <f>AVERAGE(0,0,0,0)</f>
        <v>0</v>
      </c>
      <c r="AB88" s="15">
        <f t="shared" si="31"/>
        <v>0</v>
      </c>
      <c r="AC88" s="15">
        <f t="shared" si="31"/>
        <v>0</v>
      </c>
      <c r="AD88" s="15">
        <f>AVERAGE(15,15,15,15)</f>
        <v>15</v>
      </c>
      <c r="AE88" s="15">
        <f>AVERAGE(20,20,20,20)</f>
        <v>20</v>
      </c>
      <c r="AF88" s="15">
        <f>AVERAGE(5,5,5,5)</f>
        <v>5</v>
      </c>
      <c r="AG88" s="15"/>
      <c r="AH88" s="15"/>
      <c r="AI88" s="15"/>
      <c r="AJ88" s="15"/>
      <c r="AK88" s="15"/>
      <c r="AL88" s="15"/>
    </row>
    <row r="89" spans="1:38" ht="14.25" customHeight="1" x14ac:dyDescent="0.25">
      <c r="A89" s="6" t="s">
        <v>214</v>
      </c>
      <c r="B89" s="15"/>
      <c r="C89" s="15"/>
      <c r="D89" s="15"/>
      <c r="E89" s="15">
        <v>116.4</v>
      </c>
      <c r="F89" s="15">
        <v>40</v>
      </c>
      <c r="G89" s="15">
        <v>6.3</v>
      </c>
      <c r="H89" s="15"/>
      <c r="I89" s="15"/>
      <c r="J89" s="21">
        <f>1/(AVERAGE(1.69,3.19,2.54,2.61,2.13,2.03,1.91,3.38,1.97,1.32))</f>
        <v>0.43917435221783052</v>
      </c>
      <c r="K89" s="19">
        <f>AVERAGE(4,3)</f>
        <v>3.5</v>
      </c>
      <c r="L89" s="15">
        <v>90</v>
      </c>
      <c r="M89" s="19">
        <f>AVERAGE(65,90,15)</f>
        <v>56.666666666666664</v>
      </c>
      <c r="N89" s="15">
        <f>AVERAGE(12,12,12,12)</f>
        <v>12</v>
      </c>
      <c r="O89" s="10">
        <v>5.8</v>
      </c>
      <c r="P89" s="15">
        <f t="shared" si="34"/>
        <v>100</v>
      </c>
      <c r="Q89" s="15">
        <f t="shared" si="35"/>
        <v>0</v>
      </c>
      <c r="R89" s="15">
        <f t="shared" si="32"/>
        <v>0</v>
      </c>
      <c r="S89" s="15">
        <f t="shared" si="32"/>
        <v>0</v>
      </c>
      <c r="T89" s="15">
        <f t="shared" si="32"/>
        <v>0</v>
      </c>
      <c r="U89" s="15">
        <f t="shared" si="32"/>
        <v>0</v>
      </c>
      <c r="V89" s="15">
        <f t="shared" si="32"/>
        <v>0</v>
      </c>
      <c r="W89" s="15">
        <f t="shared" si="32"/>
        <v>0</v>
      </c>
      <c r="X89" s="15">
        <f>AVERAGE(5,5,5,5)</f>
        <v>5</v>
      </c>
      <c r="Y89" s="15">
        <f>AVERAGE(15,15,15,15)</f>
        <v>15</v>
      </c>
      <c r="Z89" s="15">
        <f>AVERAGE(15,15,15,15)</f>
        <v>15</v>
      </c>
      <c r="AA89" s="15">
        <f>AVERAGE(0,0,0,0)</f>
        <v>0</v>
      </c>
      <c r="AB89" s="15">
        <f t="shared" si="31"/>
        <v>0</v>
      </c>
      <c r="AC89" s="15">
        <f t="shared" si="31"/>
        <v>0</v>
      </c>
      <c r="AD89" s="15">
        <f>AVERAGE(15,15,15,15)</f>
        <v>15</v>
      </c>
      <c r="AE89" s="15">
        <f>AVERAGE(0,0,0,0)</f>
        <v>0</v>
      </c>
      <c r="AF89" s="15">
        <f>AVERAGE(5,5,5,5)</f>
        <v>5</v>
      </c>
      <c r="AG89" s="15"/>
      <c r="AH89" s="15"/>
      <c r="AI89" s="15"/>
      <c r="AJ89" s="15"/>
      <c r="AK89" s="15"/>
      <c r="AL89" s="15"/>
    </row>
    <row r="90" spans="1:38" ht="14.25" customHeight="1" x14ac:dyDescent="0.25">
      <c r="A90" s="6" t="s">
        <v>215</v>
      </c>
      <c r="B90" s="15"/>
      <c r="C90" s="15"/>
      <c r="D90" s="15"/>
      <c r="E90" s="15">
        <v>119.5</v>
      </c>
      <c r="F90" s="15">
        <v>41</v>
      </c>
      <c r="G90" s="15">
        <v>6.35</v>
      </c>
      <c r="H90" s="15"/>
      <c r="I90" s="15"/>
      <c r="J90" s="21">
        <f>1/(AVERAGE(7.9,5.89,9.35,7.29,6.91))</f>
        <v>0.13390465988216388</v>
      </c>
      <c r="K90" s="19">
        <f>AVERAGE(1,1)</f>
        <v>1</v>
      </c>
      <c r="L90" s="15">
        <v>81</v>
      </c>
      <c r="M90" s="19">
        <f>AVERAGE(76,81,21,)</f>
        <v>44.5</v>
      </c>
      <c r="N90" s="15">
        <f>AVERAGE(23,23,23,23)</f>
        <v>23</v>
      </c>
      <c r="O90" s="10">
        <v>20.2</v>
      </c>
      <c r="P90" s="15">
        <f t="shared" si="34"/>
        <v>100</v>
      </c>
      <c r="Q90" s="15">
        <f t="shared" si="35"/>
        <v>0</v>
      </c>
      <c r="R90" s="15">
        <f t="shared" ref="R90:V98" si="36">AVERAGE(0,0,0,0)</f>
        <v>0</v>
      </c>
      <c r="S90" s="15">
        <f t="shared" si="36"/>
        <v>0</v>
      </c>
      <c r="T90" s="15">
        <f t="shared" si="36"/>
        <v>0</v>
      </c>
      <c r="U90" s="15">
        <f t="shared" si="36"/>
        <v>0</v>
      </c>
      <c r="V90" s="15">
        <f t="shared" si="36"/>
        <v>0</v>
      </c>
      <c r="W90" s="15">
        <f>AVERAGE(10,10,10,10)</f>
        <v>10</v>
      </c>
      <c r="X90" s="15">
        <f>AVERAGE(10,10,10,10)</f>
        <v>10</v>
      </c>
      <c r="Y90" s="15">
        <f>AVERAGE(20,20,20,20)</f>
        <v>20</v>
      </c>
      <c r="Z90" s="15">
        <f>AVERAGE(0,0,0,0)</f>
        <v>0</v>
      </c>
      <c r="AA90" s="15">
        <f>AVERAGE(0,0,0,0)</f>
        <v>0</v>
      </c>
      <c r="AB90" s="15">
        <f t="shared" si="31"/>
        <v>0</v>
      </c>
      <c r="AC90" s="15">
        <f t="shared" si="31"/>
        <v>0</v>
      </c>
      <c r="AD90" s="15">
        <f>AVERAGE(0,0,0,0)</f>
        <v>0</v>
      </c>
      <c r="AE90" s="15">
        <f>AVERAGE(0,0,0,0)</f>
        <v>0</v>
      </c>
      <c r="AF90" s="15">
        <f>AVERAGE(0,0,0,0)</f>
        <v>0</v>
      </c>
      <c r="AG90" s="15"/>
      <c r="AH90" s="15"/>
      <c r="AI90" s="15"/>
      <c r="AJ90" s="15"/>
      <c r="AK90" s="15"/>
      <c r="AL90" s="15"/>
    </row>
    <row r="91" spans="1:38" ht="14.25" customHeight="1" x14ac:dyDescent="0.25">
      <c r="A91" s="6" t="s">
        <v>216</v>
      </c>
      <c r="B91" s="15"/>
      <c r="C91" s="15"/>
      <c r="D91" s="15"/>
      <c r="E91" s="15">
        <v>104.9</v>
      </c>
      <c r="F91" s="15">
        <v>42</v>
      </c>
      <c r="G91" s="15">
        <v>6.25</v>
      </c>
      <c r="H91" s="15"/>
      <c r="I91" s="15"/>
      <c r="J91" s="21">
        <f>1/(AVERAGE(18.18,21.37,15.68,19.07))</f>
        <v>5.3835800807537013E-2</v>
      </c>
      <c r="K91" s="19">
        <f>AVERAGE(1,1)</f>
        <v>1</v>
      </c>
      <c r="L91" s="15">
        <v>82</v>
      </c>
      <c r="M91" s="19">
        <f>AVERAGE(16,82,38)</f>
        <v>45.333333333333336</v>
      </c>
      <c r="N91" s="15">
        <f>AVERAGE(12,12,12,12)</f>
        <v>12</v>
      </c>
      <c r="O91" s="10">
        <v>34.6</v>
      </c>
      <c r="P91" s="15">
        <f t="shared" si="34"/>
        <v>100</v>
      </c>
      <c r="Q91" s="15">
        <f t="shared" si="35"/>
        <v>0</v>
      </c>
      <c r="R91" s="15">
        <f t="shared" si="36"/>
        <v>0</v>
      </c>
      <c r="S91" s="15">
        <f t="shared" si="36"/>
        <v>0</v>
      </c>
      <c r="T91" s="15">
        <f t="shared" si="36"/>
        <v>0</v>
      </c>
      <c r="U91" s="15">
        <f t="shared" si="36"/>
        <v>0</v>
      </c>
      <c r="V91" s="15">
        <f t="shared" si="36"/>
        <v>0</v>
      </c>
      <c r="W91" s="15">
        <f t="shared" ref="W91:W98" si="37">AVERAGE(0,0,0,0)</f>
        <v>0</v>
      </c>
      <c r="X91" s="15">
        <f>AVERAGE(5,5,5,5)</f>
        <v>5</v>
      </c>
      <c r="Y91" s="15">
        <f>AVERAGE(10,10,10,10)</f>
        <v>10</v>
      </c>
      <c r="Z91" s="15">
        <f>AVERAGE(50,50,50,50)</f>
        <v>50</v>
      </c>
      <c r="AA91" s="15">
        <f>AVERAGE(10,10,10,10)</f>
        <v>10</v>
      </c>
      <c r="AB91" s="15">
        <f t="shared" si="31"/>
        <v>0</v>
      </c>
      <c r="AC91" s="15">
        <f t="shared" si="31"/>
        <v>0</v>
      </c>
      <c r="AD91" s="15">
        <f>AVERAGE(5,5,5,5)</f>
        <v>5</v>
      </c>
      <c r="AE91" s="15">
        <f>AVERAGE(15,15,15,15)</f>
        <v>15</v>
      </c>
      <c r="AF91" s="15">
        <f>AVERAGE(15,15,15,15)</f>
        <v>15</v>
      </c>
      <c r="AG91" s="15"/>
      <c r="AH91" s="15"/>
      <c r="AI91" s="15"/>
      <c r="AJ91" s="15"/>
      <c r="AK91" s="15"/>
      <c r="AL91" s="15"/>
    </row>
    <row r="92" spans="1:38" ht="14.25" customHeight="1" x14ac:dyDescent="0.25">
      <c r="A92" s="6" t="s">
        <v>217</v>
      </c>
      <c r="B92" s="15"/>
      <c r="C92" s="15"/>
      <c r="D92" s="15"/>
      <c r="E92" s="15">
        <v>100.8</v>
      </c>
      <c r="F92" s="15">
        <v>64</v>
      </c>
      <c r="G92" s="15">
        <v>6.05</v>
      </c>
      <c r="H92" s="15"/>
      <c r="I92" s="15"/>
      <c r="J92" s="21">
        <f>1/(AVERAGE(18.18,21.37,15.68,19.07))</f>
        <v>5.3835800807537013E-2</v>
      </c>
      <c r="K92" s="19">
        <f>AVERAGE(1,1)</f>
        <v>1</v>
      </c>
      <c r="L92" s="15">
        <v>28</v>
      </c>
      <c r="M92" s="19">
        <f>AVERAGE(12,28,14)</f>
        <v>18</v>
      </c>
      <c r="N92" s="15">
        <f>AVERAGE(9,9,9,9)</f>
        <v>9</v>
      </c>
      <c r="O92" s="10">
        <v>34.6</v>
      </c>
      <c r="P92" s="15">
        <f t="shared" si="34"/>
        <v>100</v>
      </c>
      <c r="Q92" s="15">
        <f t="shared" si="35"/>
        <v>0</v>
      </c>
      <c r="R92" s="15">
        <f t="shared" si="36"/>
        <v>0</v>
      </c>
      <c r="S92" s="15">
        <f t="shared" si="36"/>
        <v>0</v>
      </c>
      <c r="T92" s="15">
        <f t="shared" si="36"/>
        <v>0</v>
      </c>
      <c r="U92" s="15">
        <f t="shared" si="36"/>
        <v>0</v>
      </c>
      <c r="V92" s="15">
        <f t="shared" si="36"/>
        <v>0</v>
      </c>
      <c r="W92" s="15">
        <f t="shared" si="37"/>
        <v>0</v>
      </c>
      <c r="X92" s="15">
        <f>AVERAGE(5,5,5,5)</f>
        <v>5</v>
      </c>
      <c r="Y92" s="15">
        <f>AVERAGE(10,10,10,10)</f>
        <v>10</v>
      </c>
      <c r="Z92" s="15">
        <f>AVERAGE(70,70,70,70)</f>
        <v>70</v>
      </c>
      <c r="AA92" s="15">
        <f>AVERAGE(10,10,10,10)</f>
        <v>10</v>
      </c>
      <c r="AB92" s="15">
        <f t="shared" si="31"/>
        <v>0</v>
      </c>
      <c r="AC92" s="15">
        <f t="shared" si="31"/>
        <v>0</v>
      </c>
      <c r="AD92" s="15">
        <f>AVERAGE(5,5,5,5)</f>
        <v>5</v>
      </c>
      <c r="AE92" s="15">
        <f>AVERAGE(15,15,15,15)</f>
        <v>15</v>
      </c>
      <c r="AF92" s="15">
        <f>AVERAGE(15,15,15,15)</f>
        <v>15</v>
      </c>
      <c r="AG92" s="15"/>
      <c r="AH92" s="15"/>
      <c r="AI92" s="15"/>
      <c r="AJ92" s="15"/>
      <c r="AK92" s="15"/>
      <c r="AL92" s="15"/>
    </row>
    <row r="93" spans="1:38" ht="14.25" customHeight="1" x14ac:dyDescent="0.25">
      <c r="A93" s="6" t="s">
        <v>218</v>
      </c>
      <c r="B93" s="15"/>
      <c r="C93" s="15"/>
      <c r="D93" s="15"/>
      <c r="E93" s="2">
        <v>137</v>
      </c>
      <c r="F93" s="2">
        <v>14</v>
      </c>
      <c r="G93" s="2">
        <v>6.73</v>
      </c>
      <c r="H93" s="15"/>
      <c r="I93" s="15"/>
      <c r="J93" s="21">
        <f>1/(AVERAGE(2.82,2.86,2.42,2.34,3.13,2.45,2.15))</f>
        <v>0.38525041276829941</v>
      </c>
      <c r="K93" s="19">
        <f>AVERAGE(4,3)</f>
        <v>3.5</v>
      </c>
      <c r="L93" s="15">
        <v>48</v>
      </c>
      <c r="M93" s="19">
        <f>AVERAGE(37,48,37)</f>
        <v>40.666666666666664</v>
      </c>
      <c r="N93" s="15">
        <f>AVERAGE(30,30,30,30)</f>
        <v>30</v>
      </c>
      <c r="O93" s="10">
        <v>3.3</v>
      </c>
      <c r="P93" s="15">
        <f>AVERAGE(5,5,5,5)</f>
        <v>5</v>
      </c>
      <c r="Q93" s="15">
        <f>AVERAGE(95,95,95,95)</f>
        <v>95</v>
      </c>
      <c r="R93" s="15">
        <f t="shared" si="36"/>
        <v>0</v>
      </c>
      <c r="S93" s="15">
        <f t="shared" si="36"/>
        <v>0</v>
      </c>
      <c r="T93" s="15">
        <f t="shared" si="36"/>
        <v>0</v>
      </c>
      <c r="U93" s="15">
        <f t="shared" si="36"/>
        <v>0</v>
      </c>
      <c r="V93" s="15">
        <f t="shared" si="36"/>
        <v>0</v>
      </c>
      <c r="W93" s="15">
        <f t="shared" si="37"/>
        <v>0</v>
      </c>
      <c r="X93" s="15">
        <f t="shared" ref="X93:Y95" si="38">AVERAGE(0,0,0,0)</f>
        <v>0</v>
      </c>
      <c r="Y93" s="15">
        <f t="shared" si="38"/>
        <v>0</v>
      </c>
      <c r="Z93" s="15">
        <f>AVERAGE(70,70,70,70)</f>
        <v>70</v>
      </c>
      <c r="AA93" s="15">
        <f>AVERAGE(5,5,5,5)</f>
        <v>5</v>
      </c>
      <c r="AB93" s="15">
        <f t="shared" si="31"/>
        <v>0</v>
      </c>
      <c r="AC93" s="15">
        <f t="shared" si="31"/>
        <v>0</v>
      </c>
      <c r="AD93" s="15">
        <f>AVERAGE(5,5,5,5)</f>
        <v>5</v>
      </c>
      <c r="AE93" s="15">
        <f t="shared" ref="AE93:AF95" si="39">AVERAGE(0,0,0,0)</f>
        <v>0</v>
      </c>
      <c r="AF93" s="15">
        <f t="shared" si="39"/>
        <v>0</v>
      </c>
      <c r="AG93" s="15"/>
      <c r="AH93" s="15"/>
      <c r="AI93" s="15"/>
      <c r="AJ93" s="15"/>
      <c r="AK93" s="15"/>
      <c r="AL93" s="15"/>
    </row>
    <row r="94" spans="1:38" ht="14.25" customHeight="1" x14ac:dyDescent="0.25">
      <c r="A94" s="6" t="s">
        <v>219</v>
      </c>
      <c r="B94" s="15"/>
      <c r="C94" s="15"/>
      <c r="D94" s="15"/>
      <c r="E94" s="2">
        <v>126.4</v>
      </c>
      <c r="F94" s="2">
        <v>12</v>
      </c>
      <c r="G94" s="2">
        <v>6.43</v>
      </c>
      <c r="H94" s="15"/>
      <c r="I94" s="15"/>
      <c r="J94" s="21">
        <f>1/(AVERAGE(2.31,1.88,2.74,2.3,2.34,2.59,2.23))</f>
        <v>0.42708968883465526</v>
      </c>
      <c r="K94" s="19">
        <f>AVERAGE(3,2)</f>
        <v>2.5</v>
      </c>
      <c r="L94" s="15">
        <v>74</v>
      </c>
      <c r="M94" s="19">
        <f>AVERAGE(59,74,59)</f>
        <v>64</v>
      </c>
      <c r="N94" s="15">
        <f>AVERAGE(53,53,53,53)</f>
        <v>53</v>
      </c>
      <c r="O94" s="10">
        <v>2.6</v>
      </c>
      <c r="P94" s="15">
        <f>AVERAGE(0,0,0,0)</f>
        <v>0</v>
      </c>
      <c r="Q94" s="15">
        <f>AVERAGE(100,100,100,100)</f>
        <v>100</v>
      </c>
      <c r="R94" s="15">
        <f t="shared" si="36"/>
        <v>0</v>
      </c>
      <c r="S94" s="15">
        <f t="shared" si="36"/>
        <v>0</v>
      </c>
      <c r="T94" s="15">
        <f t="shared" si="36"/>
        <v>0</v>
      </c>
      <c r="U94" s="15">
        <f t="shared" si="36"/>
        <v>0</v>
      </c>
      <c r="V94" s="15">
        <f t="shared" si="36"/>
        <v>0</v>
      </c>
      <c r="W94" s="15">
        <f t="shared" si="37"/>
        <v>0</v>
      </c>
      <c r="X94" s="15">
        <f t="shared" si="38"/>
        <v>0</v>
      </c>
      <c r="Y94" s="15">
        <f t="shared" si="38"/>
        <v>0</v>
      </c>
      <c r="Z94" s="15">
        <f>AVERAGE(50,50,50,50)</f>
        <v>50</v>
      </c>
      <c r="AA94" s="15">
        <f>AVERAGE(0,0,0,0)</f>
        <v>0</v>
      </c>
      <c r="AB94" s="15">
        <f t="shared" si="31"/>
        <v>0</v>
      </c>
      <c r="AC94" s="15">
        <f t="shared" si="31"/>
        <v>0</v>
      </c>
      <c r="AD94" s="15">
        <f>AVERAGE(10,10,10,10)</f>
        <v>10</v>
      </c>
      <c r="AE94" s="15">
        <f t="shared" si="39"/>
        <v>0</v>
      </c>
      <c r="AF94" s="15">
        <f t="shared" si="39"/>
        <v>0</v>
      </c>
      <c r="AG94" s="15"/>
      <c r="AH94" s="15"/>
      <c r="AI94" s="15"/>
      <c r="AJ94" s="15"/>
      <c r="AK94" s="15"/>
      <c r="AL94" s="15"/>
    </row>
    <row r="95" spans="1:38" ht="14.25" customHeight="1" x14ac:dyDescent="0.25">
      <c r="A95" s="6" t="s">
        <v>220</v>
      </c>
      <c r="B95" s="15"/>
      <c r="C95" s="15"/>
      <c r="D95" s="15"/>
      <c r="E95" s="2">
        <v>124.8</v>
      </c>
      <c r="F95" s="2">
        <v>11</v>
      </c>
      <c r="G95" s="2">
        <v>6.99</v>
      </c>
      <c r="H95" s="15"/>
      <c r="I95" s="15"/>
      <c r="J95" s="21">
        <f>1/(AVERAGE(1.95,1.72,1.91,1.51,1.85,1.92,1.7))</f>
        <v>0.55732484076433131</v>
      </c>
      <c r="K95" s="19">
        <f>AVERAGE(3,2)</f>
        <v>2.5</v>
      </c>
      <c r="L95" s="15">
        <v>79</v>
      </c>
      <c r="M95" s="19">
        <f>AVERAGE(54,79,30)</f>
        <v>54.333333333333336</v>
      </c>
      <c r="N95" s="15">
        <f>AVERAGE(57,57,57,57)</f>
        <v>57</v>
      </c>
      <c r="O95" s="10">
        <v>1.4</v>
      </c>
      <c r="P95" s="15">
        <f>AVERAGE(5,5,5,5)</f>
        <v>5</v>
      </c>
      <c r="Q95" s="15">
        <f>AVERAGE(95,95,95,95)</f>
        <v>95</v>
      </c>
      <c r="R95" s="15">
        <f t="shared" si="36"/>
        <v>0</v>
      </c>
      <c r="S95" s="15">
        <f t="shared" si="36"/>
        <v>0</v>
      </c>
      <c r="T95" s="15">
        <f t="shared" si="36"/>
        <v>0</v>
      </c>
      <c r="U95" s="15">
        <f t="shared" si="36"/>
        <v>0</v>
      </c>
      <c r="V95" s="15">
        <f t="shared" si="36"/>
        <v>0</v>
      </c>
      <c r="W95" s="15">
        <f t="shared" si="37"/>
        <v>0</v>
      </c>
      <c r="X95" s="15">
        <f t="shared" si="38"/>
        <v>0</v>
      </c>
      <c r="Y95" s="15">
        <f t="shared" si="38"/>
        <v>0</v>
      </c>
      <c r="Z95" s="15">
        <f>AVERAGE(70,70,70,70)</f>
        <v>70</v>
      </c>
      <c r="AA95" s="15">
        <f>AVERAGE(5,5,5,5)</f>
        <v>5</v>
      </c>
      <c r="AB95" s="15">
        <f t="shared" si="31"/>
        <v>0</v>
      </c>
      <c r="AC95" s="15">
        <f t="shared" si="31"/>
        <v>0</v>
      </c>
      <c r="AD95" s="15">
        <f>AVERAGE(5,5,5,5)</f>
        <v>5</v>
      </c>
      <c r="AE95" s="15">
        <f t="shared" si="39"/>
        <v>0</v>
      </c>
      <c r="AF95" s="15">
        <f t="shared" si="39"/>
        <v>0</v>
      </c>
      <c r="AG95" s="15"/>
      <c r="AH95" s="15"/>
      <c r="AI95" s="15"/>
      <c r="AJ95" s="15"/>
      <c r="AK95" s="15"/>
      <c r="AL95" s="15"/>
    </row>
    <row r="96" spans="1:38" ht="14.25" customHeight="1" x14ac:dyDescent="0.25">
      <c r="A96" s="6" t="s">
        <v>221</v>
      </c>
      <c r="B96" s="15"/>
      <c r="C96" s="15"/>
      <c r="D96" s="15"/>
      <c r="E96" s="2">
        <v>125.9</v>
      </c>
      <c r="F96" s="2">
        <v>9</v>
      </c>
      <c r="G96" s="2">
        <v>6.67</v>
      </c>
      <c r="H96" s="15"/>
      <c r="I96" s="15"/>
      <c r="J96" s="21">
        <f>1/(AVERAGE(4.23,4.63,3.6,4.04,3.41,4.48,3.28,5.15,3.28,3.44))</f>
        <v>0.25290844714213456</v>
      </c>
      <c r="K96" s="19">
        <f>AVERAGE(2,2)</f>
        <v>2</v>
      </c>
      <c r="L96" s="15">
        <v>98</v>
      </c>
      <c r="M96" s="19">
        <f>AVERAGE(1,98,54)</f>
        <v>51</v>
      </c>
      <c r="N96" s="15">
        <f>AVERAGE(57,57,57,57)</f>
        <v>57</v>
      </c>
      <c r="O96" s="10">
        <v>3.5</v>
      </c>
      <c r="P96" s="15">
        <f>AVERAGE(5,5,5,5)</f>
        <v>5</v>
      </c>
      <c r="Q96" s="15">
        <f>AVERAGE(95,95,95,95)</f>
        <v>95</v>
      </c>
      <c r="R96" s="15">
        <f t="shared" si="36"/>
        <v>0</v>
      </c>
      <c r="S96" s="15">
        <f t="shared" si="36"/>
        <v>0</v>
      </c>
      <c r="T96" s="15">
        <f t="shared" si="36"/>
        <v>0</v>
      </c>
      <c r="U96" s="15">
        <f t="shared" si="36"/>
        <v>0</v>
      </c>
      <c r="V96" s="15">
        <f t="shared" si="36"/>
        <v>0</v>
      </c>
      <c r="W96" s="15">
        <f t="shared" si="37"/>
        <v>0</v>
      </c>
      <c r="X96" s="15">
        <f>AVERAGE(0,0,0,0)</f>
        <v>0</v>
      </c>
      <c r="Y96" s="15">
        <f>AVERAGE(5,5,5,5)</f>
        <v>5</v>
      </c>
      <c r="Z96" s="15">
        <f>AVERAGE(40,40,40,40)</f>
        <v>40</v>
      </c>
      <c r="AA96" s="15">
        <f>AVERAGE(0,0,0,0)</f>
        <v>0</v>
      </c>
      <c r="AB96" s="15">
        <f t="shared" si="31"/>
        <v>0</v>
      </c>
      <c r="AC96" s="15">
        <f t="shared" si="31"/>
        <v>0</v>
      </c>
      <c r="AD96" s="15">
        <f>AVERAGE(10,10,10,10)</f>
        <v>10</v>
      </c>
      <c r="AE96" s="15">
        <f>AVERAGE(10,10,10,10)</f>
        <v>10</v>
      </c>
      <c r="AF96" s="15">
        <f>AVERAGE(0,0,0,0)</f>
        <v>0</v>
      </c>
      <c r="AG96" s="15"/>
      <c r="AH96" s="15"/>
      <c r="AI96" s="15"/>
      <c r="AJ96" s="15"/>
      <c r="AK96" s="15"/>
      <c r="AL96" s="15"/>
    </row>
    <row r="97" spans="1:38" ht="14.25" customHeight="1" x14ac:dyDescent="0.25">
      <c r="A97" s="6" t="s">
        <v>222</v>
      </c>
      <c r="B97" s="15"/>
      <c r="C97" s="15"/>
      <c r="D97" s="15"/>
      <c r="E97" s="2">
        <v>139.6</v>
      </c>
      <c r="F97" s="2">
        <v>8</v>
      </c>
      <c r="G97" s="2">
        <v>7.45</v>
      </c>
      <c r="H97" s="15"/>
      <c r="I97" s="15"/>
      <c r="J97" s="21">
        <f>1/(AVERAGE(3.85,4.75,3.66,3.62,4.02,2.14,3.54,3.32,2.45,3.28))</f>
        <v>0.28876696505919724</v>
      </c>
      <c r="K97" s="19">
        <f>AVERAGE(2,2)</f>
        <v>2</v>
      </c>
      <c r="L97" s="5">
        <v>77</v>
      </c>
      <c r="M97" s="19">
        <f>AVERAGE(56,77,56)</f>
        <v>63</v>
      </c>
      <c r="N97" s="15">
        <f>AVERAGE(35,35,35,35)</f>
        <v>35</v>
      </c>
      <c r="O97" s="10">
        <v>2.4</v>
      </c>
      <c r="P97" s="15">
        <f>AVERAGE(5,5,5,5)</f>
        <v>5</v>
      </c>
      <c r="Q97" s="15">
        <f>AVERAGE(95,95,95,95)</f>
        <v>95</v>
      </c>
      <c r="R97" s="15">
        <f t="shared" si="36"/>
        <v>0</v>
      </c>
      <c r="S97" s="15">
        <f t="shared" si="36"/>
        <v>0</v>
      </c>
      <c r="T97" s="15">
        <f t="shared" si="36"/>
        <v>0</v>
      </c>
      <c r="U97" s="15">
        <f t="shared" si="36"/>
        <v>0</v>
      </c>
      <c r="V97" s="15">
        <f t="shared" si="36"/>
        <v>0</v>
      </c>
      <c r="W97" s="15">
        <f t="shared" si="37"/>
        <v>0</v>
      </c>
      <c r="X97" s="15">
        <f>AVERAGE(0,0,0,0)</f>
        <v>0</v>
      </c>
      <c r="Y97" s="15">
        <f>AVERAGE(0,0,0,0)</f>
        <v>0</v>
      </c>
      <c r="Z97" s="15">
        <f>AVERAGE(80,80,80,80)</f>
        <v>80</v>
      </c>
      <c r="AA97" s="15">
        <f>AVERAGE(5,5,5,5)</f>
        <v>5</v>
      </c>
      <c r="AB97" s="15">
        <f t="shared" si="31"/>
        <v>0</v>
      </c>
      <c r="AC97" s="15">
        <f t="shared" si="31"/>
        <v>0</v>
      </c>
      <c r="AD97" s="15">
        <f>AVERAGE(15,15,15,15)</f>
        <v>15</v>
      </c>
      <c r="AE97" s="15">
        <f>AVERAGE(5,5,5,5)</f>
        <v>5</v>
      </c>
      <c r="AF97" s="15">
        <f>AVERAGE(0,0,0,0)</f>
        <v>0</v>
      </c>
      <c r="AG97" s="15"/>
      <c r="AH97" s="15"/>
      <c r="AI97" s="15"/>
      <c r="AJ97" s="15"/>
      <c r="AK97" s="15"/>
      <c r="AL97" s="15"/>
    </row>
    <row r="98" spans="1:38" ht="14.25" customHeight="1" x14ac:dyDescent="0.25">
      <c r="A98" s="6" t="s">
        <v>223</v>
      </c>
      <c r="B98" s="15"/>
      <c r="C98" s="15"/>
      <c r="D98" s="15"/>
      <c r="E98" s="2">
        <v>136.80000000000001</v>
      </c>
      <c r="F98" s="2">
        <v>13</v>
      </c>
      <c r="G98" s="2">
        <v>7.19</v>
      </c>
      <c r="H98" s="15"/>
      <c r="I98" s="15"/>
      <c r="J98" s="21">
        <f>1/(AVERAGE(2.69,2.55,2.81,2.12,3.11,3.16,2.48))</f>
        <v>0.36997885835095129</v>
      </c>
      <c r="K98" s="19">
        <f>AVERAGE(3,3)</f>
        <v>3</v>
      </c>
      <c r="L98" s="5">
        <v>55</v>
      </c>
      <c r="M98" s="19">
        <f>AVERAGE(37,55,37)</f>
        <v>43</v>
      </c>
      <c r="N98" s="15">
        <f>AVERAGE(20,20,20,20)</f>
        <v>20</v>
      </c>
      <c r="O98" s="10">
        <v>2.9</v>
      </c>
      <c r="P98" s="15">
        <f>AVERAGE(90,90,90,90)</f>
        <v>90</v>
      </c>
      <c r="Q98" s="15">
        <f>AVERAGE(10,10,10,10)</f>
        <v>10</v>
      </c>
      <c r="R98" s="15">
        <f t="shared" si="36"/>
        <v>0</v>
      </c>
      <c r="S98" s="15">
        <f t="shared" si="36"/>
        <v>0</v>
      </c>
      <c r="T98" s="15">
        <f t="shared" si="36"/>
        <v>0</v>
      </c>
      <c r="U98" s="15">
        <f t="shared" si="36"/>
        <v>0</v>
      </c>
      <c r="V98" s="15">
        <f t="shared" si="36"/>
        <v>0</v>
      </c>
      <c r="W98" s="15">
        <f t="shared" si="37"/>
        <v>0</v>
      </c>
      <c r="X98" s="15">
        <f>AVERAGE(0,0,0,0)</f>
        <v>0</v>
      </c>
      <c r="Y98" s="15">
        <f>AVERAGE(0,0,0,0)</f>
        <v>0</v>
      </c>
      <c r="Z98" s="15">
        <f>AVERAGE(80,80,80,80)</f>
        <v>80</v>
      </c>
      <c r="AA98" s="15">
        <f>AVERAGE(0,0,0,0)</f>
        <v>0</v>
      </c>
      <c r="AB98" s="15">
        <f t="shared" si="31"/>
        <v>0</v>
      </c>
      <c r="AC98" s="15">
        <f t="shared" si="31"/>
        <v>0</v>
      </c>
      <c r="AD98" s="15">
        <f>AVERAGE(15,15,15,15)</f>
        <v>15</v>
      </c>
      <c r="AE98" s="15">
        <f>AVERAGE(15,15,15,15)</f>
        <v>15</v>
      </c>
      <c r="AF98" s="15">
        <f>AVERAGE(0,0,0,0)</f>
        <v>0</v>
      </c>
      <c r="AG98" s="15"/>
      <c r="AH98" s="15"/>
      <c r="AI98" s="15"/>
      <c r="AJ98" s="15"/>
      <c r="AK98" s="15"/>
      <c r="AL98" s="15"/>
    </row>
    <row r="99" spans="1:38" ht="14.25" customHeight="1" x14ac:dyDescent="0.25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8" ht="14.25" customHeight="1" x14ac:dyDescent="0.25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8" ht="14.25" customHeight="1" x14ac:dyDescent="0.25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8" ht="14.25" customHeight="1" x14ac:dyDescent="0.25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8" ht="14.25" customHeight="1" x14ac:dyDescent="0.25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8" ht="14.25" customHeight="1" x14ac:dyDescent="0.25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8" ht="14.25" customHeight="1" x14ac:dyDescent="0.25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8" ht="14.25" customHeight="1" x14ac:dyDescent="0.25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8" ht="14.25" customHeight="1" x14ac:dyDescent="0.25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8" ht="14.25" customHeight="1" x14ac:dyDescent="0.25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8" ht="14.25" customHeight="1" x14ac:dyDescent="0.25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8" ht="14.25" customHeight="1" x14ac:dyDescent="0.25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8" ht="14.25" customHeight="1" x14ac:dyDescent="0.25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8" ht="14.25" customHeight="1" x14ac:dyDescent="0.25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14.25" customHeight="1" x14ac:dyDescent="0.25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14.25" customHeight="1" x14ac:dyDescent="0.25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14.25" customHeight="1" x14ac:dyDescent="0.25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14.25" customHeight="1" x14ac:dyDescent="0.25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14.25" customHeight="1" x14ac:dyDescent="0.25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14.25" customHeight="1" x14ac:dyDescent="0.25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14.25" customHeight="1" x14ac:dyDescent="0.25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14.25" customHeight="1" x14ac:dyDescent="0.25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14.25" customHeight="1" x14ac:dyDescent="0.25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14.25" customHeight="1" x14ac:dyDescent="0.25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14.25" customHeight="1" x14ac:dyDescent="0.25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14.25" customHeight="1" x14ac:dyDescent="0.25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14.25" customHeight="1" x14ac:dyDescent="0.25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14.25" customHeight="1" x14ac:dyDescent="0.25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14.25" customHeight="1" x14ac:dyDescent="0.25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14.25" customHeight="1" x14ac:dyDescent="0.25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14.25" customHeight="1" x14ac:dyDescent="0.25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14.25" customHeight="1" x14ac:dyDescent="0.25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14.25" customHeight="1" x14ac:dyDescent="0.25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14.25" customHeight="1" x14ac:dyDescent="0.25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14.25" customHeight="1" x14ac:dyDescent="0.25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14.25" customHeight="1" x14ac:dyDescent="0.25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14.25" customHeight="1" x14ac:dyDescent="0.25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14.25" customHeight="1" x14ac:dyDescent="0.25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14.25" customHeight="1" x14ac:dyDescent="0.25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14.25" customHeight="1" x14ac:dyDescent="0.25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14.25" customHeight="1" x14ac:dyDescent="0.25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14.25" customHeight="1" x14ac:dyDescent="0.25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14.25" customHeight="1" x14ac:dyDescent="0.25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14.25" customHeight="1" x14ac:dyDescent="0.25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14.25" customHeight="1" x14ac:dyDescent="0.25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14.25" customHeight="1" x14ac:dyDescent="0.25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14.25" customHeight="1" x14ac:dyDescent="0.25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14.25" customHeight="1" x14ac:dyDescent="0.25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14.25" customHeight="1" x14ac:dyDescent="0.25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14.25" customHeight="1" x14ac:dyDescent="0.25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14.25" customHeight="1" x14ac:dyDescent="0.25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14.25" customHeight="1" x14ac:dyDescent="0.25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14.25" customHeight="1" x14ac:dyDescent="0.25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14.25" customHeight="1" x14ac:dyDescent="0.25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14.25" customHeight="1" x14ac:dyDescent="0.25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14.25" customHeight="1" x14ac:dyDescent="0.25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14.25" customHeight="1" x14ac:dyDescent="0.25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14.25" customHeight="1" x14ac:dyDescent="0.25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14.25" customHeight="1" x14ac:dyDescent="0.25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14.25" customHeight="1" x14ac:dyDescent="0.25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14.25" customHeight="1" x14ac:dyDescent="0.25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14.25" customHeight="1" x14ac:dyDescent="0.25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14.25" customHeight="1" x14ac:dyDescent="0.25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14.25" customHeight="1" x14ac:dyDescent="0.25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14.25" customHeight="1" x14ac:dyDescent="0.25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14.25" customHeight="1" x14ac:dyDescent="0.25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14.25" customHeight="1" x14ac:dyDescent="0.25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14.25" customHeight="1" x14ac:dyDescent="0.25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14.25" customHeight="1" x14ac:dyDescent="0.25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14.25" customHeight="1" x14ac:dyDescent="0.25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14.25" customHeight="1" x14ac:dyDescent="0.25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14.25" customHeight="1" x14ac:dyDescent="0.25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14.25" customHeight="1" x14ac:dyDescent="0.25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14.25" customHeight="1" x14ac:dyDescent="0.25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14.25" customHeight="1" x14ac:dyDescent="0.25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14.25" customHeight="1" x14ac:dyDescent="0.25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14.25" customHeight="1" x14ac:dyDescent="0.25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14.25" customHeight="1" x14ac:dyDescent="0.25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14.25" customHeight="1" x14ac:dyDescent="0.25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14.25" customHeight="1" x14ac:dyDescent="0.25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14.25" customHeight="1" x14ac:dyDescent="0.25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14.25" customHeight="1" x14ac:dyDescent="0.25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14.25" customHeight="1" x14ac:dyDescent="0.25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14.25" customHeight="1" x14ac:dyDescent="0.25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14.25" customHeight="1" x14ac:dyDescent="0.25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14.25" customHeight="1" x14ac:dyDescent="0.25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14.25" customHeight="1" x14ac:dyDescent="0.25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14.25" customHeight="1" x14ac:dyDescent="0.25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14.25" customHeight="1" x14ac:dyDescent="0.25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14.25" customHeight="1" x14ac:dyDescent="0.25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14.25" customHeight="1" x14ac:dyDescent="0.25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14.25" customHeight="1" x14ac:dyDescent="0.25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14.25" customHeight="1" x14ac:dyDescent="0.25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14.25" customHeight="1" x14ac:dyDescent="0.25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14.25" customHeight="1" x14ac:dyDescent="0.25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14.25" customHeight="1" x14ac:dyDescent="0.25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14.25" customHeight="1" x14ac:dyDescent="0.25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14.25" customHeight="1" x14ac:dyDescent="0.25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14.25" customHeight="1" x14ac:dyDescent="0.25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14.25" customHeight="1" x14ac:dyDescent="0.25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14.25" customHeight="1" x14ac:dyDescent="0.25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14.25" customHeight="1" x14ac:dyDescent="0.25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14.25" customHeight="1" x14ac:dyDescent="0.25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14.25" customHeight="1" x14ac:dyDescent="0.25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14.25" customHeight="1" x14ac:dyDescent="0.25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14.25" customHeight="1" x14ac:dyDescent="0.25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14.25" customHeight="1" x14ac:dyDescent="0.25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14.25" customHeight="1" x14ac:dyDescent="0.25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14.25" customHeight="1" x14ac:dyDescent="0.25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14.25" customHeight="1" x14ac:dyDescent="0.25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14.25" customHeight="1" x14ac:dyDescent="0.25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14.25" customHeight="1" x14ac:dyDescent="0.25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14.25" customHeight="1" x14ac:dyDescent="0.25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14.25" customHeight="1" x14ac:dyDescent="0.25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14.25" customHeight="1" x14ac:dyDescent="0.25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14.25" customHeight="1" x14ac:dyDescent="0.25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14.25" customHeight="1" x14ac:dyDescent="0.25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14.25" customHeight="1" x14ac:dyDescent="0.25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14.25" customHeight="1" x14ac:dyDescent="0.25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14.25" customHeight="1" x14ac:dyDescent="0.25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14.25" customHeight="1" x14ac:dyDescent="0.25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14.25" customHeight="1" x14ac:dyDescent="0.25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14.25" customHeight="1" x14ac:dyDescent="0.25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14.25" customHeight="1" x14ac:dyDescent="0.25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14.25" customHeight="1" x14ac:dyDescent="0.25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14.25" customHeight="1" x14ac:dyDescent="0.25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14.25" customHeight="1" x14ac:dyDescent="0.25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14.25" customHeight="1" x14ac:dyDescent="0.25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14.25" customHeight="1" x14ac:dyDescent="0.25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14.25" customHeight="1" x14ac:dyDescent="0.25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14.25" customHeight="1" x14ac:dyDescent="0.25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14.25" customHeight="1" x14ac:dyDescent="0.25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14.25" customHeight="1" x14ac:dyDescent="0.25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14.25" customHeight="1" x14ac:dyDescent="0.25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14.25" customHeight="1" x14ac:dyDescent="0.25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14.25" customHeight="1" x14ac:dyDescent="0.25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14.25" customHeight="1" x14ac:dyDescent="0.25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14.25" customHeight="1" x14ac:dyDescent="0.25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14.25" customHeight="1" x14ac:dyDescent="0.25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14.25" customHeight="1" x14ac:dyDescent="0.25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14.25" customHeight="1" x14ac:dyDescent="0.25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14.25" customHeight="1" x14ac:dyDescent="0.25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14.25" customHeight="1" x14ac:dyDescent="0.25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14.25" customHeight="1" x14ac:dyDescent="0.25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14.25" customHeight="1" x14ac:dyDescent="0.25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14.25" customHeight="1" x14ac:dyDescent="0.25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14.25" customHeight="1" x14ac:dyDescent="0.25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14.25" customHeight="1" x14ac:dyDescent="0.25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ht="14.25" customHeight="1" x14ac:dyDescent="0.25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  <row r="248" spans="1:32" ht="14.25" customHeight="1" x14ac:dyDescent="0.25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</row>
    <row r="249" spans="1:32" ht="14.25" customHeight="1" x14ac:dyDescent="0.25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</row>
    <row r="250" spans="1:32" ht="14.25" customHeight="1" x14ac:dyDescent="0.25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</row>
    <row r="251" spans="1:32" ht="14.25" customHeight="1" x14ac:dyDescent="0.25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</row>
    <row r="252" spans="1:32" ht="14.25" customHeight="1" x14ac:dyDescent="0.25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</row>
    <row r="253" spans="1:32" ht="14.25" customHeight="1" x14ac:dyDescent="0.25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</row>
    <row r="254" spans="1:32" ht="14.25" customHeight="1" x14ac:dyDescent="0.25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</row>
    <row r="255" spans="1:32" ht="14.25" customHeight="1" x14ac:dyDescent="0.25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</row>
    <row r="256" spans="1:32" ht="14.25" customHeight="1" x14ac:dyDescent="0.25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</row>
    <row r="257" spans="1:32" ht="14.25" customHeight="1" x14ac:dyDescent="0.25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</row>
    <row r="258" spans="1:32" ht="14.25" customHeight="1" x14ac:dyDescent="0.25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</row>
    <row r="259" spans="1:32" ht="14.25" customHeight="1" x14ac:dyDescent="0.25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</row>
    <row r="260" spans="1:32" ht="14.25" customHeight="1" x14ac:dyDescent="0.25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</row>
    <row r="261" spans="1:32" ht="14.25" customHeight="1" x14ac:dyDescent="0.25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</row>
    <row r="262" spans="1:32" ht="14.25" customHeight="1" x14ac:dyDescent="0.25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</row>
    <row r="263" spans="1:32" ht="14.25" customHeight="1" x14ac:dyDescent="0.25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</row>
    <row r="264" spans="1:32" ht="14.25" customHeight="1" x14ac:dyDescent="0.25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</row>
    <row r="265" spans="1:32" ht="14.25" customHeight="1" x14ac:dyDescent="0.25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</row>
    <row r="266" spans="1:32" ht="14.25" customHeight="1" x14ac:dyDescent="0.25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</row>
    <row r="267" spans="1:32" ht="14.25" customHeight="1" x14ac:dyDescent="0.25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</row>
    <row r="268" spans="1:32" ht="14.25" customHeight="1" x14ac:dyDescent="0.25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</row>
    <row r="269" spans="1:32" ht="14.25" customHeight="1" x14ac:dyDescent="0.25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</row>
    <row r="270" spans="1:32" ht="14.25" customHeight="1" x14ac:dyDescent="0.25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</row>
    <row r="271" spans="1:32" ht="14.25" customHeight="1" x14ac:dyDescent="0.25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</row>
    <row r="272" spans="1:32" ht="14.25" customHeight="1" x14ac:dyDescent="0.25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</row>
    <row r="273" spans="1:32" ht="14.25" customHeight="1" x14ac:dyDescent="0.25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</row>
    <row r="274" spans="1:32" ht="14.25" customHeight="1" x14ac:dyDescent="0.25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</row>
    <row r="275" spans="1:32" ht="14.25" customHeight="1" x14ac:dyDescent="0.25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</row>
    <row r="276" spans="1:32" ht="14.25" customHeight="1" x14ac:dyDescent="0.25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</row>
    <row r="277" spans="1:32" ht="14.25" customHeight="1" x14ac:dyDescent="0.25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</row>
    <row r="278" spans="1:32" ht="14.25" customHeight="1" x14ac:dyDescent="0.25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</row>
    <row r="279" spans="1:32" ht="14.25" customHeight="1" x14ac:dyDescent="0.25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</row>
    <row r="280" spans="1:32" ht="14.25" customHeight="1" x14ac:dyDescent="0.25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</row>
    <row r="281" spans="1:32" ht="14.25" customHeight="1" x14ac:dyDescent="0.25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</row>
    <row r="282" spans="1:32" ht="14.25" customHeight="1" x14ac:dyDescent="0.25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</row>
    <row r="283" spans="1:32" ht="14.25" customHeight="1" x14ac:dyDescent="0.25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</row>
    <row r="284" spans="1:32" ht="14.25" customHeight="1" x14ac:dyDescent="0.25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</row>
    <row r="285" spans="1:32" ht="14.25" customHeight="1" x14ac:dyDescent="0.25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</row>
    <row r="286" spans="1:32" ht="14.25" customHeight="1" x14ac:dyDescent="0.25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</row>
    <row r="287" spans="1:32" ht="14.25" customHeight="1" x14ac:dyDescent="0.25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</row>
    <row r="288" spans="1:32" ht="14.25" customHeight="1" x14ac:dyDescent="0.25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</row>
    <row r="289" spans="1:32" ht="14.25" customHeight="1" x14ac:dyDescent="0.25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</row>
    <row r="290" spans="1:32" ht="14.25" customHeight="1" x14ac:dyDescent="0.25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</row>
    <row r="291" spans="1:32" ht="14.25" customHeight="1" x14ac:dyDescent="0.25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</row>
    <row r="292" spans="1:32" ht="14.25" customHeight="1" x14ac:dyDescent="0.25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</row>
    <row r="293" spans="1:32" ht="14.25" customHeight="1" x14ac:dyDescent="0.25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</row>
    <row r="294" spans="1:32" ht="14.25" customHeight="1" x14ac:dyDescent="0.25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</row>
    <row r="295" spans="1:32" ht="14.25" customHeight="1" x14ac:dyDescent="0.25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</row>
    <row r="296" spans="1:32" ht="14.25" customHeight="1" x14ac:dyDescent="0.25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</row>
    <row r="297" spans="1:32" ht="14.25" customHeight="1" x14ac:dyDescent="0.25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</row>
    <row r="298" spans="1:32" ht="14.25" customHeight="1" x14ac:dyDescent="0.25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</row>
    <row r="299" spans="1:32" ht="14.25" customHeight="1" x14ac:dyDescent="0.25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</row>
    <row r="300" spans="1:32" ht="14.25" customHeight="1" x14ac:dyDescent="0.25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32" ht="14.25" customHeight="1" x14ac:dyDescent="0.25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32" ht="14.25" customHeight="1" x14ac:dyDescent="0.25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32" ht="14.25" customHeight="1" x14ac:dyDescent="0.25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</row>
    <row r="304" spans="1:32" ht="14.25" customHeight="1" x14ac:dyDescent="0.25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</row>
    <row r="305" spans="1:32" ht="14.25" customHeight="1" x14ac:dyDescent="0.25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</row>
    <row r="306" spans="1:32" ht="14.25" customHeight="1" x14ac:dyDescent="0.25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</row>
    <row r="307" spans="1:32" ht="14.25" customHeight="1" x14ac:dyDescent="0.25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</row>
    <row r="308" spans="1:32" ht="14.25" customHeight="1" x14ac:dyDescent="0.25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</row>
    <row r="309" spans="1:32" ht="14.25" customHeight="1" x14ac:dyDescent="0.25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</row>
    <row r="310" spans="1:32" ht="14.25" customHeight="1" x14ac:dyDescent="0.25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</row>
    <row r="311" spans="1:32" ht="14.25" customHeight="1" x14ac:dyDescent="0.25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</row>
    <row r="312" spans="1:32" ht="14.25" customHeight="1" x14ac:dyDescent="0.25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</row>
    <row r="313" spans="1:32" ht="14.25" customHeight="1" x14ac:dyDescent="0.25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</row>
    <row r="314" spans="1:32" ht="14.25" customHeight="1" x14ac:dyDescent="0.25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</row>
    <row r="315" spans="1:32" ht="14.25" customHeight="1" x14ac:dyDescent="0.25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</row>
    <row r="316" spans="1:32" ht="14.25" customHeight="1" x14ac:dyDescent="0.25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</row>
    <row r="317" spans="1:32" ht="14.25" customHeight="1" x14ac:dyDescent="0.25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</row>
    <row r="318" spans="1:32" ht="14.25" customHeight="1" x14ac:dyDescent="0.25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</row>
    <row r="319" spans="1:32" ht="14.25" customHeight="1" x14ac:dyDescent="0.25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</row>
    <row r="320" spans="1:32" ht="14.25" customHeight="1" x14ac:dyDescent="0.25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</row>
    <row r="321" spans="1:32" ht="14.25" customHeight="1" x14ac:dyDescent="0.25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</row>
    <row r="322" spans="1:32" ht="14.25" customHeight="1" x14ac:dyDescent="0.25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</row>
    <row r="323" spans="1:32" ht="14.25" customHeight="1" x14ac:dyDescent="0.25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</row>
    <row r="324" spans="1:32" ht="14.25" customHeight="1" x14ac:dyDescent="0.25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</row>
    <row r="325" spans="1:32" ht="14.25" customHeight="1" x14ac:dyDescent="0.25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</row>
    <row r="326" spans="1:32" ht="14.25" customHeight="1" x14ac:dyDescent="0.25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</row>
    <row r="327" spans="1:32" ht="14.25" customHeight="1" x14ac:dyDescent="0.25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</row>
    <row r="328" spans="1:32" ht="14.25" customHeight="1" x14ac:dyDescent="0.25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</row>
    <row r="329" spans="1:32" ht="14.25" customHeight="1" x14ac:dyDescent="0.25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</row>
    <row r="330" spans="1:32" ht="14.25" customHeight="1" x14ac:dyDescent="0.25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</row>
    <row r="331" spans="1:32" ht="14.25" customHeight="1" x14ac:dyDescent="0.25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</row>
    <row r="332" spans="1:32" ht="14.25" customHeight="1" x14ac:dyDescent="0.25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</row>
    <row r="333" spans="1:32" ht="14.25" customHeight="1" x14ac:dyDescent="0.25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</row>
    <row r="334" spans="1:32" ht="14.25" customHeight="1" x14ac:dyDescent="0.25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</row>
    <row r="335" spans="1:32" ht="14.25" customHeight="1" x14ac:dyDescent="0.25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</row>
    <row r="336" spans="1:32" ht="14.25" customHeight="1" x14ac:dyDescent="0.25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</row>
    <row r="337" spans="1:32" ht="14.25" customHeight="1" x14ac:dyDescent="0.25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</row>
    <row r="338" spans="1:32" ht="14.25" customHeight="1" x14ac:dyDescent="0.25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</row>
    <row r="339" spans="1:32" ht="14.25" customHeight="1" x14ac:dyDescent="0.25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</row>
    <row r="340" spans="1:32" ht="14.25" customHeight="1" x14ac:dyDescent="0.25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</row>
    <row r="341" spans="1:32" ht="14.25" customHeight="1" x14ac:dyDescent="0.25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</row>
    <row r="342" spans="1:32" ht="14.25" customHeight="1" x14ac:dyDescent="0.25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</row>
    <row r="343" spans="1:32" ht="14.25" customHeight="1" x14ac:dyDescent="0.25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</row>
    <row r="344" spans="1:32" ht="14.25" customHeight="1" x14ac:dyDescent="0.25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</row>
    <row r="345" spans="1:32" ht="14.25" customHeight="1" x14ac:dyDescent="0.25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</row>
    <row r="346" spans="1:32" ht="14.25" customHeight="1" x14ac:dyDescent="0.25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</row>
    <row r="347" spans="1:32" ht="14.25" customHeight="1" x14ac:dyDescent="0.25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</row>
    <row r="348" spans="1:32" ht="14.25" customHeight="1" x14ac:dyDescent="0.25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</row>
    <row r="349" spans="1:32" ht="14.25" customHeight="1" x14ac:dyDescent="0.25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</row>
    <row r="350" spans="1:32" ht="14.25" customHeight="1" x14ac:dyDescent="0.25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</row>
    <row r="351" spans="1:32" ht="14.25" customHeight="1" x14ac:dyDescent="0.25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</row>
    <row r="352" spans="1:32" ht="14.25" customHeight="1" x14ac:dyDescent="0.25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</row>
    <row r="353" spans="1:32" ht="14.25" customHeight="1" x14ac:dyDescent="0.25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</row>
    <row r="354" spans="1:32" ht="14.25" customHeight="1" x14ac:dyDescent="0.25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</row>
    <row r="355" spans="1:32" ht="14.25" customHeight="1" x14ac:dyDescent="0.25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</row>
    <row r="356" spans="1:32" ht="14.25" customHeight="1" x14ac:dyDescent="0.25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</row>
    <row r="357" spans="1:32" ht="14.25" customHeight="1" x14ac:dyDescent="0.25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</row>
    <row r="358" spans="1:32" ht="14.25" customHeight="1" x14ac:dyDescent="0.25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</row>
    <row r="359" spans="1:32" ht="14.25" customHeight="1" x14ac:dyDescent="0.25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</row>
    <row r="360" spans="1:32" ht="14.25" customHeight="1" x14ac:dyDescent="0.25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</row>
    <row r="361" spans="1:32" ht="14.25" customHeight="1" x14ac:dyDescent="0.25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</row>
    <row r="362" spans="1:32" ht="14.25" customHeight="1" x14ac:dyDescent="0.25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</row>
    <row r="363" spans="1:32" ht="14.25" customHeight="1" x14ac:dyDescent="0.25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</row>
    <row r="364" spans="1:32" ht="14.25" customHeight="1" x14ac:dyDescent="0.25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</row>
    <row r="365" spans="1:32" ht="14.25" customHeight="1" x14ac:dyDescent="0.25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</row>
    <row r="366" spans="1:32" ht="14.25" customHeight="1" x14ac:dyDescent="0.25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</row>
    <row r="367" spans="1:32" ht="14.25" customHeight="1" x14ac:dyDescent="0.25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2" ht="14.25" customHeight="1" x14ac:dyDescent="0.25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2" ht="14.25" customHeight="1" x14ac:dyDescent="0.25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2" ht="14.25" customHeight="1" x14ac:dyDescent="0.25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2" ht="14.25" customHeight="1" x14ac:dyDescent="0.25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</row>
    <row r="372" spans="1:32" ht="14.25" customHeight="1" x14ac:dyDescent="0.25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</row>
    <row r="373" spans="1:32" ht="14.25" customHeight="1" x14ac:dyDescent="0.25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</row>
    <row r="374" spans="1:32" ht="14.25" customHeight="1" x14ac:dyDescent="0.25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</row>
    <row r="375" spans="1:32" ht="14.25" customHeight="1" x14ac:dyDescent="0.25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</row>
    <row r="376" spans="1:32" ht="14.25" customHeight="1" x14ac:dyDescent="0.25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</row>
    <row r="377" spans="1:32" ht="14.25" customHeight="1" x14ac:dyDescent="0.25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</row>
    <row r="378" spans="1:32" ht="14.25" customHeight="1" x14ac:dyDescent="0.25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</row>
    <row r="379" spans="1:32" ht="14.25" customHeight="1" x14ac:dyDescent="0.25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</row>
    <row r="380" spans="1:32" ht="14.25" customHeight="1" x14ac:dyDescent="0.25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</row>
    <row r="381" spans="1:32" ht="14.25" customHeight="1" x14ac:dyDescent="0.25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</row>
    <row r="382" spans="1:32" ht="14.25" customHeight="1" x14ac:dyDescent="0.25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</row>
    <row r="383" spans="1:32" ht="14.25" customHeight="1" x14ac:dyDescent="0.25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</row>
    <row r="384" spans="1:32" ht="14.25" customHeight="1" x14ac:dyDescent="0.25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</row>
    <row r="385" spans="1:32" ht="14.25" customHeight="1" x14ac:dyDescent="0.25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</row>
    <row r="386" spans="1:32" ht="14.25" customHeight="1" x14ac:dyDescent="0.25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</row>
    <row r="387" spans="1:32" ht="14.25" customHeight="1" x14ac:dyDescent="0.25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</row>
    <row r="388" spans="1:32" ht="14.25" customHeight="1" x14ac:dyDescent="0.25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</row>
    <row r="389" spans="1:32" ht="14.25" customHeight="1" x14ac:dyDescent="0.25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</row>
    <row r="390" spans="1:32" ht="14.25" customHeight="1" x14ac:dyDescent="0.25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</row>
    <row r="391" spans="1:32" ht="14.25" customHeight="1" x14ac:dyDescent="0.25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</row>
    <row r="392" spans="1:32" ht="14.25" customHeight="1" x14ac:dyDescent="0.25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</row>
    <row r="393" spans="1:32" ht="14.25" customHeight="1" x14ac:dyDescent="0.25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</row>
    <row r="394" spans="1:32" ht="14.25" customHeight="1" x14ac:dyDescent="0.25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</row>
    <row r="395" spans="1:32" ht="14.25" customHeight="1" x14ac:dyDescent="0.25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</row>
    <row r="396" spans="1:32" ht="14.25" customHeight="1" x14ac:dyDescent="0.25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</row>
    <row r="397" spans="1:32" ht="14.25" customHeight="1" x14ac:dyDescent="0.25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2" ht="14.25" customHeight="1" x14ac:dyDescent="0.25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2" ht="14.25" customHeight="1" x14ac:dyDescent="0.25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</row>
    <row r="400" spans="1:32" ht="14.25" customHeight="1" x14ac:dyDescent="0.25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</row>
    <row r="401" spans="1:32" ht="14.25" customHeight="1" x14ac:dyDescent="0.25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</row>
    <row r="402" spans="1:32" ht="14.25" customHeight="1" x14ac:dyDescent="0.25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</row>
    <row r="403" spans="1:32" ht="14.25" customHeight="1" x14ac:dyDescent="0.25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</row>
    <row r="404" spans="1:32" ht="14.25" customHeight="1" x14ac:dyDescent="0.25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</row>
    <row r="405" spans="1:32" ht="14.25" customHeight="1" x14ac:dyDescent="0.25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</row>
    <row r="406" spans="1:32" ht="14.25" customHeight="1" x14ac:dyDescent="0.25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</row>
    <row r="407" spans="1:32" ht="14.25" customHeight="1" x14ac:dyDescent="0.25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</row>
    <row r="408" spans="1:32" ht="14.25" customHeight="1" x14ac:dyDescent="0.25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</row>
    <row r="409" spans="1:32" ht="14.25" customHeight="1" x14ac:dyDescent="0.25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</row>
    <row r="410" spans="1:32" ht="14.25" customHeight="1" x14ac:dyDescent="0.25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</row>
    <row r="411" spans="1:32" ht="14.25" customHeight="1" x14ac:dyDescent="0.25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</row>
    <row r="412" spans="1:32" ht="14.25" customHeight="1" x14ac:dyDescent="0.25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</row>
    <row r="413" spans="1:32" ht="14.25" customHeight="1" x14ac:dyDescent="0.25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</row>
    <row r="414" spans="1:32" ht="14.25" customHeight="1" x14ac:dyDescent="0.25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</row>
    <row r="415" spans="1:32" ht="14.25" customHeight="1" x14ac:dyDescent="0.25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</row>
    <row r="416" spans="1:32" ht="14.25" customHeight="1" x14ac:dyDescent="0.25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</row>
    <row r="417" spans="1:32" ht="14.25" customHeight="1" x14ac:dyDescent="0.25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</row>
    <row r="418" spans="1:32" ht="14.25" customHeight="1" x14ac:dyDescent="0.25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</row>
    <row r="419" spans="1:32" ht="14.25" customHeight="1" x14ac:dyDescent="0.25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</row>
    <row r="420" spans="1:32" ht="14.25" customHeight="1" x14ac:dyDescent="0.25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</row>
    <row r="421" spans="1:32" ht="14.25" customHeight="1" x14ac:dyDescent="0.25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</row>
    <row r="422" spans="1:32" ht="14.25" customHeight="1" x14ac:dyDescent="0.25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</row>
    <row r="423" spans="1:32" ht="14.25" customHeight="1" x14ac:dyDescent="0.25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</row>
    <row r="424" spans="1:32" ht="14.25" customHeight="1" x14ac:dyDescent="0.25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</row>
    <row r="425" spans="1:32" ht="14.25" customHeight="1" x14ac:dyDescent="0.25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</row>
    <row r="426" spans="1:32" ht="14.25" customHeight="1" x14ac:dyDescent="0.25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</row>
    <row r="427" spans="1:32" ht="14.25" customHeight="1" x14ac:dyDescent="0.25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</row>
    <row r="428" spans="1:32" ht="14.25" customHeight="1" x14ac:dyDescent="0.25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</row>
    <row r="429" spans="1:32" ht="14.25" customHeight="1" x14ac:dyDescent="0.25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</row>
    <row r="430" spans="1:32" ht="14.25" customHeight="1" x14ac:dyDescent="0.25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</row>
    <row r="431" spans="1:32" ht="14.25" customHeight="1" x14ac:dyDescent="0.25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</row>
    <row r="432" spans="1:32" ht="14.25" customHeight="1" x14ac:dyDescent="0.25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</row>
    <row r="433" spans="1:32" ht="14.25" customHeight="1" x14ac:dyDescent="0.25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</row>
    <row r="434" spans="1:32" ht="14.25" customHeight="1" x14ac:dyDescent="0.25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</row>
    <row r="435" spans="1:32" ht="14.25" customHeight="1" x14ac:dyDescent="0.25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</row>
    <row r="436" spans="1:32" ht="14.25" customHeight="1" x14ac:dyDescent="0.25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</row>
    <row r="437" spans="1:32" ht="14.25" customHeight="1" x14ac:dyDescent="0.25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</row>
    <row r="438" spans="1:32" ht="14.25" customHeight="1" x14ac:dyDescent="0.25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</row>
    <row r="439" spans="1:32" ht="14.25" customHeight="1" x14ac:dyDescent="0.25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</row>
    <row r="440" spans="1:32" ht="14.25" customHeight="1" x14ac:dyDescent="0.25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</row>
    <row r="441" spans="1:32" ht="14.25" customHeight="1" x14ac:dyDescent="0.25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</row>
    <row r="442" spans="1:32" ht="14.25" customHeight="1" x14ac:dyDescent="0.25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</row>
    <row r="443" spans="1:32" ht="14.25" customHeight="1" x14ac:dyDescent="0.25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</row>
    <row r="444" spans="1:32" ht="14.25" customHeight="1" x14ac:dyDescent="0.25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</row>
    <row r="445" spans="1:32" ht="14.25" customHeight="1" x14ac:dyDescent="0.25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</row>
    <row r="446" spans="1:32" ht="14.25" customHeight="1" x14ac:dyDescent="0.25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</row>
    <row r="447" spans="1:32" ht="14.25" customHeight="1" x14ac:dyDescent="0.25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</row>
    <row r="448" spans="1:32" ht="14.25" customHeight="1" x14ac:dyDescent="0.25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</row>
    <row r="449" spans="1:32" ht="14.25" customHeight="1" x14ac:dyDescent="0.25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</row>
    <row r="450" spans="1:32" ht="14.25" customHeight="1" x14ac:dyDescent="0.25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</row>
    <row r="451" spans="1:32" ht="14.25" customHeight="1" x14ac:dyDescent="0.25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</row>
    <row r="452" spans="1:32" ht="14.25" customHeight="1" x14ac:dyDescent="0.25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</row>
    <row r="453" spans="1:32" ht="14.25" customHeight="1" x14ac:dyDescent="0.25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</row>
    <row r="454" spans="1:32" ht="14.25" customHeight="1" x14ac:dyDescent="0.25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</row>
    <row r="455" spans="1:32" ht="14.25" customHeight="1" x14ac:dyDescent="0.25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</row>
    <row r="456" spans="1:32" ht="14.25" customHeight="1" x14ac:dyDescent="0.25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</row>
    <row r="457" spans="1:32" ht="14.25" customHeight="1" x14ac:dyDescent="0.25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</row>
    <row r="458" spans="1:32" ht="14.25" customHeight="1" x14ac:dyDescent="0.25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</row>
    <row r="459" spans="1:32" ht="14.25" customHeight="1" x14ac:dyDescent="0.25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</row>
    <row r="460" spans="1:32" ht="14.25" customHeight="1" x14ac:dyDescent="0.25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</row>
    <row r="461" spans="1:32" ht="14.25" customHeight="1" x14ac:dyDescent="0.25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</row>
    <row r="462" spans="1:32" ht="14.25" customHeight="1" x14ac:dyDescent="0.25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</row>
    <row r="463" spans="1:32" ht="14.25" customHeight="1" x14ac:dyDescent="0.25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</row>
    <row r="464" spans="1:32" ht="14.25" customHeight="1" x14ac:dyDescent="0.25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</row>
    <row r="465" spans="1:32" ht="14.25" customHeight="1" x14ac:dyDescent="0.25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</row>
    <row r="466" spans="1:32" ht="14.25" customHeight="1" x14ac:dyDescent="0.25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</row>
    <row r="467" spans="1:32" ht="14.25" customHeight="1" x14ac:dyDescent="0.25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</row>
    <row r="468" spans="1:32" ht="14.25" customHeight="1" x14ac:dyDescent="0.25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</row>
    <row r="469" spans="1:32" ht="14.25" customHeight="1" x14ac:dyDescent="0.25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2" ht="14.25" customHeight="1" x14ac:dyDescent="0.25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2" ht="14.25" customHeight="1" x14ac:dyDescent="0.25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2" ht="14.25" customHeight="1" x14ac:dyDescent="0.25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2" ht="14.25" customHeight="1" x14ac:dyDescent="0.25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2" ht="14.25" customHeight="1" x14ac:dyDescent="0.25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2" ht="14.25" customHeight="1" x14ac:dyDescent="0.25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</row>
    <row r="476" spans="1:32" ht="14.25" customHeight="1" x14ac:dyDescent="0.25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</row>
    <row r="477" spans="1:32" ht="14.25" customHeight="1" x14ac:dyDescent="0.25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2" ht="14.25" customHeight="1" x14ac:dyDescent="0.25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2" ht="14.25" customHeight="1" x14ac:dyDescent="0.25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</row>
    <row r="480" spans="1:32" ht="14.25" customHeight="1" x14ac:dyDescent="0.25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</row>
    <row r="481" spans="1:32" ht="14.25" customHeight="1" x14ac:dyDescent="0.25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</row>
    <row r="482" spans="1:32" ht="14.25" customHeight="1" x14ac:dyDescent="0.25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</row>
    <row r="483" spans="1:32" ht="14.25" customHeight="1" x14ac:dyDescent="0.25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</row>
    <row r="484" spans="1:32" ht="14.25" customHeight="1" x14ac:dyDescent="0.25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</row>
    <row r="485" spans="1:32" ht="14.25" customHeight="1" x14ac:dyDescent="0.25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</row>
    <row r="486" spans="1:32" ht="14.25" customHeight="1" x14ac:dyDescent="0.25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</row>
    <row r="487" spans="1:32" ht="14.25" customHeight="1" x14ac:dyDescent="0.25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</row>
    <row r="488" spans="1:32" ht="14.25" customHeight="1" x14ac:dyDescent="0.25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</row>
    <row r="489" spans="1:32" ht="14.25" customHeight="1" x14ac:dyDescent="0.25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</row>
    <row r="490" spans="1:32" ht="14.25" customHeight="1" x14ac:dyDescent="0.25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</row>
    <row r="491" spans="1:32" ht="14.25" customHeight="1" x14ac:dyDescent="0.25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</row>
    <row r="492" spans="1:32" ht="14.25" customHeight="1" x14ac:dyDescent="0.25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</row>
    <row r="493" spans="1:32" ht="14.25" customHeight="1" x14ac:dyDescent="0.25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</row>
    <row r="494" spans="1:32" ht="14.25" customHeight="1" x14ac:dyDescent="0.25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</row>
    <row r="495" spans="1:32" ht="14.25" customHeight="1" x14ac:dyDescent="0.25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</row>
    <row r="496" spans="1:32" ht="14.25" customHeight="1" x14ac:dyDescent="0.25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</row>
    <row r="497" spans="1:32" ht="14.25" customHeight="1" x14ac:dyDescent="0.25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</row>
    <row r="498" spans="1:32" ht="14.25" customHeight="1" x14ac:dyDescent="0.25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</row>
    <row r="499" spans="1:32" ht="14.25" customHeight="1" x14ac:dyDescent="0.25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</row>
    <row r="500" spans="1:32" ht="14.25" customHeight="1" x14ac:dyDescent="0.25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</row>
    <row r="501" spans="1:32" ht="14.25" customHeight="1" x14ac:dyDescent="0.25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</row>
    <row r="502" spans="1:32" ht="14.25" customHeight="1" x14ac:dyDescent="0.25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</row>
    <row r="503" spans="1:32" ht="14.25" customHeight="1" x14ac:dyDescent="0.25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</row>
    <row r="504" spans="1:32" ht="14.25" customHeight="1" x14ac:dyDescent="0.25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</row>
    <row r="505" spans="1:32" ht="14.25" customHeight="1" x14ac:dyDescent="0.25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</row>
    <row r="506" spans="1:32" ht="14.25" customHeight="1" x14ac:dyDescent="0.25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</row>
    <row r="507" spans="1:32" ht="14.25" customHeight="1" x14ac:dyDescent="0.25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</row>
    <row r="508" spans="1:32" ht="14.25" customHeight="1" x14ac:dyDescent="0.25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</row>
    <row r="509" spans="1:32" ht="14.25" customHeight="1" x14ac:dyDescent="0.25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</row>
    <row r="510" spans="1:32" ht="14.25" customHeight="1" x14ac:dyDescent="0.25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</row>
    <row r="511" spans="1:32" ht="14.25" customHeight="1" x14ac:dyDescent="0.25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</row>
    <row r="512" spans="1:32" ht="14.25" customHeight="1" x14ac:dyDescent="0.25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</row>
    <row r="513" spans="1:32" ht="14.25" customHeight="1" x14ac:dyDescent="0.25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</row>
    <row r="514" spans="1:32" ht="14.25" customHeight="1" x14ac:dyDescent="0.25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</row>
    <row r="515" spans="1:32" ht="14.25" customHeight="1" x14ac:dyDescent="0.25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2" ht="14.25" customHeight="1" x14ac:dyDescent="0.25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2" ht="14.25" customHeight="1" x14ac:dyDescent="0.25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2" ht="14.25" customHeight="1" x14ac:dyDescent="0.25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2" ht="14.25" customHeight="1" x14ac:dyDescent="0.25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2" ht="14.25" customHeight="1" x14ac:dyDescent="0.25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2" ht="14.25" customHeight="1" x14ac:dyDescent="0.25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</row>
    <row r="522" spans="1:32" ht="14.25" customHeight="1" x14ac:dyDescent="0.25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</row>
    <row r="523" spans="1:32" ht="14.25" customHeight="1" x14ac:dyDescent="0.25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2" ht="14.25" customHeight="1" x14ac:dyDescent="0.25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2" ht="14.25" customHeight="1" x14ac:dyDescent="0.25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</row>
    <row r="526" spans="1:32" ht="14.25" customHeight="1" x14ac:dyDescent="0.25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</row>
    <row r="527" spans="1:32" ht="14.25" customHeight="1" x14ac:dyDescent="0.25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</row>
    <row r="528" spans="1:32" ht="14.25" customHeight="1" x14ac:dyDescent="0.25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</row>
    <row r="529" spans="1:32" ht="14.25" customHeight="1" x14ac:dyDescent="0.25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</row>
    <row r="530" spans="1:32" ht="14.25" customHeight="1" x14ac:dyDescent="0.25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</row>
    <row r="531" spans="1:32" ht="14.25" customHeight="1" x14ac:dyDescent="0.25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</row>
    <row r="532" spans="1:32" ht="14.25" customHeight="1" x14ac:dyDescent="0.25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</row>
    <row r="533" spans="1:32" ht="14.25" customHeight="1" x14ac:dyDescent="0.25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2" ht="14.25" customHeight="1" x14ac:dyDescent="0.25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2" ht="14.25" customHeight="1" x14ac:dyDescent="0.25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2" ht="14.25" customHeight="1" x14ac:dyDescent="0.25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2" ht="14.25" customHeight="1" x14ac:dyDescent="0.25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2" ht="14.25" customHeight="1" x14ac:dyDescent="0.25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2" ht="14.25" customHeight="1" x14ac:dyDescent="0.25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</row>
    <row r="540" spans="1:32" ht="14.25" customHeight="1" x14ac:dyDescent="0.25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</row>
    <row r="541" spans="1:32" ht="14.25" customHeight="1" x14ac:dyDescent="0.25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</row>
    <row r="542" spans="1:32" ht="14.25" customHeight="1" x14ac:dyDescent="0.25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</row>
    <row r="543" spans="1:32" ht="14.25" customHeight="1" x14ac:dyDescent="0.25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</row>
    <row r="544" spans="1:32" ht="14.25" customHeight="1" x14ac:dyDescent="0.25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</row>
    <row r="545" spans="1:32" ht="14.25" customHeight="1" x14ac:dyDescent="0.25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</row>
    <row r="546" spans="1:32" ht="14.25" customHeight="1" x14ac:dyDescent="0.25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</row>
    <row r="547" spans="1:32" ht="14.25" customHeight="1" x14ac:dyDescent="0.25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</row>
    <row r="548" spans="1:32" ht="14.25" customHeight="1" x14ac:dyDescent="0.25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</row>
    <row r="549" spans="1:32" ht="14.25" customHeight="1" x14ac:dyDescent="0.25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</row>
    <row r="550" spans="1:32" ht="14.25" customHeight="1" x14ac:dyDescent="0.25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</row>
    <row r="551" spans="1:32" ht="14.25" customHeight="1" x14ac:dyDescent="0.25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</row>
    <row r="552" spans="1:32" ht="14.25" customHeight="1" x14ac:dyDescent="0.25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</row>
    <row r="553" spans="1:32" ht="14.25" customHeight="1" x14ac:dyDescent="0.25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</row>
    <row r="554" spans="1:32" ht="14.25" customHeight="1" x14ac:dyDescent="0.25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</row>
    <row r="555" spans="1:32" ht="14.25" customHeight="1" x14ac:dyDescent="0.25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2" ht="14.25" customHeight="1" x14ac:dyDescent="0.25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2" ht="14.25" customHeight="1" x14ac:dyDescent="0.25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2" ht="14.25" customHeight="1" x14ac:dyDescent="0.25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2" ht="14.25" customHeight="1" x14ac:dyDescent="0.25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2" ht="14.25" customHeight="1" x14ac:dyDescent="0.25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2" ht="14.25" customHeight="1" x14ac:dyDescent="0.25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2" ht="14.25" customHeight="1" x14ac:dyDescent="0.25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2" ht="14.25" customHeight="1" x14ac:dyDescent="0.25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2" ht="14.25" customHeight="1" x14ac:dyDescent="0.25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2" ht="14.25" customHeight="1" x14ac:dyDescent="0.25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2" ht="14.25" customHeight="1" x14ac:dyDescent="0.25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2" ht="14.25" customHeight="1" x14ac:dyDescent="0.25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2" ht="14.25" customHeight="1" x14ac:dyDescent="0.25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2" ht="14.25" customHeight="1" x14ac:dyDescent="0.25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2" ht="14.25" customHeight="1" x14ac:dyDescent="0.25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2" ht="14.25" customHeight="1" x14ac:dyDescent="0.25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</row>
    <row r="572" spans="1:32" ht="14.25" customHeight="1" x14ac:dyDescent="0.25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</row>
    <row r="573" spans="1:32" ht="14.25" customHeight="1" x14ac:dyDescent="0.25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2" ht="14.25" customHeight="1" x14ac:dyDescent="0.25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2" ht="14.25" customHeight="1" x14ac:dyDescent="0.25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2" ht="14.25" customHeight="1" x14ac:dyDescent="0.25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2" ht="14.25" customHeight="1" x14ac:dyDescent="0.25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2" ht="14.25" customHeight="1" x14ac:dyDescent="0.25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2" ht="14.25" customHeight="1" x14ac:dyDescent="0.25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2" ht="14.25" customHeight="1" x14ac:dyDescent="0.25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2" ht="14.25" customHeight="1" x14ac:dyDescent="0.25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2" ht="14.25" customHeight="1" x14ac:dyDescent="0.25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2" ht="14.25" customHeight="1" x14ac:dyDescent="0.25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2" ht="14.25" customHeight="1" x14ac:dyDescent="0.25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2" ht="14.25" customHeight="1" x14ac:dyDescent="0.25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</row>
    <row r="586" spans="1:32" ht="14.25" customHeight="1" x14ac:dyDescent="0.25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</row>
    <row r="587" spans="1:32" ht="14.25" customHeight="1" x14ac:dyDescent="0.25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</row>
    <row r="588" spans="1:32" ht="14.25" customHeight="1" x14ac:dyDescent="0.25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</row>
    <row r="589" spans="1:32" ht="14.25" customHeight="1" x14ac:dyDescent="0.25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</row>
    <row r="590" spans="1:32" ht="14.25" customHeight="1" x14ac:dyDescent="0.25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</row>
    <row r="591" spans="1:32" ht="14.25" customHeight="1" x14ac:dyDescent="0.25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</row>
    <row r="592" spans="1:32" ht="14.25" customHeight="1" x14ac:dyDescent="0.25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</row>
    <row r="593" spans="1:32" ht="14.25" customHeight="1" x14ac:dyDescent="0.25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</row>
    <row r="594" spans="1:32" ht="14.25" customHeight="1" x14ac:dyDescent="0.25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</row>
    <row r="595" spans="1:32" ht="14.25" customHeight="1" x14ac:dyDescent="0.25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</row>
    <row r="596" spans="1:32" ht="14.25" customHeight="1" x14ac:dyDescent="0.25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</row>
    <row r="597" spans="1:32" ht="14.25" customHeight="1" x14ac:dyDescent="0.25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</row>
    <row r="598" spans="1:32" ht="14.25" customHeight="1" x14ac:dyDescent="0.25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</row>
    <row r="599" spans="1:32" ht="14.25" customHeight="1" x14ac:dyDescent="0.25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</row>
    <row r="600" spans="1:32" ht="14.25" customHeight="1" x14ac:dyDescent="0.25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</row>
    <row r="601" spans="1:32" ht="14.25" customHeight="1" x14ac:dyDescent="0.25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</row>
    <row r="602" spans="1:32" ht="14.25" customHeight="1" x14ac:dyDescent="0.25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</row>
    <row r="603" spans="1:32" ht="14.25" customHeight="1" x14ac:dyDescent="0.25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</row>
    <row r="604" spans="1:32" ht="14.25" customHeight="1" x14ac:dyDescent="0.25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</row>
    <row r="605" spans="1:32" ht="14.25" customHeight="1" x14ac:dyDescent="0.25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</row>
    <row r="606" spans="1:32" ht="14.25" customHeight="1" x14ac:dyDescent="0.25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</row>
    <row r="607" spans="1:32" ht="14.25" customHeight="1" x14ac:dyDescent="0.25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</row>
    <row r="608" spans="1:32" ht="14.25" customHeight="1" x14ac:dyDescent="0.25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</row>
    <row r="609" spans="1:32" ht="14.25" customHeight="1" x14ac:dyDescent="0.25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</row>
    <row r="610" spans="1:32" ht="14.25" customHeight="1" x14ac:dyDescent="0.25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</row>
    <row r="611" spans="1:32" ht="14.25" customHeight="1" x14ac:dyDescent="0.25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</row>
    <row r="612" spans="1:32" ht="14.25" customHeight="1" x14ac:dyDescent="0.25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</row>
    <row r="613" spans="1:32" ht="14.25" customHeight="1" x14ac:dyDescent="0.25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</row>
    <row r="614" spans="1:32" ht="14.25" customHeight="1" x14ac:dyDescent="0.25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</row>
    <row r="615" spans="1:32" ht="14.25" customHeight="1" x14ac:dyDescent="0.25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</row>
    <row r="616" spans="1:32" ht="14.25" customHeight="1" x14ac:dyDescent="0.25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</row>
    <row r="617" spans="1:32" ht="14.25" customHeight="1" x14ac:dyDescent="0.25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</row>
    <row r="618" spans="1:32" ht="14.25" customHeight="1" x14ac:dyDescent="0.25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</row>
    <row r="619" spans="1:32" ht="14.25" customHeight="1" x14ac:dyDescent="0.25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</row>
    <row r="620" spans="1:32" ht="14.25" customHeight="1" x14ac:dyDescent="0.25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</row>
    <row r="621" spans="1:32" ht="14.25" customHeight="1" x14ac:dyDescent="0.25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</row>
    <row r="622" spans="1:32" ht="14.25" customHeight="1" x14ac:dyDescent="0.25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</row>
    <row r="623" spans="1:32" ht="14.25" customHeight="1" x14ac:dyDescent="0.25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</row>
    <row r="624" spans="1:32" ht="14.25" customHeight="1" x14ac:dyDescent="0.25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</row>
    <row r="625" spans="1:32" ht="14.25" customHeight="1" x14ac:dyDescent="0.25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</row>
    <row r="626" spans="1:32" ht="14.25" customHeight="1" x14ac:dyDescent="0.25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</row>
    <row r="627" spans="1:32" ht="14.25" customHeight="1" x14ac:dyDescent="0.25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</row>
    <row r="628" spans="1:32" ht="14.25" customHeight="1" x14ac:dyDescent="0.25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</row>
    <row r="629" spans="1:32" ht="14.25" customHeight="1" x14ac:dyDescent="0.25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2" ht="14.25" customHeight="1" x14ac:dyDescent="0.25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2" ht="14.25" customHeight="1" x14ac:dyDescent="0.25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2" ht="14.25" customHeight="1" x14ac:dyDescent="0.25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2" ht="14.25" customHeight="1" x14ac:dyDescent="0.25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</row>
    <row r="634" spans="1:32" ht="14.25" customHeight="1" x14ac:dyDescent="0.25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</row>
    <row r="635" spans="1:32" ht="14.25" customHeight="1" x14ac:dyDescent="0.25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2" ht="14.25" customHeight="1" x14ac:dyDescent="0.25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2" ht="14.25" customHeight="1" x14ac:dyDescent="0.25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2" ht="14.25" customHeight="1" x14ac:dyDescent="0.25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2" ht="14.25" customHeight="1" x14ac:dyDescent="0.25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2" ht="14.25" customHeight="1" x14ac:dyDescent="0.25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2" ht="14.25" customHeight="1" x14ac:dyDescent="0.25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2" ht="14.25" customHeight="1" x14ac:dyDescent="0.25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2" ht="14.25" customHeight="1" x14ac:dyDescent="0.25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2" ht="14.25" customHeight="1" x14ac:dyDescent="0.25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2" ht="14.25" customHeight="1" x14ac:dyDescent="0.25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2" ht="14.25" customHeight="1" x14ac:dyDescent="0.25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2" ht="14.25" customHeight="1" x14ac:dyDescent="0.25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2" ht="14.25" customHeight="1" x14ac:dyDescent="0.25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2" ht="14.25" customHeight="1" x14ac:dyDescent="0.25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</row>
    <row r="650" spans="1:32" ht="14.25" customHeight="1" x14ac:dyDescent="0.25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</row>
    <row r="651" spans="1:32" ht="14.25" customHeight="1" x14ac:dyDescent="0.25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</row>
    <row r="652" spans="1:32" ht="14.25" customHeight="1" x14ac:dyDescent="0.25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</row>
    <row r="653" spans="1:32" ht="14.25" customHeight="1" x14ac:dyDescent="0.25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</row>
    <row r="654" spans="1:32" ht="14.25" customHeight="1" x14ac:dyDescent="0.25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</row>
    <row r="655" spans="1:32" ht="14.25" customHeight="1" x14ac:dyDescent="0.25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</row>
    <row r="656" spans="1:32" ht="14.25" customHeight="1" x14ac:dyDescent="0.25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</row>
    <row r="657" spans="1:32" ht="14.25" customHeight="1" x14ac:dyDescent="0.25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</row>
    <row r="658" spans="1:32" ht="14.25" customHeight="1" x14ac:dyDescent="0.25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</row>
    <row r="659" spans="1:32" ht="14.25" customHeight="1" x14ac:dyDescent="0.25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</row>
    <row r="660" spans="1:32" ht="14.25" customHeight="1" x14ac:dyDescent="0.25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</row>
    <row r="661" spans="1:32" ht="14.25" customHeight="1" x14ac:dyDescent="0.25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</row>
    <row r="662" spans="1:32" ht="14.25" customHeight="1" x14ac:dyDescent="0.25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</row>
    <row r="663" spans="1:32" ht="14.25" customHeight="1" x14ac:dyDescent="0.25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2" ht="14.25" customHeight="1" x14ac:dyDescent="0.25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2" ht="14.25" customHeight="1" x14ac:dyDescent="0.25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2" ht="14.25" customHeight="1" x14ac:dyDescent="0.25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2" ht="14.25" customHeight="1" x14ac:dyDescent="0.25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2" ht="14.25" customHeight="1" x14ac:dyDescent="0.25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2" ht="14.25" customHeight="1" x14ac:dyDescent="0.25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2" ht="14.25" customHeight="1" x14ac:dyDescent="0.25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2" ht="14.25" customHeight="1" x14ac:dyDescent="0.25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2" ht="14.25" customHeight="1" x14ac:dyDescent="0.25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 ht="14.25" customHeight="1" x14ac:dyDescent="0.25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 ht="14.25" customHeight="1" x14ac:dyDescent="0.25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 ht="14.25" customHeight="1" x14ac:dyDescent="0.25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 ht="14.25" customHeight="1" x14ac:dyDescent="0.25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 ht="14.25" customHeight="1" x14ac:dyDescent="0.25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 ht="14.25" customHeight="1" x14ac:dyDescent="0.25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 ht="14.25" customHeight="1" x14ac:dyDescent="0.25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 ht="14.25" customHeight="1" x14ac:dyDescent="0.25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 ht="14.25" customHeight="1" x14ac:dyDescent="0.25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 ht="14.25" customHeight="1" x14ac:dyDescent="0.25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 ht="14.25" customHeight="1" x14ac:dyDescent="0.25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 ht="14.25" customHeight="1" x14ac:dyDescent="0.25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 ht="14.25" customHeight="1" x14ac:dyDescent="0.25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 ht="14.25" customHeight="1" x14ac:dyDescent="0.25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 ht="14.25" customHeight="1" x14ac:dyDescent="0.25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 ht="14.25" customHeight="1" x14ac:dyDescent="0.25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 ht="14.25" customHeight="1" x14ac:dyDescent="0.25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 ht="14.25" customHeight="1" x14ac:dyDescent="0.25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 ht="14.25" customHeight="1" x14ac:dyDescent="0.25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 ht="14.25" customHeight="1" x14ac:dyDescent="0.25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 ht="14.25" customHeight="1" x14ac:dyDescent="0.25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 ht="14.25" customHeight="1" x14ac:dyDescent="0.25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 ht="14.25" customHeight="1" x14ac:dyDescent="0.25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 ht="14.25" customHeight="1" x14ac:dyDescent="0.25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 ht="14.25" customHeight="1" x14ac:dyDescent="0.25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 ht="14.25" customHeight="1" x14ac:dyDescent="0.25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 ht="14.25" customHeight="1" x14ac:dyDescent="0.25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 ht="14.25" customHeight="1" x14ac:dyDescent="0.25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 ht="14.25" customHeight="1" x14ac:dyDescent="0.25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 ht="14.25" customHeight="1" x14ac:dyDescent="0.25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 ht="14.25" customHeight="1" x14ac:dyDescent="0.25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  <row r="704" spans="1:32" ht="14.25" customHeight="1" x14ac:dyDescent="0.25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</row>
    <row r="705" spans="1:32" ht="14.25" customHeight="1" x14ac:dyDescent="0.25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</row>
    <row r="706" spans="1:32" ht="14.25" customHeight="1" x14ac:dyDescent="0.25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</row>
    <row r="707" spans="1:32" ht="14.25" customHeight="1" x14ac:dyDescent="0.25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</row>
    <row r="708" spans="1:32" ht="14.25" customHeight="1" x14ac:dyDescent="0.25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</row>
    <row r="709" spans="1:32" ht="14.25" customHeight="1" x14ac:dyDescent="0.25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</row>
    <row r="710" spans="1:32" ht="14.25" customHeight="1" x14ac:dyDescent="0.25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</row>
    <row r="711" spans="1:32" ht="14.25" customHeight="1" x14ac:dyDescent="0.25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</row>
    <row r="712" spans="1:32" ht="14.25" customHeight="1" x14ac:dyDescent="0.25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</row>
    <row r="713" spans="1:32" ht="14.25" customHeight="1" x14ac:dyDescent="0.25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</row>
    <row r="714" spans="1:32" ht="14.25" customHeight="1" x14ac:dyDescent="0.25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</row>
    <row r="715" spans="1:32" ht="14.25" customHeight="1" x14ac:dyDescent="0.25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</row>
    <row r="716" spans="1:32" ht="14.25" customHeight="1" x14ac:dyDescent="0.25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</row>
    <row r="717" spans="1:32" ht="14.25" customHeight="1" x14ac:dyDescent="0.25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</row>
    <row r="718" spans="1:32" ht="14.25" customHeight="1" x14ac:dyDescent="0.25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</row>
    <row r="719" spans="1:32" ht="14.25" customHeight="1" x14ac:dyDescent="0.25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</row>
    <row r="720" spans="1:32" ht="14.25" customHeight="1" x14ac:dyDescent="0.25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</row>
    <row r="721" spans="1:32" ht="14.25" customHeight="1" x14ac:dyDescent="0.25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</row>
    <row r="722" spans="1:32" ht="14.25" customHeight="1" x14ac:dyDescent="0.25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</row>
    <row r="723" spans="1:32" ht="14.25" customHeight="1" x14ac:dyDescent="0.25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</row>
    <row r="724" spans="1:32" ht="14.25" customHeight="1" x14ac:dyDescent="0.25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</row>
    <row r="725" spans="1:32" ht="14.25" customHeight="1" x14ac:dyDescent="0.25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</row>
    <row r="726" spans="1:32" ht="14.25" customHeight="1" x14ac:dyDescent="0.25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</row>
    <row r="727" spans="1:32" ht="14.25" customHeight="1" x14ac:dyDescent="0.25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</row>
    <row r="728" spans="1:32" ht="14.25" customHeight="1" x14ac:dyDescent="0.25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</row>
    <row r="729" spans="1:32" ht="14.25" customHeight="1" x14ac:dyDescent="0.25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</row>
    <row r="730" spans="1:32" ht="14.25" customHeight="1" x14ac:dyDescent="0.25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</row>
    <row r="731" spans="1:32" ht="14.25" customHeight="1" x14ac:dyDescent="0.25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</row>
    <row r="732" spans="1:32" ht="14.25" customHeight="1" x14ac:dyDescent="0.25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</row>
    <row r="733" spans="1:32" ht="14.25" customHeight="1" x14ac:dyDescent="0.25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</row>
    <row r="734" spans="1:32" ht="14.25" customHeight="1" x14ac:dyDescent="0.25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</row>
    <row r="735" spans="1:32" ht="14.25" customHeight="1" x14ac:dyDescent="0.25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</row>
    <row r="736" spans="1:32" ht="14.25" customHeight="1" x14ac:dyDescent="0.25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</row>
    <row r="737" spans="1:32" ht="14.25" customHeight="1" x14ac:dyDescent="0.25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</row>
    <row r="738" spans="1:32" ht="14.25" customHeight="1" x14ac:dyDescent="0.25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</row>
    <row r="739" spans="1:32" ht="14.25" customHeight="1" x14ac:dyDescent="0.25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</row>
    <row r="740" spans="1:32" ht="14.25" customHeight="1" x14ac:dyDescent="0.25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</row>
    <row r="741" spans="1:32" ht="14.25" customHeight="1" x14ac:dyDescent="0.25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</row>
    <row r="742" spans="1:32" ht="14.25" customHeight="1" x14ac:dyDescent="0.25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</row>
    <row r="743" spans="1:32" ht="14.25" customHeight="1" x14ac:dyDescent="0.25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</row>
    <row r="744" spans="1:32" ht="14.25" customHeight="1" x14ac:dyDescent="0.25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</row>
    <row r="745" spans="1:32" ht="14.25" customHeight="1" x14ac:dyDescent="0.25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</row>
    <row r="746" spans="1:32" ht="14.25" customHeight="1" x14ac:dyDescent="0.25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</row>
    <row r="747" spans="1:32" ht="14.25" customHeight="1" x14ac:dyDescent="0.25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</row>
    <row r="748" spans="1:32" ht="14.25" customHeight="1" x14ac:dyDescent="0.25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</row>
    <row r="749" spans="1:32" ht="14.25" customHeight="1" x14ac:dyDescent="0.25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</row>
    <row r="750" spans="1:32" ht="14.25" customHeight="1" x14ac:dyDescent="0.25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</row>
    <row r="751" spans="1:32" ht="14.25" customHeight="1" x14ac:dyDescent="0.25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</row>
    <row r="752" spans="1:32" ht="14.25" customHeight="1" x14ac:dyDescent="0.25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</row>
    <row r="753" spans="1:32" ht="14.25" customHeight="1" x14ac:dyDescent="0.25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</row>
    <row r="754" spans="1:32" ht="14.25" customHeight="1" x14ac:dyDescent="0.25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</row>
    <row r="755" spans="1:32" ht="14.25" customHeight="1" x14ac:dyDescent="0.25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</row>
    <row r="756" spans="1:32" ht="14.25" customHeight="1" x14ac:dyDescent="0.25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</row>
    <row r="757" spans="1:32" ht="14.25" customHeight="1" x14ac:dyDescent="0.25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</row>
    <row r="758" spans="1:32" ht="14.25" customHeight="1" x14ac:dyDescent="0.25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</row>
    <row r="759" spans="1:32" ht="14.25" customHeight="1" x14ac:dyDescent="0.25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</row>
    <row r="760" spans="1:32" ht="14.25" customHeight="1" x14ac:dyDescent="0.25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</row>
    <row r="761" spans="1:32" ht="14.25" customHeight="1" x14ac:dyDescent="0.25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</row>
    <row r="762" spans="1:32" ht="14.25" customHeight="1" x14ac:dyDescent="0.25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</row>
    <row r="763" spans="1:32" ht="14.25" customHeight="1" x14ac:dyDescent="0.25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</row>
    <row r="764" spans="1:32" ht="14.25" customHeight="1" x14ac:dyDescent="0.25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</row>
    <row r="765" spans="1:32" ht="14.25" customHeight="1" x14ac:dyDescent="0.25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</row>
    <row r="766" spans="1:32" ht="14.25" customHeight="1" x14ac:dyDescent="0.25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</row>
    <row r="767" spans="1:32" ht="14.25" customHeight="1" x14ac:dyDescent="0.25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</row>
    <row r="768" spans="1:32" ht="14.25" customHeight="1" x14ac:dyDescent="0.25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</row>
    <row r="769" spans="1:32" ht="14.25" customHeight="1" x14ac:dyDescent="0.25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</row>
    <row r="770" spans="1:32" ht="14.25" customHeight="1" x14ac:dyDescent="0.25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</row>
    <row r="771" spans="1:32" ht="14.25" customHeight="1" x14ac:dyDescent="0.25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</row>
    <row r="772" spans="1:32" ht="14.25" customHeight="1" x14ac:dyDescent="0.25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</row>
    <row r="773" spans="1:32" ht="14.25" customHeight="1" x14ac:dyDescent="0.25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</row>
    <row r="774" spans="1:32" ht="14.25" customHeight="1" x14ac:dyDescent="0.25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</row>
    <row r="775" spans="1:32" ht="14.25" customHeight="1" x14ac:dyDescent="0.25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</row>
    <row r="776" spans="1:32" ht="14.25" customHeight="1" x14ac:dyDescent="0.25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</row>
    <row r="777" spans="1:32" ht="14.25" customHeight="1" x14ac:dyDescent="0.25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</row>
    <row r="778" spans="1:32" ht="14.25" customHeight="1" x14ac:dyDescent="0.25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</row>
    <row r="779" spans="1:32" ht="14.25" customHeight="1" x14ac:dyDescent="0.25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</row>
    <row r="780" spans="1:32" ht="14.25" customHeight="1" x14ac:dyDescent="0.25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</row>
    <row r="781" spans="1:32" ht="14.25" customHeight="1" x14ac:dyDescent="0.25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</row>
    <row r="782" spans="1:32" ht="14.25" customHeight="1" x14ac:dyDescent="0.25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</row>
    <row r="783" spans="1:32" ht="14.25" customHeight="1" x14ac:dyDescent="0.25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</row>
    <row r="784" spans="1:32" ht="14.25" customHeight="1" x14ac:dyDescent="0.25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</row>
    <row r="785" spans="1:32" ht="14.25" customHeight="1" x14ac:dyDescent="0.25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</row>
    <row r="786" spans="1:32" ht="14.25" customHeight="1" x14ac:dyDescent="0.25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</row>
    <row r="787" spans="1:32" ht="14.25" customHeight="1" x14ac:dyDescent="0.25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</row>
    <row r="788" spans="1:32" ht="14.25" customHeight="1" x14ac:dyDescent="0.25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</row>
    <row r="789" spans="1:32" ht="14.25" customHeight="1" x14ac:dyDescent="0.25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</row>
    <row r="790" spans="1:32" ht="14.25" customHeight="1" x14ac:dyDescent="0.25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</row>
    <row r="791" spans="1:32" ht="14.25" customHeight="1" x14ac:dyDescent="0.25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</row>
    <row r="792" spans="1:32" ht="14.25" customHeight="1" x14ac:dyDescent="0.25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</row>
    <row r="793" spans="1:32" ht="14.25" customHeight="1" x14ac:dyDescent="0.25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</row>
    <row r="794" spans="1:32" ht="14.25" customHeight="1" x14ac:dyDescent="0.25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</row>
    <row r="795" spans="1:32" ht="14.25" customHeight="1" x14ac:dyDescent="0.25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</row>
    <row r="796" spans="1:32" ht="14.25" customHeight="1" x14ac:dyDescent="0.25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</row>
    <row r="797" spans="1:32" ht="14.25" customHeight="1" x14ac:dyDescent="0.25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</row>
    <row r="798" spans="1:32" ht="14.25" customHeight="1" x14ac:dyDescent="0.25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</row>
    <row r="799" spans="1:32" ht="14.25" customHeight="1" x14ac:dyDescent="0.25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</row>
    <row r="800" spans="1:32" ht="14.25" customHeight="1" x14ac:dyDescent="0.25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</row>
    <row r="801" spans="1:32" ht="14.25" customHeight="1" x14ac:dyDescent="0.25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</row>
    <row r="802" spans="1:32" ht="14.25" customHeight="1" x14ac:dyDescent="0.25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</row>
    <row r="803" spans="1:32" ht="14.25" customHeight="1" x14ac:dyDescent="0.25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</row>
    <row r="804" spans="1:32" ht="14.25" customHeight="1" x14ac:dyDescent="0.25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</row>
    <row r="805" spans="1:32" ht="14.25" customHeight="1" x14ac:dyDescent="0.25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</row>
    <row r="806" spans="1:32" ht="14.25" customHeight="1" x14ac:dyDescent="0.25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</row>
    <row r="807" spans="1:32" ht="14.25" customHeight="1" x14ac:dyDescent="0.25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</row>
    <row r="808" spans="1:32" ht="14.25" customHeight="1" x14ac:dyDescent="0.25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</row>
    <row r="809" spans="1:32" ht="14.25" customHeight="1" x14ac:dyDescent="0.25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</row>
    <row r="810" spans="1:32" ht="14.25" customHeight="1" x14ac:dyDescent="0.25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</row>
    <row r="811" spans="1:32" ht="14.25" customHeight="1" x14ac:dyDescent="0.25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</row>
    <row r="812" spans="1:32" ht="14.25" customHeight="1" x14ac:dyDescent="0.25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</row>
    <row r="813" spans="1:32" ht="14.25" customHeight="1" x14ac:dyDescent="0.25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</row>
    <row r="814" spans="1:32" ht="14.25" customHeight="1" x14ac:dyDescent="0.25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</row>
    <row r="815" spans="1:32" ht="14.25" customHeight="1" x14ac:dyDescent="0.25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</row>
    <row r="816" spans="1:32" ht="14.25" customHeight="1" x14ac:dyDescent="0.25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</row>
    <row r="817" spans="1:32" ht="14.25" customHeight="1" x14ac:dyDescent="0.25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</row>
    <row r="818" spans="1:32" ht="14.25" customHeight="1" x14ac:dyDescent="0.25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</row>
    <row r="819" spans="1:32" ht="14.25" customHeight="1" x14ac:dyDescent="0.25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</row>
    <row r="820" spans="1:32" ht="14.25" customHeight="1" x14ac:dyDescent="0.25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</row>
    <row r="821" spans="1:32" ht="14.25" customHeight="1" x14ac:dyDescent="0.25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</row>
    <row r="822" spans="1:32" ht="14.25" customHeight="1" x14ac:dyDescent="0.25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</row>
    <row r="823" spans="1:32" ht="14.25" customHeight="1" x14ac:dyDescent="0.25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</row>
    <row r="824" spans="1:32" ht="14.25" customHeight="1" x14ac:dyDescent="0.25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</row>
    <row r="825" spans="1:32" ht="14.25" customHeight="1" x14ac:dyDescent="0.25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</row>
    <row r="826" spans="1:32" ht="14.25" customHeight="1" x14ac:dyDescent="0.25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</row>
    <row r="827" spans="1:32" ht="14.25" customHeight="1" x14ac:dyDescent="0.25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</row>
    <row r="828" spans="1:32" ht="14.25" customHeight="1" x14ac:dyDescent="0.25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</row>
    <row r="829" spans="1:32" ht="14.25" customHeight="1" x14ac:dyDescent="0.25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</row>
    <row r="830" spans="1:32" ht="14.25" customHeight="1" x14ac:dyDescent="0.25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</row>
    <row r="831" spans="1:32" ht="14.25" customHeight="1" x14ac:dyDescent="0.25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</row>
    <row r="832" spans="1:32" ht="14.25" customHeight="1" x14ac:dyDescent="0.25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</row>
    <row r="833" spans="1:32" ht="14.25" customHeight="1" x14ac:dyDescent="0.25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</row>
    <row r="834" spans="1:32" ht="14.25" customHeight="1" x14ac:dyDescent="0.25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</row>
    <row r="835" spans="1:32" ht="14.25" customHeight="1" x14ac:dyDescent="0.25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</row>
    <row r="836" spans="1:32" ht="14.25" customHeight="1" x14ac:dyDescent="0.25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</row>
    <row r="837" spans="1:32" ht="14.25" customHeight="1" x14ac:dyDescent="0.25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</row>
    <row r="838" spans="1:32" ht="14.25" customHeight="1" x14ac:dyDescent="0.25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</row>
    <row r="839" spans="1:32" ht="14.25" customHeight="1" x14ac:dyDescent="0.25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</row>
    <row r="840" spans="1:32" ht="14.25" customHeight="1" x14ac:dyDescent="0.25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</row>
    <row r="841" spans="1:32" ht="14.25" customHeight="1" x14ac:dyDescent="0.25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</row>
    <row r="842" spans="1:32" ht="14.25" customHeight="1" x14ac:dyDescent="0.25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</row>
    <row r="843" spans="1:32" ht="14.25" customHeight="1" x14ac:dyDescent="0.25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</row>
    <row r="844" spans="1:32" ht="14.25" customHeight="1" x14ac:dyDescent="0.25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</row>
    <row r="845" spans="1:32" ht="14.25" customHeight="1" x14ac:dyDescent="0.25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</row>
    <row r="846" spans="1:32" ht="14.25" customHeight="1" x14ac:dyDescent="0.25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</row>
    <row r="847" spans="1:32" ht="14.25" customHeight="1" x14ac:dyDescent="0.25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</row>
    <row r="848" spans="1:32" ht="14.25" customHeight="1" x14ac:dyDescent="0.25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</row>
    <row r="849" spans="1:32" ht="14.25" customHeight="1" x14ac:dyDescent="0.25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</row>
    <row r="850" spans="1:32" ht="14.25" customHeight="1" x14ac:dyDescent="0.25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</row>
    <row r="851" spans="1:32" ht="14.25" customHeight="1" x14ac:dyDescent="0.25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</row>
    <row r="852" spans="1:32" ht="14.25" customHeight="1" x14ac:dyDescent="0.25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</row>
    <row r="853" spans="1:32" ht="14.25" customHeight="1" x14ac:dyDescent="0.25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</row>
    <row r="854" spans="1:32" ht="14.25" customHeight="1" x14ac:dyDescent="0.25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</row>
    <row r="855" spans="1:32" ht="14.25" customHeight="1" x14ac:dyDescent="0.25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</row>
    <row r="856" spans="1:32" ht="14.25" customHeight="1" x14ac:dyDescent="0.25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</row>
    <row r="857" spans="1:32" ht="14.25" customHeight="1" x14ac:dyDescent="0.25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</row>
    <row r="858" spans="1:32" ht="14.25" customHeight="1" x14ac:dyDescent="0.25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</row>
    <row r="859" spans="1:32" ht="14.25" customHeight="1" x14ac:dyDescent="0.25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</row>
    <row r="860" spans="1:32" ht="14.25" customHeight="1" x14ac:dyDescent="0.25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</row>
    <row r="861" spans="1:32" ht="14.25" customHeight="1" x14ac:dyDescent="0.25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</row>
    <row r="862" spans="1:32" ht="14.25" customHeight="1" x14ac:dyDescent="0.25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</row>
    <row r="863" spans="1:32" ht="14.25" customHeight="1" x14ac:dyDescent="0.25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</row>
    <row r="864" spans="1:32" ht="14.25" customHeight="1" x14ac:dyDescent="0.25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</row>
    <row r="865" spans="1:32" ht="14.25" customHeight="1" x14ac:dyDescent="0.25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</row>
    <row r="866" spans="1:32" ht="14.25" customHeight="1" x14ac:dyDescent="0.25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</row>
    <row r="867" spans="1:32" ht="14.25" customHeight="1" x14ac:dyDescent="0.25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</row>
    <row r="868" spans="1:32" ht="14.25" customHeight="1" x14ac:dyDescent="0.25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</row>
    <row r="869" spans="1:32" ht="14.25" customHeight="1" x14ac:dyDescent="0.25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</row>
    <row r="870" spans="1:32" ht="14.25" customHeight="1" x14ac:dyDescent="0.25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</row>
    <row r="871" spans="1:32" ht="14.25" customHeight="1" x14ac:dyDescent="0.25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</row>
    <row r="872" spans="1:32" ht="14.25" customHeight="1" x14ac:dyDescent="0.25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</row>
    <row r="873" spans="1:32" ht="14.25" customHeight="1" x14ac:dyDescent="0.25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</row>
    <row r="874" spans="1:32" ht="14.25" customHeight="1" x14ac:dyDescent="0.25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</row>
    <row r="875" spans="1:32" ht="14.25" customHeight="1" x14ac:dyDescent="0.25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</row>
    <row r="876" spans="1:32" ht="14.25" customHeight="1" x14ac:dyDescent="0.25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</row>
    <row r="877" spans="1:32" ht="14.25" customHeight="1" x14ac:dyDescent="0.25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</row>
    <row r="878" spans="1:32" ht="14.25" customHeight="1" x14ac:dyDescent="0.25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</row>
    <row r="879" spans="1:32" ht="14.25" customHeight="1" x14ac:dyDescent="0.25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</row>
    <row r="880" spans="1:32" ht="14.25" customHeight="1" x14ac:dyDescent="0.25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</row>
    <row r="881" spans="1:32" ht="14.25" customHeight="1" x14ac:dyDescent="0.25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</row>
    <row r="882" spans="1:32" ht="14.25" customHeight="1" x14ac:dyDescent="0.25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</row>
    <row r="883" spans="1:32" ht="14.25" customHeight="1" x14ac:dyDescent="0.25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</row>
    <row r="884" spans="1:32" ht="14.25" customHeight="1" x14ac:dyDescent="0.25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</row>
    <row r="885" spans="1:32" ht="14.25" customHeight="1" x14ac:dyDescent="0.25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</row>
    <row r="886" spans="1:32" ht="14.25" customHeight="1" x14ac:dyDescent="0.25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</row>
    <row r="887" spans="1:32" ht="14.25" customHeight="1" x14ac:dyDescent="0.25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</row>
    <row r="888" spans="1:32" ht="14.25" customHeight="1" x14ac:dyDescent="0.25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</row>
    <row r="889" spans="1:32" ht="14.25" customHeight="1" x14ac:dyDescent="0.25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</row>
    <row r="890" spans="1:32" ht="14.25" customHeight="1" x14ac:dyDescent="0.25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</row>
    <row r="891" spans="1:32" ht="14.25" customHeight="1" x14ac:dyDescent="0.25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</row>
    <row r="892" spans="1:32" ht="14.25" customHeight="1" x14ac:dyDescent="0.25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</row>
    <row r="893" spans="1:32" ht="14.25" customHeight="1" x14ac:dyDescent="0.25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</row>
    <row r="894" spans="1:32" ht="14.25" customHeight="1" x14ac:dyDescent="0.25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</row>
    <row r="895" spans="1:32" ht="14.25" customHeight="1" x14ac:dyDescent="0.25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</row>
    <row r="896" spans="1:32" ht="14.25" customHeight="1" x14ac:dyDescent="0.25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</row>
    <row r="897" spans="1:32" ht="14.25" customHeight="1" x14ac:dyDescent="0.25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</row>
    <row r="898" spans="1:32" ht="14.25" customHeight="1" x14ac:dyDescent="0.25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</row>
    <row r="899" spans="1:32" ht="14.25" customHeight="1" x14ac:dyDescent="0.25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</row>
    <row r="900" spans="1:32" ht="14.25" customHeight="1" x14ac:dyDescent="0.25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</row>
    <row r="901" spans="1:32" ht="14.25" customHeight="1" x14ac:dyDescent="0.25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</row>
    <row r="902" spans="1:32" ht="14.25" customHeight="1" x14ac:dyDescent="0.25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</row>
    <row r="903" spans="1:32" ht="14.25" customHeight="1" x14ac:dyDescent="0.25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</row>
    <row r="904" spans="1:32" ht="14.25" customHeight="1" x14ac:dyDescent="0.25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</row>
    <row r="905" spans="1:32" ht="14.25" customHeight="1" x14ac:dyDescent="0.25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</row>
    <row r="906" spans="1:32" ht="14.25" customHeight="1" x14ac:dyDescent="0.25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</row>
    <row r="907" spans="1:32" ht="14.25" customHeight="1" x14ac:dyDescent="0.25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</row>
    <row r="908" spans="1:32" ht="14.25" customHeight="1" x14ac:dyDescent="0.25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</row>
    <row r="909" spans="1:32" ht="14.25" customHeight="1" x14ac:dyDescent="0.25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</row>
    <row r="910" spans="1:32" ht="14.25" customHeight="1" x14ac:dyDescent="0.25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</row>
    <row r="911" spans="1:32" ht="14.25" customHeight="1" x14ac:dyDescent="0.25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</row>
    <row r="912" spans="1:32" ht="14.25" customHeight="1" x14ac:dyDescent="0.25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</row>
    <row r="913" spans="1:32" ht="14.25" customHeight="1" x14ac:dyDescent="0.25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</row>
    <row r="914" spans="1:32" ht="14.25" customHeight="1" x14ac:dyDescent="0.25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</row>
    <row r="915" spans="1:32" ht="14.25" customHeight="1" x14ac:dyDescent="0.25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</row>
    <row r="916" spans="1:32" ht="14.25" customHeight="1" x14ac:dyDescent="0.25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</row>
    <row r="917" spans="1:32" ht="14.25" customHeight="1" x14ac:dyDescent="0.25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</row>
    <row r="918" spans="1:32" ht="14.25" customHeight="1" x14ac:dyDescent="0.25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</row>
    <row r="919" spans="1:32" ht="14.25" customHeight="1" x14ac:dyDescent="0.25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</row>
    <row r="920" spans="1:32" ht="14.25" customHeight="1" x14ac:dyDescent="0.25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</row>
    <row r="921" spans="1:32" ht="14.25" customHeight="1" x14ac:dyDescent="0.25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</row>
    <row r="922" spans="1:32" ht="14.25" customHeight="1" x14ac:dyDescent="0.25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</row>
    <row r="923" spans="1:32" ht="14.25" customHeight="1" x14ac:dyDescent="0.25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</row>
    <row r="924" spans="1:32" ht="14.25" customHeight="1" x14ac:dyDescent="0.25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</row>
    <row r="925" spans="1:32" ht="14.25" customHeight="1" x14ac:dyDescent="0.25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</row>
    <row r="926" spans="1:32" ht="14.25" customHeight="1" x14ac:dyDescent="0.25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</row>
    <row r="927" spans="1:32" ht="14.25" customHeight="1" x14ac:dyDescent="0.25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</row>
    <row r="928" spans="1:32" ht="14.25" customHeight="1" x14ac:dyDescent="0.25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</row>
    <row r="929" spans="1:32" ht="14.25" customHeight="1" x14ac:dyDescent="0.25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</row>
    <row r="930" spans="1:32" ht="14.25" customHeight="1" x14ac:dyDescent="0.25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</row>
    <row r="931" spans="1:32" ht="14.25" customHeight="1" x14ac:dyDescent="0.25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</row>
    <row r="932" spans="1:32" ht="14.25" customHeight="1" x14ac:dyDescent="0.25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</row>
    <row r="933" spans="1:32" ht="14.25" customHeight="1" x14ac:dyDescent="0.25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</row>
    <row r="934" spans="1:32" ht="14.25" customHeight="1" x14ac:dyDescent="0.25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</row>
    <row r="935" spans="1:32" ht="14.25" customHeight="1" x14ac:dyDescent="0.25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</row>
    <row r="936" spans="1:32" ht="14.25" customHeight="1" x14ac:dyDescent="0.25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</row>
    <row r="937" spans="1:32" ht="14.25" customHeight="1" x14ac:dyDescent="0.25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</row>
    <row r="938" spans="1:32" ht="14.25" customHeight="1" x14ac:dyDescent="0.25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</row>
    <row r="939" spans="1:32" ht="14.25" customHeight="1" x14ac:dyDescent="0.25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</row>
    <row r="940" spans="1:32" ht="14.25" customHeight="1" x14ac:dyDescent="0.25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</row>
    <row r="941" spans="1:32" ht="14.25" customHeight="1" x14ac:dyDescent="0.25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</row>
    <row r="942" spans="1:32" ht="14.25" customHeight="1" x14ac:dyDescent="0.25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</row>
    <row r="943" spans="1:32" ht="14.25" customHeight="1" x14ac:dyDescent="0.25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</row>
    <row r="944" spans="1:32" ht="14.25" customHeight="1" x14ac:dyDescent="0.25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</row>
    <row r="945" spans="1:32" ht="14.25" customHeight="1" x14ac:dyDescent="0.25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</row>
    <row r="946" spans="1:32" ht="14.25" customHeight="1" x14ac:dyDescent="0.25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</row>
    <row r="947" spans="1:32" ht="14.25" customHeight="1" x14ac:dyDescent="0.25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</row>
    <row r="948" spans="1:32" ht="14.25" customHeight="1" x14ac:dyDescent="0.25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</row>
    <row r="949" spans="1:32" ht="14.25" customHeight="1" x14ac:dyDescent="0.25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</row>
    <row r="950" spans="1:32" ht="14.25" customHeight="1" x14ac:dyDescent="0.25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</row>
    <row r="951" spans="1:32" ht="14.25" customHeight="1" x14ac:dyDescent="0.25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</row>
    <row r="952" spans="1:32" ht="14.25" customHeight="1" x14ac:dyDescent="0.25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</row>
    <row r="953" spans="1:32" ht="14.25" customHeight="1" x14ac:dyDescent="0.25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</row>
    <row r="954" spans="1:32" ht="14.25" customHeight="1" x14ac:dyDescent="0.25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</row>
    <row r="955" spans="1:32" ht="14.25" customHeight="1" x14ac:dyDescent="0.25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</row>
    <row r="956" spans="1:32" ht="14.25" customHeight="1" x14ac:dyDescent="0.25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</row>
    <row r="957" spans="1:32" ht="14.25" customHeight="1" x14ac:dyDescent="0.25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</row>
    <row r="958" spans="1:32" ht="14.25" customHeight="1" x14ac:dyDescent="0.25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</row>
    <row r="959" spans="1:32" ht="14.25" customHeight="1" x14ac:dyDescent="0.25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</row>
    <row r="960" spans="1:32" ht="14.25" customHeight="1" x14ac:dyDescent="0.25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</row>
    <row r="961" spans="1:32" ht="14.25" customHeight="1" x14ac:dyDescent="0.25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</row>
    <row r="962" spans="1:32" ht="14.25" customHeight="1" x14ac:dyDescent="0.25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</row>
    <row r="963" spans="1:32" ht="14.25" customHeight="1" x14ac:dyDescent="0.25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</row>
    <row r="964" spans="1:32" ht="14.25" customHeight="1" x14ac:dyDescent="0.25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</row>
    <row r="965" spans="1:32" ht="14.25" customHeight="1" x14ac:dyDescent="0.25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</row>
    <row r="966" spans="1:32" ht="14.25" customHeight="1" x14ac:dyDescent="0.25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</row>
    <row r="967" spans="1:32" ht="14.25" customHeight="1" x14ac:dyDescent="0.25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</row>
    <row r="968" spans="1:32" ht="14.25" customHeight="1" x14ac:dyDescent="0.25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</row>
    <row r="969" spans="1:32" ht="14.25" customHeight="1" x14ac:dyDescent="0.25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</row>
    <row r="970" spans="1:32" ht="14.25" customHeight="1" x14ac:dyDescent="0.25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</row>
    <row r="971" spans="1:32" ht="14.25" customHeight="1" x14ac:dyDescent="0.25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</row>
    <row r="972" spans="1:32" ht="14.25" customHeight="1" x14ac:dyDescent="0.25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</row>
    <row r="973" spans="1:32" ht="14.25" customHeight="1" x14ac:dyDescent="0.25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</row>
    <row r="974" spans="1:32" ht="14.25" customHeight="1" x14ac:dyDescent="0.25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</row>
    <row r="975" spans="1:32" ht="14.25" customHeight="1" x14ac:dyDescent="0.25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</row>
    <row r="976" spans="1:32" ht="14.25" customHeight="1" x14ac:dyDescent="0.25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</row>
    <row r="977" spans="1:32" ht="14.25" customHeight="1" x14ac:dyDescent="0.25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</row>
    <row r="978" spans="1:32" ht="14.25" customHeight="1" x14ac:dyDescent="0.25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</row>
    <row r="979" spans="1:32" ht="14.25" customHeight="1" x14ac:dyDescent="0.25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</row>
    <row r="980" spans="1:32" ht="14.25" customHeight="1" x14ac:dyDescent="0.25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</row>
    <row r="981" spans="1:32" ht="14.25" customHeight="1" x14ac:dyDescent="0.25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</row>
    <row r="982" spans="1:32" ht="14.25" customHeight="1" x14ac:dyDescent="0.25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</row>
    <row r="983" spans="1:32" ht="14.25" customHeight="1" x14ac:dyDescent="0.25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</row>
    <row r="984" spans="1:32" ht="14.25" customHeight="1" x14ac:dyDescent="0.25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</row>
    <row r="985" spans="1:32" ht="14.25" customHeight="1" x14ac:dyDescent="0.25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</row>
    <row r="986" spans="1:32" ht="14.25" customHeight="1" x14ac:dyDescent="0.25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</row>
    <row r="987" spans="1:32" ht="14.25" customHeight="1" x14ac:dyDescent="0.25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</row>
    <row r="988" spans="1:32" ht="14.25" customHeight="1" x14ac:dyDescent="0.25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</row>
    <row r="989" spans="1:32" ht="14.25" customHeight="1" x14ac:dyDescent="0.25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</row>
    <row r="990" spans="1:32" ht="14.25" customHeight="1" x14ac:dyDescent="0.25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</row>
    <row r="991" spans="1:32" ht="14.25" customHeight="1" x14ac:dyDescent="0.25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</row>
    <row r="992" spans="1:32" ht="14.25" customHeight="1" x14ac:dyDescent="0.25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</row>
    <row r="993" spans="1:32" ht="14.25" customHeight="1" x14ac:dyDescent="0.25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</row>
    <row r="994" spans="1:32" ht="14.25" customHeight="1" x14ac:dyDescent="0.25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</row>
    <row r="995" spans="1:32" ht="14.25" customHeight="1" x14ac:dyDescent="0.25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</row>
    <row r="996" spans="1:32" ht="14.25" customHeight="1" x14ac:dyDescent="0.25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</row>
    <row r="997" spans="1:32" ht="14.25" customHeight="1" x14ac:dyDescent="0.25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</row>
    <row r="998" spans="1:32" ht="14.25" customHeight="1" x14ac:dyDescent="0.25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</row>
    <row r="999" spans="1:32" ht="14.25" customHeight="1" x14ac:dyDescent="0.25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</row>
    <row r="1000" spans="1:32" ht="14.25" customHeight="1" x14ac:dyDescent="0.25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topLeftCell="A71" zoomScale="70" zoomScaleNormal="70" workbookViewId="0">
      <selection sqref="A1:G98"/>
    </sheetView>
  </sheetViews>
  <sheetFormatPr defaultRowHeight="15" x14ac:dyDescent="0.25"/>
  <cols>
    <col min="1" max="1" width="14.140625" customWidth="1"/>
    <col min="2" max="7" width="14" customWidth="1"/>
  </cols>
  <sheetData>
    <row r="1" spans="1:7" x14ac:dyDescent="0.25">
      <c r="A1" s="5"/>
      <c r="B1" s="5" t="s">
        <v>50</v>
      </c>
      <c r="C1" s="5"/>
      <c r="D1" s="5"/>
      <c r="E1" s="5"/>
      <c r="F1" s="5"/>
      <c r="G1" s="5"/>
    </row>
    <row r="2" spans="1:7" x14ac:dyDescent="0.25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25">
      <c r="A3" s="6" t="s">
        <v>95</v>
      </c>
      <c r="B3" s="15">
        <v>64.319999999999993</v>
      </c>
      <c r="C3" s="18">
        <v>0</v>
      </c>
      <c r="D3" s="18">
        <v>0</v>
      </c>
      <c r="E3" s="18">
        <v>0</v>
      </c>
      <c r="F3" s="18">
        <v>0</v>
      </c>
      <c r="G3" s="17"/>
    </row>
    <row r="4" spans="1:7" x14ac:dyDescent="0.25">
      <c r="A4" s="6" t="s">
        <v>100</v>
      </c>
      <c r="B4" s="15">
        <v>39.32</v>
      </c>
      <c r="C4" s="18">
        <v>0</v>
      </c>
      <c r="D4" s="15">
        <v>8.2899999999999991</v>
      </c>
      <c r="E4" s="18">
        <v>0</v>
      </c>
      <c r="F4" s="18">
        <v>0</v>
      </c>
      <c r="G4" s="17"/>
    </row>
    <row r="5" spans="1:7" x14ac:dyDescent="0.25">
      <c r="A5" s="6" t="s">
        <v>101</v>
      </c>
      <c r="B5" s="15">
        <v>60.68</v>
      </c>
      <c r="C5" s="18">
        <v>0</v>
      </c>
      <c r="D5" s="15">
        <v>9.7100000000000009</v>
      </c>
      <c r="E5" s="18">
        <v>0</v>
      </c>
      <c r="F5" s="18">
        <v>0</v>
      </c>
      <c r="G5" s="17"/>
    </row>
    <row r="6" spans="1:7" x14ac:dyDescent="0.25">
      <c r="A6" s="6" t="s">
        <v>102</v>
      </c>
      <c r="B6" s="15">
        <v>52.05</v>
      </c>
      <c r="C6" s="18">
        <v>0</v>
      </c>
      <c r="D6" s="15">
        <v>12.57</v>
      </c>
      <c r="E6" s="18">
        <v>0</v>
      </c>
      <c r="F6" s="15">
        <v>3</v>
      </c>
      <c r="G6" s="17"/>
    </row>
    <row r="7" spans="1:7" x14ac:dyDescent="0.25">
      <c r="A7" s="6" t="s">
        <v>103</v>
      </c>
      <c r="B7" s="15">
        <v>77.05</v>
      </c>
      <c r="C7" s="18">
        <v>0</v>
      </c>
      <c r="D7" s="15">
        <v>6.86</v>
      </c>
      <c r="E7" s="18">
        <v>0</v>
      </c>
      <c r="F7" s="15">
        <v>10.33</v>
      </c>
      <c r="G7" s="17"/>
    </row>
    <row r="8" spans="1:7" x14ac:dyDescent="0.25">
      <c r="A8" s="6" t="s">
        <v>104</v>
      </c>
      <c r="B8" s="15">
        <v>47.5</v>
      </c>
      <c r="C8" s="18">
        <v>0</v>
      </c>
      <c r="D8" s="15">
        <v>6.86</v>
      </c>
      <c r="E8" s="18">
        <v>0</v>
      </c>
      <c r="F8" s="15">
        <v>0.33</v>
      </c>
      <c r="G8" s="17"/>
    </row>
    <row r="9" spans="1:7" x14ac:dyDescent="0.25">
      <c r="A9" s="6" t="s">
        <v>105</v>
      </c>
      <c r="B9" s="15">
        <v>33.409999999999997</v>
      </c>
      <c r="C9" s="18">
        <v>0</v>
      </c>
      <c r="D9" s="18">
        <v>0</v>
      </c>
      <c r="E9" s="18">
        <v>0</v>
      </c>
      <c r="F9" s="18">
        <v>0</v>
      </c>
      <c r="G9" s="17"/>
    </row>
    <row r="10" spans="1:7" x14ac:dyDescent="0.25">
      <c r="A10" s="6" t="s">
        <v>106</v>
      </c>
      <c r="B10" s="15">
        <v>115.68</v>
      </c>
      <c r="C10" s="18">
        <v>0</v>
      </c>
      <c r="D10" s="15">
        <v>12.57</v>
      </c>
      <c r="E10" s="15">
        <v>3</v>
      </c>
      <c r="F10" s="15">
        <v>150.33000000000001</v>
      </c>
      <c r="G10" s="17"/>
    </row>
    <row r="11" spans="1:7" x14ac:dyDescent="0.25">
      <c r="A11" s="6" t="s">
        <v>107</v>
      </c>
      <c r="B11" s="15">
        <v>67.05</v>
      </c>
      <c r="C11" s="18">
        <v>0</v>
      </c>
      <c r="D11" s="15">
        <v>4</v>
      </c>
      <c r="E11" s="18">
        <v>0</v>
      </c>
      <c r="F11" s="18">
        <v>0</v>
      </c>
      <c r="G11" s="17"/>
    </row>
    <row r="12" spans="1:7" x14ac:dyDescent="0.25">
      <c r="A12" s="6" t="s">
        <v>108</v>
      </c>
      <c r="B12" s="15">
        <v>92.95</v>
      </c>
      <c r="C12" s="18">
        <v>0</v>
      </c>
      <c r="D12" s="15">
        <v>14</v>
      </c>
      <c r="E12" s="18">
        <v>0</v>
      </c>
      <c r="F12" s="15">
        <v>27</v>
      </c>
      <c r="G12" s="17"/>
    </row>
    <row r="13" spans="1:7" x14ac:dyDescent="0.25">
      <c r="A13" s="6" t="s">
        <v>110</v>
      </c>
      <c r="B13" s="15">
        <v>68.86</v>
      </c>
      <c r="C13" s="18">
        <v>0</v>
      </c>
      <c r="D13" s="15">
        <v>11.14</v>
      </c>
      <c r="E13" s="18">
        <v>0</v>
      </c>
      <c r="F13" s="18">
        <v>0</v>
      </c>
      <c r="G13" s="17"/>
    </row>
    <row r="14" spans="1:7" x14ac:dyDescent="0.25">
      <c r="A14" s="6" t="s">
        <v>111</v>
      </c>
      <c r="B14" s="15">
        <v>82.95</v>
      </c>
      <c r="C14" s="18">
        <v>0</v>
      </c>
      <c r="D14" s="15">
        <v>31.14</v>
      </c>
      <c r="E14" s="18">
        <v>0</v>
      </c>
      <c r="F14" s="18">
        <v>0</v>
      </c>
      <c r="G14" s="17"/>
    </row>
    <row r="15" spans="1:7" x14ac:dyDescent="0.25">
      <c r="A15" s="6" t="s">
        <v>112</v>
      </c>
      <c r="B15" s="15">
        <v>77.95</v>
      </c>
      <c r="C15" s="18">
        <v>0</v>
      </c>
      <c r="D15" s="15">
        <v>18.29</v>
      </c>
      <c r="E15" s="18">
        <v>0</v>
      </c>
      <c r="F15" s="15">
        <v>22</v>
      </c>
      <c r="G15" s="17"/>
    </row>
    <row r="16" spans="1:7" x14ac:dyDescent="0.25">
      <c r="A16" s="6" t="s">
        <v>114</v>
      </c>
      <c r="B16" s="15">
        <v>99.32</v>
      </c>
      <c r="C16" s="18">
        <v>0</v>
      </c>
      <c r="D16" s="15">
        <v>16.86</v>
      </c>
      <c r="E16" s="18">
        <v>0</v>
      </c>
      <c r="F16" s="15">
        <v>20.329999999999998</v>
      </c>
      <c r="G16" s="17"/>
    </row>
    <row r="17" spans="1:7" x14ac:dyDescent="0.25">
      <c r="A17" s="6" t="s">
        <v>115</v>
      </c>
      <c r="B17" s="15">
        <v>65.23</v>
      </c>
      <c r="C17" s="18">
        <v>0</v>
      </c>
      <c r="D17" s="15">
        <v>19.71</v>
      </c>
      <c r="E17" s="18">
        <v>0</v>
      </c>
      <c r="F17" s="15">
        <v>15.33</v>
      </c>
      <c r="G17" s="17"/>
    </row>
    <row r="18" spans="1:7" x14ac:dyDescent="0.25">
      <c r="A18" s="6" t="s">
        <v>116</v>
      </c>
      <c r="B18" s="15">
        <v>203.86</v>
      </c>
      <c r="C18" s="18">
        <v>0</v>
      </c>
      <c r="D18" s="15">
        <v>8.2899999999999991</v>
      </c>
      <c r="E18" s="18">
        <v>0</v>
      </c>
      <c r="F18" s="15">
        <v>47</v>
      </c>
      <c r="G18" s="17"/>
    </row>
    <row r="19" spans="1:7" x14ac:dyDescent="0.25">
      <c r="A19" s="6" t="s">
        <v>118</v>
      </c>
      <c r="B19" s="15">
        <v>277.5</v>
      </c>
      <c r="C19" s="18">
        <v>0</v>
      </c>
      <c r="D19" s="15">
        <v>5.43</v>
      </c>
      <c r="E19" s="18">
        <v>0</v>
      </c>
      <c r="F19" s="15">
        <v>55.33</v>
      </c>
      <c r="G19" s="17"/>
    </row>
    <row r="20" spans="1:7" x14ac:dyDescent="0.25">
      <c r="A20" s="6" t="s">
        <v>119</v>
      </c>
      <c r="B20" s="15">
        <v>249.77</v>
      </c>
      <c r="C20" s="18">
        <v>0</v>
      </c>
      <c r="D20" s="15">
        <v>16.86</v>
      </c>
      <c r="E20" s="18">
        <v>0</v>
      </c>
      <c r="F20" s="15">
        <v>13.67</v>
      </c>
      <c r="G20" s="17"/>
    </row>
    <row r="21" spans="1:7" x14ac:dyDescent="0.25">
      <c r="A21" s="6" t="s">
        <v>120</v>
      </c>
      <c r="B21" s="17"/>
      <c r="C21" s="17"/>
      <c r="D21" s="17"/>
      <c r="E21" s="17"/>
      <c r="F21" s="17"/>
      <c r="G21" s="17"/>
    </row>
    <row r="22" spans="1:7" x14ac:dyDescent="0.25">
      <c r="A22" s="6" t="s">
        <v>125</v>
      </c>
      <c r="B22" s="17"/>
      <c r="C22" s="17"/>
      <c r="D22" s="17"/>
      <c r="E22" s="17"/>
      <c r="F22" s="17"/>
      <c r="G22" s="17"/>
    </row>
    <row r="23" spans="1:7" x14ac:dyDescent="0.25">
      <c r="A23" s="6" t="s">
        <v>126</v>
      </c>
      <c r="B23" s="17"/>
      <c r="C23" s="17"/>
      <c r="D23" s="17"/>
      <c r="E23" s="17"/>
      <c r="F23" s="17"/>
      <c r="G23" s="17"/>
    </row>
    <row r="24" spans="1:7" x14ac:dyDescent="0.25">
      <c r="A24" s="6" t="s">
        <v>127</v>
      </c>
      <c r="B24" s="15">
        <v>64.318181818181799</v>
      </c>
      <c r="C24" s="15">
        <v>1.79411764705882</v>
      </c>
      <c r="D24" s="15">
        <v>1379.7142857142901</v>
      </c>
      <c r="E24" s="15">
        <v>7.28571428571429</v>
      </c>
      <c r="F24" s="15">
        <v>8.6666666666666696</v>
      </c>
      <c r="G24" s="17"/>
    </row>
    <row r="25" spans="1:7" x14ac:dyDescent="0.25">
      <c r="A25" s="6" t="s">
        <v>131</v>
      </c>
      <c r="B25" s="15">
        <v>101.59090909090899</v>
      </c>
      <c r="C25" s="15">
        <v>2.3823529411764701</v>
      </c>
      <c r="D25" s="15">
        <v>922.57142857142901</v>
      </c>
      <c r="E25" s="15">
        <v>7.28571428571429</v>
      </c>
      <c r="F25" s="15">
        <v>8.6666666666666696</v>
      </c>
      <c r="G25" s="17"/>
    </row>
    <row r="26" spans="1:7" x14ac:dyDescent="0.25">
      <c r="A26" s="6" t="s">
        <v>132</v>
      </c>
      <c r="B26" s="15">
        <v>82.5</v>
      </c>
      <c r="C26" s="15">
        <v>1.5</v>
      </c>
      <c r="D26" s="15">
        <v>94</v>
      </c>
      <c r="E26" s="15">
        <v>8.7142857142857206</v>
      </c>
      <c r="F26" s="15">
        <v>12</v>
      </c>
      <c r="G26" s="17"/>
    </row>
    <row r="27" spans="1:7" x14ac:dyDescent="0.25">
      <c r="A27" s="6" t="s">
        <v>133</v>
      </c>
      <c r="B27" s="15">
        <v>73.409090909090907</v>
      </c>
      <c r="C27" s="15">
        <v>1.20588235294118</v>
      </c>
      <c r="D27" s="15">
        <v>144</v>
      </c>
      <c r="E27" s="15">
        <v>0.14285714285714299</v>
      </c>
      <c r="F27" s="15">
        <v>0.33333333333333398</v>
      </c>
      <c r="G27" s="17"/>
    </row>
    <row r="28" spans="1:7" x14ac:dyDescent="0.25">
      <c r="A28" s="6" t="s">
        <v>135</v>
      </c>
      <c r="B28" s="15">
        <v>52.954545454545503</v>
      </c>
      <c r="C28" s="15">
        <v>23.264705882352899</v>
      </c>
      <c r="D28" s="15">
        <v>165.42857142857099</v>
      </c>
      <c r="E28" s="15">
        <v>5.8571428571428603</v>
      </c>
      <c r="F28" s="15">
        <v>7</v>
      </c>
      <c r="G28" s="17"/>
    </row>
    <row r="29" spans="1:7" x14ac:dyDescent="0.25">
      <c r="A29" s="6" t="s">
        <v>136</v>
      </c>
      <c r="B29" s="15">
        <v>55.227272727272698</v>
      </c>
      <c r="C29" s="15">
        <v>20.323529411764699</v>
      </c>
      <c r="D29" s="15">
        <v>189.71428571428601</v>
      </c>
      <c r="E29" s="15">
        <v>5.8571428571428603</v>
      </c>
      <c r="F29" s="15">
        <v>7</v>
      </c>
      <c r="G29" s="17"/>
    </row>
    <row r="30" spans="1:7" x14ac:dyDescent="0.25">
      <c r="A30" s="6" t="s">
        <v>137</v>
      </c>
      <c r="B30" s="15">
        <v>53.409090909090899</v>
      </c>
      <c r="C30" s="15">
        <v>4.1470588235294104</v>
      </c>
      <c r="D30" s="15">
        <v>1652.57142857143</v>
      </c>
      <c r="E30" s="15">
        <v>4.4285714285714297</v>
      </c>
      <c r="F30" s="15">
        <v>5.3333333333333401</v>
      </c>
      <c r="G30" s="17"/>
    </row>
    <row r="31" spans="1:7" x14ac:dyDescent="0.25">
      <c r="A31" s="6" t="s">
        <v>139</v>
      </c>
      <c r="B31" s="15">
        <v>125.681818181818</v>
      </c>
      <c r="C31" s="15">
        <v>6.2058823529411802</v>
      </c>
      <c r="D31" s="15">
        <v>2046.8571428571399</v>
      </c>
      <c r="E31" s="15">
        <v>7.28571428571429</v>
      </c>
      <c r="F31" s="15">
        <v>12</v>
      </c>
      <c r="G31" s="17"/>
    </row>
    <row r="32" spans="1:7" x14ac:dyDescent="0.25">
      <c r="A32" s="6" t="s">
        <v>140</v>
      </c>
      <c r="B32" s="15">
        <v>103.40909090909101</v>
      </c>
      <c r="C32" s="15">
        <v>4.7352941176470598</v>
      </c>
      <c r="D32" s="15">
        <v>2309.7142857142899</v>
      </c>
      <c r="E32" s="15">
        <v>5.8571428571428603</v>
      </c>
      <c r="F32" s="15">
        <v>7</v>
      </c>
      <c r="G32" s="17"/>
    </row>
    <row r="33" spans="1:7" x14ac:dyDescent="0.25">
      <c r="A33" s="6" t="s">
        <v>141</v>
      </c>
      <c r="B33" s="15">
        <v>173.863636363636</v>
      </c>
      <c r="C33" s="15">
        <v>1.20588235294118</v>
      </c>
      <c r="D33" s="15">
        <v>352.57142857142901</v>
      </c>
      <c r="E33" s="15">
        <v>5.8571428571428603</v>
      </c>
      <c r="F33" s="15">
        <v>7</v>
      </c>
      <c r="G33" s="17"/>
    </row>
    <row r="34" spans="1:7" x14ac:dyDescent="0.25">
      <c r="A34" s="6" t="s">
        <v>144</v>
      </c>
      <c r="B34" s="15">
        <v>141.136363636364</v>
      </c>
      <c r="C34" s="15">
        <v>2.6764705882352899</v>
      </c>
      <c r="D34" s="15">
        <v>908.28571428571399</v>
      </c>
      <c r="E34" s="15">
        <v>8.7142857142857206</v>
      </c>
      <c r="F34" s="15">
        <v>15.3333333333333</v>
      </c>
      <c r="G34" s="17"/>
    </row>
    <row r="35" spans="1:7" x14ac:dyDescent="0.25">
      <c r="A35" s="6" t="s">
        <v>145</v>
      </c>
      <c r="B35" s="15">
        <v>191.59090909090901</v>
      </c>
      <c r="C35" s="15">
        <v>2.6764705882352899</v>
      </c>
      <c r="D35" s="15">
        <v>1044</v>
      </c>
      <c r="E35" s="15">
        <v>7.28571428571429</v>
      </c>
      <c r="F35" s="15">
        <v>33.6666666666667</v>
      </c>
      <c r="G35" s="17"/>
    </row>
    <row r="36" spans="1:7" x14ac:dyDescent="0.25">
      <c r="A36" s="6" t="s">
        <v>146</v>
      </c>
      <c r="B36" s="15">
        <v>61.590909090909101</v>
      </c>
      <c r="C36" s="15">
        <v>10.323529411764699</v>
      </c>
      <c r="D36" s="15">
        <v>4106.8571428571404</v>
      </c>
      <c r="E36" s="15">
        <v>7.28571428571429</v>
      </c>
      <c r="F36" s="15">
        <v>10.3333333333333</v>
      </c>
      <c r="G36" s="17"/>
    </row>
    <row r="37" spans="1:7" x14ac:dyDescent="0.25">
      <c r="A37" s="6" t="s">
        <v>151</v>
      </c>
      <c r="B37" s="15">
        <v>73.863636363636402</v>
      </c>
      <c r="C37" s="15">
        <v>5.0294117647058796</v>
      </c>
      <c r="D37" s="15">
        <v>322.57142857142901</v>
      </c>
      <c r="E37" s="15">
        <v>13</v>
      </c>
      <c r="F37" s="15">
        <v>15.3333333333333</v>
      </c>
      <c r="G37" s="17"/>
    </row>
    <row r="38" spans="1:7" x14ac:dyDescent="0.25">
      <c r="A38" s="6" t="s">
        <v>152</v>
      </c>
      <c r="B38" s="15">
        <v>67.954545454545496</v>
      </c>
      <c r="C38" s="15">
        <v>4.7352941176470598</v>
      </c>
      <c r="D38" s="15">
        <v>442.57142857142901</v>
      </c>
      <c r="E38" s="15">
        <v>75.857142857142904</v>
      </c>
      <c r="F38" s="15">
        <v>170.333333333333</v>
      </c>
      <c r="G38" s="17"/>
    </row>
    <row r="39" spans="1:7" x14ac:dyDescent="0.25">
      <c r="A39" s="6" t="s">
        <v>153</v>
      </c>
      <c r="B39" s="15">
        <v>80.227272727272705</v>
      </c>
      <c r="C39" s="15">
        <v>2.6764705882352899</v>
      </c>
      <c r="D39" s="15">
        <v>461.142857142857</v>
      </c>
      <c r="E39" s="15">
        <v>8.7142857142857206</v>
      </c>
      <c r="F39" s="15">
        <v>12</v>
      </c>
      <c r="G39" s="17"/>
    </row>
    <row r="40" spans="1:7" x14ac:dyDescent="0.25">
      <c r="A40" s="6" t="s">
        <v>158</v>
      </c>
      <c r="B40" s="15">
        <v>79.318181818181799</v>
      </c>
      <c r="C40" s="15">
        <v>3.8529411764705901</v>
      </c>
      <c r="D40" s="15">
        <v>566.857142857143</v>
      </c>
      <c r="E40" s="15">
        <v>7.28571428571429</v>
      </c>
      <c r="F40" s="15">
        <v>22</v>
      </c>
      <c r="G40" s="17"/>
    </row>
    <row r="41" spans="1:7" x14ac:dyDescent="0.25">
      <c r="A41" s="6" t="s">
        <v>159</v>
      </c>
      <c r="B41" s="15">
        <v>87.045454545454604</v>
      </c>
      <c r="C41" s="15">
        <v>4.1470588235294104</v>
      </c>
      <c r="D41" s="15">
        <v>1004</v>
      </c>
      <c r="E41" s="15">
        <v>10.1428571428571</v>
      </c>
      <c r="F41" s="15">
        <v>25.3333333333333</v>
      </c>
      <c r="G41" s="17"/>
    </row>
    <row r="42" spans="1:7" x14ac:dyDescent="0.25">
      <c r="A42" s="6" t="s">
        <v>160</v>
      </c>
      <c r="B42" s="15">
        <v>43.863636363636402</v>
      </c>
      <c r="C42" s="15">
        <v>3.2647058823529398</v>
      </c>
      <c r="D42" s="15">
        <v>626.857142857143</v>
      </c>
      <c r="E42" s="15">
        <v>7.28571428571429</v>
      </c>
      <c r="F42" s="15">
        <v>8.6666666666666696</v>
      </c>
      <c r="G42" s="17"/>
    </row>
    <row r="43" spans="1:7" x14ac:dyDescent="0.25">
      <c r="A43" s="6" t="s">
        <v>164</v>
      </c>
      <c r="B43" s="15">
        <v>48.863636363636402</v>
      </c>
      <c r="C43" s="15">
        <v>3.8529411764705901</v>
      </c>
      <c r="D43" s="15">
        <v>486.857142857143</v>
      </c>
      <c r="E43" s="15">
        <v>8.7142857142857206</v>
      </c>
      <c r="F43" s="15">
        <v>17</v>
      </c>
      <c r="G43" s="17"/>
    </row>
    <row r="44" spans="1:7" x14ac:dyDescent="0.25">
      <c r="A44" s="6" t="s">
        <v>165</v>
      </c>
      <c r="B44" s="15">
        <v>54.772727272727302</v>
      </c>
      <c r="C44" s="15">
        <v>3.2647058823529398</v>
      </c>
      <c r="D44" s="15">
        <v>754</v>
      </c>
      <c r="E44" s="15">
        <v>10.1428571428571</v>
      </c>
      <c r="F44" s="15">
        <v>12</v>
      </c>
      <c r="G44" s="17"/>
    </row>
    <row r="45" spans="1:7" x14ac:dyDescent="0.25">
      <c r="A45" s="6" t="s">
        <v>166</v>
      </c>
      <c r="B45" s="15">
        <v>54.318181818181799</v>
      </c>
      <c r="C45" s="15">
        <v>2.6764705882352899</v>
      </c>
      <c r="D45" s="15">
        <v>655.42857142857099</v>
      </c>
      <c r="E45" s="15">
        <v>10.1428571428571</v>
      </c>
      <c r="F45" s="15">
        <v>12</v>
      </c>
      <c r="G45" s="17"/>
    </row>
    <row r="46" spans="1:7" x14ac:dyDescent="0.25">
      <c r="A46" s="6" t="s">
        <v>168</v>
      </c>
      <c r="B46" s="15">
        <v>50.227272727272698</v>
      </c>
      <c r="C46" s="15">
        <v>3.8529411764705901</v>
      </c>
      <c r="D46" s="15">
        <v>695.42857142857099</v>
      </c>
      <c r="E46" s="15">
        <v>13</v>
      </c>
      <c r="F46" s="15">
        <v>18.6666666666667</v>
      </c>
      <c r="G46" s="17"/>
    </row>
    <row r="47" spans="1:7" x14ac:dyDescent="0.25">
      <c r="A47" s="6" t="s">
        <v>169</v>
      </c>
      <c r="B47" s="15">
        <v>46.136363636363598</v>
      </c>
      <c r="C47" s="15">
        <v>2.6764705882352899</v>
      </c>
      <c r="D47" s="15">
        <v>581.142857142857</v>
      </c>
      <c r="E47" s="15">
        <v>11.5714285714286</v>
      </c>
      <c r="F47" s="15">
        <v>13.6666666666667</v>
      </c>
      <c r="G47" s="17"/>
    </row>
    <row r="48" spans="1:7" x14ac:dyDescent="0.25">
      <c r="A48" s="6" t="s">
        <v>170</v>
      </c>
      <c r="B48" s="15">
        <v>81.136363636363598</v>
      </c>
      <c r="C48" s="15">
        <v>2.97058823529412</v>
      </c>
      <c r="D48" s="15">
        <v>702.57142857142901</v>
      </c>
      <c r="E48" s="15">
        <v>7.28571428571429</v>
      </c>
      <c r="F48" s="15">
        <v>8.6666666666666696</v>
      </c>
      <c r="G48" s="17"/>
    </row>
    <row r="49" spans="1:7" x14ac:dyDescent="0.25">
      <c r="A49" s="6" t="s">
        <v>173</v>
      </c>
      <c r="B49" s="15">
        <v>194.772727272727</v>
      </c>
      <c r="C49" s="15">
        <v>96.794117647058798</v>
      </c>
      <c r="D49" s="15">
        <v>889.71428571428601</v>
      </c>
      <c r="E49" s="15">
        <v>23</v>
      </c>
      <c r="F49" s="15">
        <v>30.3333333333333</v>
      </c>
      <c r="G49" s="17"/>
    </row>
    <row r="50" spans="1:7" x14ac:dyDescent="0.25">
      <c r="A50" s="6" t="s">
        <v>174</v>
      </c>
      <c r="B50" s="15">
        <v>53.409090909090899</v>
      </c>
      <c r="C50" s="15">
        <v>2.97058823529412</v>
      </c>
      <c r="D50" s="15">
        <v>594</v>
      </c>
      <c r="E50" s="15">
        <v>8.7142857142857206</v>
      </c>
      <c r="F50" s="15">
        <v>10.3333333333333</v>
      </c>
      <c r="G50" s="17"/>
    </row>
    <row r="51" spans="1:7" x14ac:dyDescent="0.25">
      <c r="A51" s="23" t="s">
        <v>175</v>
      </c>
      <c r="B51" s="28"/>
      <c r="C51" s="28"/>
      <c r="D51" s="28"/>
      <c r="E51" s="28"/>
      <c r="F51" s="28"/>
      <c r="G51" s="28"/>
    </row>
    <row r="52" spans="1:7" x14ac:dyDescent="0.25">
      <c r="A52" s="23" t="s">
        <v>177</v>
      </c>
      <c r="B52" s="28"/>
      <c r="C52" s="28"/>
      <c r="D52" s="28"/>
      <c r="E52" s="28"/>
      <c r="F52" s="28"/>
      <c r="G52" s="28"/>
    </row>
    <row r="53" spans="1:7" x14ac:dyDescent="0.25">
      <c r="A53" s="23" t="s">
        <v>178</v>
      </c>
      <c r="B53" s="28"/>
      <c r="C53" s="28"/>
      <c r="D53" s="28"/>
      <c r="E53" s="28"/>
      <c r="F53" s="28"/>
      <c r="G53" s="28"/>
    </row>
    <row r="54" spans="1:7" x14ac:dyDescent="0.25">
      <c r="A54" s="23" t="s">
        <v>179</v>
      </c>
      <c r="B54" s="28"/>
      <c r="C54" s="28"/>
      <c r="D54" s="28"/>
      <c r="E54" s="28"/>
      <c r="F54" s="28"/>
      <c r="G54" s="28"/>
    </row>
    <row r="55" spans="1:7" x14ac:dyDescent="0.25">
      <c r="A55" s="23" t="s">
        <v>180</v>
      </c>
      <c r="B55" s="28"/>
      <c r="C55" s="28"/>
      <c r="D55" s="28"/>
      <c r="E55" s="28"/>
      <c r="F55" s="28"/>
      <c r="G55" s="28"/>
    </row>
    <row r="56" spans="1:7" x14ac:dyDescent="0.25">
      <c r="A56" s="23" t="s">
        <v>181</v>
      </c>
      <c r="B56" s="28"/>
      <c r="C56" s="28"/>
      <c r="D56" s="28"/>
      <c r="E56" s="28"/>
      <c r="F56" s="28"/>
      <c r="G56" s="28"/>
    </row>
    <row r="57" spans="1:7" x14ac:dyDescent="0.25">
      <c r="A57" s="23" t="s">
        <v>182</v>
      </c>
      <c r="B57" s="28"/>
      <c r="C57" s="28"/>
      <c r="D57" s="28"/>
      <c r="E57" s="28"/>
      <c r="F57" s="28"/>
      <c r="G57" s="28"/>
    </row>
    <row r="58" spans="1:7" x14ac:dyDescent="0.25">
      <c r="A58" s="23" t="s">
        <v>183</v>
      </c>
      <c r="B58" s="28"/>
      <c r="C58" s="28"/>
      <c r="D58" s="28"/>
      <c r="E58" s="28"/>
      <c r="F58" s="28"/>
      <c r="G58" s="28"/>
    </row>
    <row r="59" spans="1:7" x14ac:dyDescent="0.25">
      <c r="A59" s="23" t="s">
        <v>184</v>
      </c>
      <c r="B59" s="28"/>
      <c r="C59" s="28"/>
      <c r="D59" s="28"/>
      <c r="E59" s="28"/>
      <c r="F59" s="28"/>
      <c r="G59" s="28"/>
    </row>
    <row r="60" spans="1:7" x14ac:dyDescent="0.25">
      <c r="A60" s="23" t="s">
        <v>185</v>
      </c>
      <c r="B60" s="28"/>
      <c r="C60" s="28"/>
      <c r="D60" s="28"/>
      <c r="E60" s="28"/>
      <c r="F60" s="28"/>
      <c r="G60" s="28"/>
    </row>
    <row r="61" spans="1:7" x14ac:dyDescent="0.25">
      <c r="A61" s="23" t="s">
        <v>186</v>
      </c>
      <c r="B61" s="28"/>
      <c r="C61" s="28"/>
      <c r="D61" s="28"/>
      <c r="E61" s="28"/>
      <c r="F61" s="28"/>
      <c r="G61" s="28"/>
    </row>
    <row r="62" spans="1:7" x14ac:dyDescent="0.25">
      <c r="A62" s="23" t="s">
        <v>187</v>
      </c>
      <c r="B62" s="28"/>
      <c r="C62" s="28"/>
      <c r="D62" s="28"/>
      <c r="E62" s="28"/>
      <c r="F62" s="28"/>
      <c r="G62" s="28"/>
    </row>
    <row r="63" spans="1:7" x14ac:dyDescent="0.25">
      <c r="A63" s="23" t="s">
        <v>188</v>
      </c>
      <c r="B63" s="28"/>
      <c r="C63" s="28"/>
      <c r="D63" s="28"/>
      <c r="E63" s="28"/>
      <c r="F63" s="28"/>
      <c r="G63" s="28"/>
    </row>
    <row r="64" spans="1:7" x14ac:dyDescent="0.25">
      <c r="A64" s="23" t="s">
        <v>189</v>
      </c>
      <c r="B64" s="28"/>
      <c r="C64" s="28"/>
      <c r="D64" s="28"/>
      <c r="E64" s="28"/>
      <c r="F64" s="28"/>
      <c r="G64" s="28"/>
    </row>
    <row r="65" spans="1:7" x14ac:dyDescent="0.25">
      <c r="A65" s="23" t="s">
        <v>190</v>
      </c>
      <c r="B65" s="28"/>
      <c r="C65" s="28"/>
      <c r="D65" s="28"/>
      <c r="E65" s="28"/>
      <c r="F65" s="28"/>
      <c r="G65" s="28"/>
    </row>
    <row r="66" spans="1:7" x14ac:dyDescent="0.25">
      <c r="A66" s="23" t="s">
        <v>191</v>
      </c>
      <c r="B66" s="28"/>
      <c r="C66" s="28"/>
      <c r="D66" s="28"/>
      <c r="E66" s="28"/>
      <c r="F66" s="28"/>
      <c r="G66" s="28"/>
    </row>
    <row r="67" spans="1:7" x14ac:dyDescent="0.25">
      <c r="A67" s="23" t="s">
        <v>192</v>
      </c>
      <c r="B67" s="28"/>
      <c r="C67" s="28"/>
      <c r="D67" s="28"/>
      <c r="E67" s="28"/>
      <c r="F67" s="28"/>
      <c r="G67" s="28"/>
    </row>
    <row r="68" spans="1:7" x14ac:dyDescent="0.25">
      <c r="A68" s="23" t="s">
        <v>193</v>
      </c>
      <c r="B68" s="28"/>
      <c r="C68" s="28"/>
      <c r="D68" s="28"/>
      <c r="E68" s="28"/>
      <c r="F68" s="28"/>
      <c r="G68" s="28"/>
    </row>
    <row r="69" spans="1:7" x14ac:dyDescent="0.25">
      <c r="A69" s="23" t="s">
        <v>194</v>
      </c>
      <c r="B69" s="28"/>
      <c r="C69" s="28"/>
      <c r="D69" s="28"/>
      <c r="E69" s="28"/>
      <c r="F69" s="28"/>
      <c r="G69" s="28"/>
    </row>
    <row r="70" spans="1:7" x14ac:dyDescent="0.25">
      <c r="A70" s="23" t="s">
        <v>195</v>
      </c>
      <c r="B70" s="28"/>
      <c r="C70" s="28"/>
      <c r="D70" s="28"/>
      <c r="E70" s="28"/>
      <c r="F70" s="28"/>
      <c r="G70" s="28"/>
    </row>
    <row r="71" spans="1:7" x14ac:dyDescent="0.25">
      <c r="A71" s="23" t="s">
        <v>196</v>
      </c>
      <c r="B71" s="28"/>
      <c r="C71" s="28"/>
      <c r="D71" s="28"/>
      <c r="E71" s="28"/>
      <c r="F71" s="28"/>
      <c r="G71" s="28"/>
    </row>
    <row r="72" spans="1:7" x14ac:dyDescent="0.25">
      <c r="A72" s="23" t="s">
        <v>197</v>
      </c>
      <c r="B72" s="28"/>
      <c r="C72" s="28"/>
      <c r="D72" s="28"/>
      <c r="E72" s="28"/>
      <c r="F72" s="28"/>
      <c r="G72" s="28"/>
    </row>
    <row r="73" spans="1:7" x14ac:dyDescent="0.25">
      <c r="A73" s="23" t="s">
        <v>198</v>
      </c>
      <c r="B73" s="28"/>
      <c r="C73" s="28"/>
      <c r="D73" s="28"/>
      <c r="E73" s="28"/>
      <c r="F73" s="28"/>
      <c r="G73" s="28"/>
    </row>
    <row r="74" spans="1:7" x14ac:dyDescent="0.25">
      <c r="A74" s="23" t="s">
        <v>199</v>
      </c>
      <c r="B74" s="28"/>
      <c r="C74" s="28"/>
      <c r="D74" s="28"/>
      <c r="E74" s="28"/>
      <c r="F74" s="28"/>
      <c r="G74" s="28"/>
    </row>
    <row r="75" spans="1:7" x14ac:dyDescent="0.25">
      <c r="A75" s="23" t="s">
        <v>200</v>
      </c>
      <c r="B75" s="28"/>
      <c r="C75" s="28"/>
      <c r="D75" s="28"/>
      <c r="E75" s="28"/>
      <c r="F75" s="28"/>
      <c r="G75" s="28"/>
    </row>
    <row r="76" spans="1:7" x14ac:dyDescent="0.25">
      <c r="A76" s="23" t="s">
        <v>201</v>
      </c>
      <c r="B76" s="28"/>
      <c r="C76" s="28"/>
      <c r="D76" s="28"/>
      <c r="E76" s="28"/>
      <c r="F76" s="28"/>
      <c r="G76" s="28"/>
    </row>
    <row r="77" spans="1:7" x14ac:dyDescent="0.25">
      <c r="A77" s="23" t="s">
        <v>202</v>
      </c>
      <c r="B77" s="28"/>
      <c r="C77" s="28"/>
      <c r="D77" s="28"/>
      <c r="E77" s="28"/>
      <c r="F77" s="28"/>
      <c r="G77" s="28"/>
    </row>
    <row r="78" spans="1:7" x14ac:dyDescent="0.25">
      <c r="A78" s="23" t="s">
        <v>203</v>
      </c>
      <c r="B78" s="28"/>
      <c r="C78" s="28"/>
      <c r="D78" s="28"/>
      <c r="E78" s="28"/>
      <c r="F78" s="28"/>
      <c r="G78" s="28"/>
    </row>
    <row r="79" spans="1:7" x14ac:dyDescent="0.25">
      <c r="A79" s="23" t="s">
        <v>204</v>
      </c>
      <c r="B79" s="28"/>
      <c r="C79" s="28"/>
      <c r="D79" s="28"/>
      <c r="E79" s="28"/>
      <c r="F79" s="28"/>
      <c r="G79" s="28"/>
    </row>
    <row r="80" spans="1:7" x14ac:dyDescent="0.25">
      <c r="A80" s="23" t="s">
        <v>205</v>
      </c>
      <c r="B80" s="28"/>
      <c r="C80" s="28"/>
      <c r="D80" s="28"/>
      <c r="E80" s="28"/>
      <c r="F80" s="28"/>
      <c r="G80" s="28"/>
    </row>
    <row r="81" spans="1:7" x14ac:dyDescent="0.25">
      <c r="A81" s="23" t="s">
        <v>206</v>
      </c>
      <c r="B81" s="28"/>
      <c r="C81" s="28"/>
      <c r="D81" s="28"/>
      <c r="E81" s="28"/>
      <c r="F81" s="28"/>
      <c r="G81" s="28"/>
    </row>
    <row r="82" spans="1:7" x14ac:dyDescent="0.25">
      <c r="A82" s="23" t="s">
        <v>207</v>
      </c>
      <c r="B82" s="28"/>
      <c r="C82" s="28"/>
      <c r="D82" s="28"/>
      <c r="E82" s="28"/>
      <c r="F82" s="28"/>
      <c r="G82" s="28"/>
    </row>
    <row r="83" spans="1:7" x14ac:dyDescent="0.25">
      <c r="A83" s="23" t="s">
        <v>208</v>
      </c>
      <c r="B83" s="28"/>
      <c r="C83" s="28"/>
      <c r="D83" s="28"/>
      <c r="E83" s="28"/>
      <c r="F83" s="28"/>
      <c r="G83" s="28"/>
    </row>
    <row r="84" spans="1:7" x14ac:dyDescent="0.25">
      <c r="A84" s="23" t="s">
        <v>209</v>
      </c>
      <c r="B84" s="28"/>
      <c r="C84" s="28"/>
      <c r="D84" s="28"/>
      <c r="E84" s="28"/>
      <c r="F84" s="28"/>
      <c r="G84" s="28"/>
    </row>
    <row r="85" spans="1:7" x14ac:dyDescent="0.25">
      <c r="A85" s="23" t="s">
        <v>210</v>
      </c>
      <c r="B85" s="28"/>
      <c r="C85" s="28"/>
      <c r="D85" s="28"/>
      <c r="E85" s="28"/>
      <c r="F85" s="28"/>
      <c r="G85" s="28"/>
    </row>
    <row r="86" spans="1:7" x14ac:dyDescent="0.25">
      <c r="A86" s="23" t="s">
        <v>211</v>
      </c>
      <c r="B86" s="28"/>
      <c r="C86" s="28"/>
      <c r="D86" s="28"/>
      <c r="E86" s="28"/>
      <c r="F86" s="28"/>
      <c r="G86" s="28"/>
    </row>
    <row r="87" spans="1:7" x14ac:dyDescent="0.25">
      <c r="A87" s="23" t="s">
        <v>212</v>
      </c>
      <c r="B87" s="28"/>
      <c r="C87" s="28"/>
      <c r="D87" s="28"/>
      <c r="E87" s="28"/>
      <c r="F87" s="28"/>
      <c r="G87" s="28"/>
    </row>
    <row r="88" spans="1:7" x14ac:dyDescent="0.25">
      <c r="A88" s="23" t="s">
        <v>213</v>
      </c>
      <c r="B88" s="28"/>
      <c r="C88" s="28"/>
      <c r="D88" s="28"/>
      <c r="E88" s="28"/>
      <c r="F88" s="28"/>
      <c r="G88" s="28"/>
    </row>
    <row r="89" spans="1:7" x14ac:dyDescent="0.25">
      <c r="A89" s="23" t="s">
        <v>214</v>
      </c>
      <c r="B89" s="28"/>
      <c r="C89" s="28"/>
      <c r="D89" s="28"/>
      <c r="E89" s="28"/>
      <c r="F89" s="28"/>
      <c r="G89" s="28"/>
    </row>
    <row r="90" spans="1:7" x14ac:dyDescent="0.25">
      <c r="A90" s="23" t="s">
        <v>215</v>
      </c>
      <c r="B90" s="28"/>
      <c r="C90" s="28"/>
      <c r="D90" s="28"/>
      <c r="E90" s="28"/>
      <c r="F90" s="28"/>
      <c r="G90" s="28"/>
    </row>
    <row r="91" spans="1:7" x14ac:dyDescent="0.25">
      <c r="A91" s="23" t="s">
        <v>216</v>
      </c>
      <c r="B91" s="28"/>
      <c r="C91" s="28"/>
      <c r="D91" s="28"/>
      <c r="E91" s="28"/>
      <c r="F91" s="28"/>
      <c r="G91" s="28"/>
    </row>
    <row r="92" spans="1:7" x14ac:dyDescent="0.25">
      <c r="A92" s="23" t="s">
        <v>217</v>
      </c>
      <c r="B92" s="28"/>
      <c r="C92" s="28"/>
      <c r="D92" s="28"/>
      <c r="E92" s="28"/>
      <c r="F92" s="28"/>
      <c r="G92" s="28"/>
    </row>
    <row r="93" spans="1:7" x14ac:dyDescent="0.25">
      <c r="A93" s="23" t="s">
        <v>218</v>
      </c>
      <c r="B93" s="28"/>
      <c r="C93" s="28"/>
      <c r="D93" s="28"/>
      <c r="E93" s="28"/>
      <c r="F93" s="28"/>
      <c r="G93" s="28"/>
    </row>
    <row r="94" spans="1:7" x14ac:dyDescent="0.25">
      <c r="A94" s="23" t="s">
        <v>219</v>
      </c>
      <c r="B94" s="28"/>
      <c r="C94" s="28"/>
      <c r="D94" s="28"/>
      <c r="E94" s="28"/>
      <c r="F94" s="28"/>
      <c r="G94" s="28"/>
    </row>
    <row r="95" spans="1:7" x14ac:dyDescent="0.25">
      <c r="A95" s="23" t="s">
        <v>220</v>
      </c>
      <c r="B95" s="28"/>
      <c r="C95" s="28"/>
      <c r="D95" s="28"/>
      <c r="E95" s="28"/>
      <c r="F95" s="28"/>
      <c r="G95" s="28"/>
    </row>
    <row r="96" spans="1:7" x14ac:dyDescent="0.25">
      <c r="A96" s="23" t="s">
        <v>221</v>
      </c>
      <c r="B96" s="28"/>
      <c r="C96" s="28"/>
      <c r="D96" s="28"/>
      <c r="E96" s="28"/>
      <c r="F96" s="28"/>
      <c r="G96" s="28"/>
    </row>
    <row r="97" spans="1:7" x14ac:dyDescent="0.25">
      <c r="A97" s="23" t="s">
        <v>222</v>
      </c>
      <c r="B97" s="28"/>
      <c r="C97" s="28"/>
      <c r="D97" s="28"/>
      <c r="E97" s="28"/>
      <c r="F97" s="28"/>
      <c r="G97" s="28"/>
    </row>
    <row r="98" spans="1:7" x14ac:dyDescent="0.25">
      <c r="A98" s="23" t="s">
        <v>223</v>
      </c>
      <c r="B98" s="28"/>
      <c r="C98" s="28"/>
      <c r="D98" s="28"/>
      <c r="E98" s="28"/>
      <c r="F98" s="28"/>
      <c r="G98" s="28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zoomScale="130" zoomScaleNormal="130" workbookViewId="0">
      <selection activeCell="L11" sqref="L11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 t="s">
        <v>408</v>
      </c>
      <c r="M3" s="17"/>
      <c r="N3" s="17">
        <v>1</v>
      </c>
    </row>
    <row r="4" spans="1:14" ht="1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 t="s">
        <v>408</v>
      </c>
      <c r="M4" s="17"/>
      <c r="N4" s="17">
        <v>2</v>
      </c>
    </row>
    <row r="5" spans="1:14" ht="1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 t="s">
        <v>408</v>
      </c>
      <c r="M5" s="17"/>
      <c r="N5" s="17">
        <v>3</v>
      </c>
    </row>
    <row r="6" spans="1:14" ht="1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 t="s">
        <v>408</v>
      </c>
      <c r="M6" s="17"/>
      <c r="N6" s="17">
        <v>1</v>
      </c>
    </row>
    <row r="7" spans="1:14" ht="1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 t="s">
        <v>408</v>
      </c>
      <c r="M7" s="17"/>
      <c r="N7" s="17">
        <v>2</v>
      </c>
    </row>
    <row r="8" spans="1:14" ht="1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 t="s">
        <v>408</v>
      </c>
      <c r="M8" s="17"/>
      <c r="N8" s="17">
        <v>3</v>
      </c>
    </row>
    <row r="9" spans="1:14" ht="1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43" t="s">
        <v>411</v>
      </c>
      <c r="M9" s="17"/>
      <c r="N9" s="17">
        <v>1</v>
      </c>
    </row>
    <row r="10" spans="1:14" ht="1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43" t="s">
        <v>411</v>
      </c>
      <c r="M10" s="17"/>
      <c r="N10" s="17">
        <v>2</v>
      </c>
    </row>
    <row r="11" spans="1:14" ht="1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43" t="s">
        <v>411</v>
      </c>
      <c r="M11" s="17"/>
      <c r="N11" s="17">
        <v>3</v>
      </c>
    </row>
    <row r="12" spans="1:14" ht="1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 t="s">
        <v>409</v>
      </c>
      <c r="M12" s="17"/>
      <c r="N12" s="17">
        <v>1</v>
      </c>
    </row>
    <row r="13" spans="1:14" ht="1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 t="s">
        <v>409</v>
      </c>
      <c r="M13" s="17"/>
      <c r="N13" s="17">
        <v>2</v>
      </c>
    </row>
    <row r="14" spans="1:14" ht="1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 t="s">
        <v>409</v>
      </c>
      <c r="M14" s="17"/>
      <c r="N14" s="17">
        <v>3</v>
      </c>
    </row>
    <row r="15" spans="1:14" ht="1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 t="s">
        <v>410</v>
      </c>
      <c r="M15" s="17"/>
      <c r="N15" s="17">
        <v>1</v>
      </c>
    </row>
    <row r="16" spans="1:14" ht="1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 t="s">
        <v>410</v>
      </c>
      <c r="M16" s="17"/>
      <c r="N16" s="17">
        <v>2</v>
      </c>
    </row>
    <row r="17" spans="1:14" ht="1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 t="s">
        <v>410</v>
      </c>
      <c r="M17" s="17"/>
      <c r="N17" s="17">
        <v>3</v>
      </c>
    </row>
    <row r="18" spans="1:14" ht="1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 t="s">
        <v>409</v>
      </c>
      <c r="M18" s="17"/>
      <c r="N18" s="17">
        <v>1</v>
      </c>
    </row>
    <row r="19" spans="1:14" ht="1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 t="s">
        <v>409</v>
      </c>
      <c r="M19" s="17"/>
      <c r="N19" s="17">
        <v>2</v>
      </c>
    </row>
    <row r="20" spans="1:14" ht="1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 t="s">
        <v>409</v>
      </c>
      <c r="M20" s="17"/>
      <c r="N20" s="17">
        <v>3</v>
      </c>
    </row>
    <row r="21" spans="1:14" ht="15" customHeight="1" x14ac:dyDescent="0.25">
      <c r="A21" s="6" t="s">
        <v>120</v>
      </c>
      <c r="B21" s="16" t="s">
        <v>96</v>
      </c>
      <c r="C21" s="16" t="s">
        <v>121</v>
      </c>
      <c r="D21" s="17"/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 t="s">
        <v>409</v>
      </c>
      <c r="M21" s="17"/>
      <c r="N21" s="17">
        <v>1</v>
      </c>
    </row>
    <row r="22" spans="1:14" ht="15" customHeight="1" x14ac:dyDescent="0.25">
      <c r="A22" s="6" t="s">
        <v>125</v>
      </c>
      <c r="B22" s="16" t="s">
        <v>96</v>
      </c>
      <c r="C22" s="16" t="s">
        <v>121</v>
      </c>
      <c r="D22" s="17"/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 t="s">
        <v>409</v>
      </c>
      <c r="M22" s="17"/>
      <c r="N22" s="17">
        <v>2</v>
      </c>
    </row>
    <row r="23" spans="1:14" ht="15" customHeight="1" x14ac:dyDescent="0.25">
      <c r="A23" s="6" t="s">
        <v>126</v>
      </c>
      <c r="B23" s="16" t="s">
        <v>96</v>
      </c>
      <c r="C23" s="16" t="s">
        <v>121</v>
      </c>
      <c r="D23" s="17"/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 t="s">
        <v>409</v>
      </c>
      <c r="M23" s="17"/>
      <c r="N23" s="17">
        <v>3</v>
      </c>
    </row>
    <row r="24" spans="1:14" ht="1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 t="s">
        <v>410</v>
      </c>
      <c r="M24" s="17"/>
      <c r="N24" s="17">
        <v>1</v>
      </c>
    </row>
    <row r="25" spans="1:14" ht="1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 t="s">
        <v>410</v>
      </c>
      <c r="M25" s="17"/>
      <c r="N25" s="17">
        <v>2</v>
      </c>
    </row>
    <row r="26" spans="1:14" ht="1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 t="s">
        <v>410</v>
      </c>
      <c r="M26" s="17"/>
      <c r="N26" s="17">
        <v>3</v>
      </c>
    </row>
    <row r="27" spans="1:14" ht="1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 t="s">
        <v>410</v>
      </c>
      <c r="M27" s="17"/>
      <c r="N27" s="17">
        <v>1</v>
      </c>
    </row>
    <row r="28" spans="1:14" ht="1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 t="s">
        <v>410</v>
      </c>
      <c r="M28" s="17"/>
      <c r="N28" s="17">
        <v>2</v>
      </c>
    </row>
    <row r="29" spans="1:14" ht="1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 t="s">
        <v>410</v>
      </c>
      <c r="M29" s="17"/>
      <c r="N29" s="17">
        <v>3</v>
      </c>
    </row>
    <row r="30" spans="1:14" ht="1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 t="s">
        <v>410</v>
      </c>
      <c r="M30" s="17"/>
      <c r="N30" s="17">
        <v>1</v>
      </c>
    </row>
    <row r="31" spans="1:14" ht="1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 t="s">
        <v>410</v>
      </c>
      <c r="M31" s="17"/>
      <c r="N31" s="17">
        <v>2</v>
      </c>
    </row>
    <row r="32" spans="1:14" ht="1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 t="s">
        <v>410</v>
      </c>
      <c r="M32" s="17"/>
      <c r="N32" s="17">
        <v>3</v>
      </c>
    </row>
    <row r="33" spans="1:14" ht="1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 t="s">
        <v>409</v>
      </c>
      <c r="M33" s="17"/>
      <c r="N33" s="17">
        <v>1</v>
      </c>
    </row>
    <row r="34" spans="1:14" ht="1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 t="s">
        <v>409</v>
      </c>
      <c r="M34" s="17"/>
      <c r="N34" s="17">
        <v>2</v>
      </c>
    </row>
    <row r="35" spans="1:14" ht="1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 t="s">
        <v>409</v>
      </c>
      <c r="M35" s="17"/>
      <c r="N35" s="17">
        <v>3</v>
      </c>
    </row>
    <row r="36" spans="1:14" ht="1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 t="s">
        <v>409</v>
      </c>
      <c r="M36" s="17"/>
      <c r="N36" s="17">
        <v>1</v>
      </c>
    </row>
    <row r="37" spans="1:14" ht="1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 t="s">
        <v>409</v>
      </c>
      <c r="M37" s="17"/>
      <c r="N37" s="17">
        <v>2</v>
      </c>
    </row>
    <row r="38" spans="1:14" ht="1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 t="s">
        <v>409</v>
      </c>
      <c r="M38" s="17"/>
      <c r="N38" s="17">
        <v>3</v>
      </c>
    </row>
    <row r="39" spans="1:14" ht="1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 t="s">
        <v>409</v>
      </c>
      <c r="M39" s="17"/>
      <c r="N39" s="17">
        <v>1</v>
      </c>
    </row>
    <row r="40" spans="1:14" ht="1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 t="s">
        <v>409</v>
      </c>
      <c r="M40" s="17"/>
      <c r="N40" s="17">
        <v>2</v>
      </c>
    </row>
    <row r="41" spans="1:14" ht="1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 t="s">
        <v>409</v>
      </c>
      <c r="M41" s="17"/>
      <c r="N41" s="17">
        <v>3</v>
      </c>
    </row>
    <row r="42" spans="1:14" ht="1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 t="s">
        <v>409</v>
      </c>
      <c r="M42" s="17"/>
      <c r="N42" s="17">
        <v>1</v>
      </c>
    </row>
    <row r="43" spans="1:14" ht="1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 t="s">
        <v>409</v>
      </c>
      <c r="M43" s="17"/>
      <c r="N43" s="17">
        <v>2</v>
      </c>
    </row>
    <row r="44" spans="1:14" ht="1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 t="s">
        <v>409</v>
      </c>
      <c r="M44" s="17"/>
      <c r="N44" s="17">
        <v>3</v>
      </c>
    </row>
    <row r="45" spans="1:14" ht="1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 t="s">
        <v>410</v>
      </c>
      <c r="M45" s="17"/>
      <c r="N45" s="17">
        <v>1</v>
      </c>
    </row>
    <row r="46" spans="1:14" ht="1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 t="s">
        <v>410</v>
      </c>
      <c r="M46" s="17"/>
      <c r="N46" s="17">
        <v>2</v>
      </c>
    </row>
    <row r="47" spans="1:14" ht="1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 t="s">
        <v>410</v>
      </c>
      <c r="M47" s="17"/>
      <c r="N47" s="17">
        <v>3</v>
      </c>
    </row>
    <row r="48" spans="1:14" ht="1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 t="s">
        <v>409</v>
      </c>
      <c r="M48" s="17"/>
      <c r="N48" s="17">
        <v>1</v>
      </c>
    </row>
    <row r="49" spans="1:14" ht="1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 t="s">
        <v>409</v>
      </c>
      <c r="M49" s="17"/>
      <c r="N49" s="17">
        <v>2</v>
      </c>
    </row>
    <row r="50" spans="1:14" ht="1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 t="s">
        <v>409</v>
      </c>
      <c r="M50" s="17"/>
      <c r="N50" s="17">
        <v>3</v>
      </c>
    </row>
    <row r="51" spans="1:14" ht="1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 t="s">
        <v>408</v>
      </c>
      <c r="M51" s="26"/>
      <c r="N51" s="26">
        <v>1</v>
      </c>
    </row>
    <row r="52" spans="1:14" ht="1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 t="s">
        <v>408</v>
      </c>
      <c r="M52" s="26"/>
      <c r="N52" s="26">
        <v>2</v>
      </c>
    </row>
    <row r="53" spans="1:14" ht="1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 t="s">
        <v>408</v>
      </c>
      <c r="M53" s="26"/>
      <c r="N53" s="26">
        <v>3</v>
      </c>
    </row>
    <row r="54" spans="1:14" ht="1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 t="s">
        <v>408</v>
      </c>
      <c r="M54" s="26"/>
      <c r="N54" s="26">
        <v>1</v>
      </c>
    </row>
    <row r="55" spans="1:14" ht="1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 t="s">
        <v>408</v>
      </c>
      <c r="M55" s="26"/>
      <c r="N55" s="26">
        <v>2</v>
      </c>
    </row>
    <row r="56" spans="1:14" ht="1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 t="s">
        <v>408</v>
      </c>
      <c r="M56" s="26"/>
      <c r="N56" s="26">
        <v>3</v>
      </c>
    </row>
    <row r="57" spans="1:14" ht="1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 t="s">
        <v>408</v>
      </c>
      <c r="M57" s="26"/>
      <c r="N57" s="26">
        <v>1</v>
      </c>
    </row>
    <row r="58" spans="1:14" ht="1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 t="s">
        <v>408</v>
      </c>
      <c r="M58" s="26"/>
      <c r="N58" s="26">
        <v>2</v>
      </c>
    </row>
    <row r="59" spans="1:14" ht="1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 t="s">
        <v>408</v>
      </c>
      <c r="M59" s="26"/>
      <c r="N59" s="26">
        <v>3</v>
      </c>
    </row>
    <row r="60" spans="1:14" ht="1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 t="s">
        <v>409</v>
      </c>
      <c r="M60" s="26"/>
      <c r="N60" s="26">
        <v>1</v>
      </c>
    </row>
    <row r="61" spans="1:14" ht="1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 t="s">
        <v>409</v>
      </c>
      <c r="M61" s="26"/>
      <c r="N61" s="26">
        <v>2</v>
      </c>
    </row>
    <row r="62" spans="1:14" ht="1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 t="s">
        <v>409</v>
      </c>
      <c r="M62" s="26"/>
      <c r="N62" s="26">
        <v>3</v>
      </c>
    </row>
    <row r="63" spans="1:14" ht="1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 t="s">
        <v>410</v>
      </c>
      <c r="M63" s="26"/>
      <c r="N63" s="26">
        <v>1</v>
      </c>
    </row>
    <row r="64" spans="1:14" ht="1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 t="s">
        <v>410</v>
      </c>
      <c r="M64" s="26"/>
      <c r="N64" s="26">
        <v>2</v>
      </c>
    </row>
    <row r="65" spans="1:14" ht="1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 t="s">
        <v>410</v>
      </c>
      <c r="M65" s="26"/>
      <c r="N65" s="26">
        <v>3</v>
      </c>
    </row>
    <row r="66" spans="1:14" ht="1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 t="s">
        <v>409</v>
      </c>
      <c r="M66" s="26"/>
      <c r="N66" s="26">
        <v>1</v>
      </c>
    </row>
    <row r="67" spans="1:14" ht="1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 t="s">
        <v>409</v>
      </c>
      <c r="M67" s="26"/>
      <c r="N67" s="26">
        <v>2</v>
      </c>
    </row>
    <row r="68" spans="1:14" ht="1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 t="s">
        <v>409</v>
      </c>
      <c r="M68" s="26"/>
      <c r="N68" s="26">
        <v>3</v>
      </c>
    </row>
    <row r="69" spans="1:14" ht="15" customHeight="1" x14ac:dyDescent="0.25">
      <c r="A69" s="23" t="s">
        <v>194</v>
      </c>
      <c r="B69" s="24" t="s">
        <v>176</v>
      </c>
      <c r="C69" s="24" t="s">
        <v>121</v>
      </c>
      <c r="D69" s="26"/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 t="s">
        <v>409</v>
      </c>
      <c r="M69" s="26"/>
      <c r="N69" s="26">
        <v>1</v>
      </c>
    </row>
    <row r="70" spans="1:14" ht="15" customHeight="1" x14ac:dyDescent="0.25">
      <c r="A70" s="23" t="s">
        <v>195</v>
      </c>
      <c r="B70" s="24" t="s">
        <v>176</v>
      </c>
      <c r="C70" s="24" t="s">
        <v>121</v>
      </c>
      <c r="D70" s="26"/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 t="s">
        <v>409</v>
      </c>
      <c r="M70" s="26"/>
      <c r="N70" s="26">
        <v>2</v>
      </c>
    </row>
    <row r="71" spans="1:14" ht="15" customHeight="1" x14ac:dyDescent="0.25">
      <c r="A71" s="23" t="s">
        <v>196</v>
      </c>
      <c r="B71" s="24" t="s">
        <v>176</v>
      </c>
      <c r="C71" s="24" t="s">
        <v>121</v>
      </c>
      <c r="D71" s="26"/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 t="s">
        <v>409</v>
      </c>
      <c r="M71" s="26"/>
      <c r="N71" s="26">
        <v>3</v>
      </c>
    </row>
    <row r="72" spans="1:14" ht="1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 t="s">
        <v>410</v>
      </c>
      <c r="M72" s="26"/>
      <c r="N72" s="26">
        <v>1</v>
      </c>
    </row>
    <row r="73" spans="1:14" ht="1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 t="s">
        <v>410</v>
      </c>
      <c r="M73" s="26"/>
      <c r="N73" s="26">
        <v>2</v>
      </c>
    </row>
    <row r="74" spans="1:14" ht="1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 t="s">
        <v>410</v>
      </c>
      <c r="M74" s="26"/>
      <c r="N74" s="26">
        <v>3</v>
      </c>
    </row>
    <row r="75" spans="1:14" ht="1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 t="s">
        <v>410</v>
      </c>
      <c r="M75" s="26"/>
      <c r="N75" s="26">
        <v>1</v>
      </c>
    </row>
    <row r="76" spans="1:14" ht="1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 t="s">
        <v>410</v>
      </c>
      <c r="M76" s="26"/>
      <c r="N76" s="26">
        <v>2</v>
      </c>
    </row>
    <row r="77" spans="1:14" ht="1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 t="s">
        <v>410</v>
      </c>
      <c r="M77" s="26"/>
      <c r="N77" s="26">
        <v>3</v>
      </c>
    </row>
    <row r="78" spans="1:14" ht="1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 t="s">
        <v>410</v>
      </c>
      <c r="M78" s="26"/>
      <c r="N78" s="26">
        <v>1</v>
      </c>
    </row>
    <row r="79" spans="1:14" ht="1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 t="s">
        <v>410</v>
      </c>
      <c r="M79" s="26"/>
      <c r="N79" s="26">
        <v>2</v>
      </c>
    </row>
    <row r="80" spans="1:14" ht="1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 t="s">
        <v>410</v>
      </c>
      <c r="M80" s="26"/>
      <c r="N80" s="26">
        <v>3</v>
      </c>
    </row>
    <row r="81" spans="1:14" ht="1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 t="s">
        <v>409</v>
      </c>
      <c r="M81" s="26"/>
      <c r="N81" s="26">
        <v>1</v>
      </c>
    </row>
    <row r="82" spans="1:14" ht="1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 t="s">
        <v>409</v>
      </c>
      <c r="M82" s="26"/>
      <c r="N82" s="26">
        <v>2</v>
      </c>
    </row>
    <row r="83" spans="1:14" ht="1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 t="s">
        <v>409</v>
      </c>
      <c r="M83" s="26"/>
      <c r="N83" s="26">
        <v>3</v>
      </c>
    </row>
    <row r="84" spans="1:14" ht="1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 t="s">
        <v>409</v>
      </c>
      <c r="M84" s="26"/>
      <c r="N84" s="26">
        <v>1</v>
      </c>
    </row>
    <row r="85" spans="1:14" ht="1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 t="s">
        <v>409</v>
      </c>
      <c r="M85" s="26"/>
      <c r="N85" s="26">
        <v>2</v>
      </c>
    </row>
    <row r="86" spans="1:14" ht="1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 t="s">
        <v>409</v>
      </c>
      <c r="M86" s="26"/>
      <c r="N86" s="26">
        <v>3</v>
      </c>
    </row>
    <row r="87" spans="1:14" ht="1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 t="s">
        <v>409</v>
      </c>
      <c r="M87" s="26"/>
      <c r="N87" s="26">
        <v>1</v>
      </c>
    </row>
    <row r="88" spans="1:14" ht="1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 t="s">
        <v>409</v>
      </c>
      <c r="M88" s="26"/>
      <c r="N88" s="26">
        <v>2</v>
      </c>
    </row>
    <row r="89" spans="1:14" ht="1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 t="s">
        <v>409</v>
      </c>
      <c r="M89" s="26"/>
      <c r="N89" s="26">
        <v>3</v>
      </c>
    </row>
    <row r="90" spans="1:14" ht="1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 t="s">
        <v>409</v>
      </c>
      <c r="M90" s="26"/>
      <c r="N90" s="26">
        <v>1</v>
      </c>
    </row>
    <row r="91" spans="1:14" ht="1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 t="s">
        <v>409</v>
      </c>
      <c r="M91" s="26"/>
      <c r="N91" s="26">
        <v>2</v>
      </c>
    </row>
    <row r="92" spans="1:14" ht="1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 t="s">
        <v>409</v>
      </c>
      <c r="M92" s="26"/>
      <c r="N92" s="26">
        <v>3</v>
      </c>
    </row>
    <row r="93" spans="1:14" ht="1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 t="s">
        <v>410</v>
      </c>
      <c r="M93" s="26"/>
      <c r="N93" s="26">
        <v>1</v>
      </c>
    </row>
    <row r="94" spans="1:14" ht="1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 t="s">
        <v>410</v>
      </c>
      <c r="M94" s="26"/>
      <c r="N94" s="26">
        <v>2</v>
      </c>
    </row>
    <row r="95" spans="1:14" ht="1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 t="s">
        <v>410</v>
      </c>
      <c r="M95" s="26"/>
      <c r="N95" s="26">
        <v>3</v>
      </c>
    </row>
    <row r="96" spans="1:14" ht="1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 t="s">
        <v>409</v>
      </c>
      <c r="M96" s="26"/>
      <c r="N96" s="26">
        <v>1</v>
      </c>
    </row>
    <row r="97" spans="1:14" ht="1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 t="s">
        <v>409</v>
      </c>
      <c r="M97" s="26"/>
      <c r="N97" s="26">
        <v>2</v>
      </c>
    </row>
    <row r="98" spans="1:14" ht="1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 t="s">
        <v>409</v>
      </c>
      <c r="M98" s="26"/>
      <c r="N98" s="26">
        <v>3</v>
      </c>
    </row>
    <row r="99" spans="1:14" ht="1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/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6" t="s">
        <v>1</v>
      </c>
      <c r="B1" s="5" t="s">
        <v>224</v>
      </c>
      <c r="C1" s="5" t="s">
        <v>225</v>
      </c>
      <c r="D1" s="5"/>
      <c r="E1" s="5"/>
      <c r="F1" s="5"/>
      <c r="G1" s="5" t="s">
        <v>226</v>
      </c>
      <c r="H1" s="5"/>
      <c r="I1" s="1" t="s">
        <v>2</v>
      </c>
      <c r="J1" s="5">
        <v>315</v>
      </c>
      <c r="K1" s="5" t="s">
        <v>227</v>
      </c>
      <c r="L1" s="5" t="s">
        <v>227</v>
      </c>
      <c r="M1" s="5" t="s">
        <v>227</v>
      </c>
      <c r="N1" s="5" t="s">
        <v>227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16" t="s">
        <v>0</v>
      </c>
      <c r="B2" s="5" t="s">
        <v>228</v>
      </c>
      <c r="C2" s="5"/>
      <c r="D2" s="5"/>
      <c r="E2" s="5"/>
      <c r="F2" s="5"/>
      <c r="G2" s="5"/>
      <c r="H2" s="5"/>
      <c r="I2" s="5" t="s">
        <v>229</v>
      </c>
      <c r="J2" s="1" t="s">
        <v>58</v>
      </c>
      <c r="K2" s="1" t="s">
        <v>230</v>
      </c>
      <c r="L2" s="5" t="s">
        <v>227</v>
      </c>
      <c r="M2" s="5" t="s">
        <v>227</v>
      </c>
      <c r="N2" s="5" t="s">
        <v>227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16" t="s">
        <v>0</v>
      </c>
      <c r="B3" s="5" t="s">
        <v>231</v>
      </c>
      <c r="C3" s="5"/>
      <c r="D3" s="5"/>
      <c r="E3" s="5"/>
      <c r="F3" s="5"/>
      <c r="G3" s="5"/>
      <c r="H3" s="5"/>
      <c r="I3" s="5" t="s">
        <v>232</v>
      </c>
      <c r="J3" s="5">
        <v>1</v>
      </c>
      <c r="K3" s="5" t="s">
        <v>227</v>
      </c>
      <c r="L3" s="1" t="s">
        <v>62</v>
      </c>
      <c r="M3" s="5" t="s">
        <v>227</v>
      </c>
      <c r="N3" s="5" t="s">
        <v>227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16" t="s">
        <v>233</v>
      </c>
      <c r="B4" s="5" t="s">
        <v>234</v>
      </c>
      <c r="C4" s="5"/>
      <c r="D4" s="5"/>
      <c r="E4" s="5"/>
      <c r="F4" s="5"/>
      <c r="G4" s="5"/>
      <c r="H4" s="5"/>
      <c r="I4" s="5" t="s">
        <v>227</v>
      </c>
      <c r="J4" s="5">
        <v>2</v>
      </c>
      <c r="K4" s="5" t="s">
        <v>227</v>
      </c>
      <c r="L4" s="5" t="s">
        <v>235</v>
      </c>
      <c r="M4" s="1" t="s">
        <v>236</v>
      </c>
      <c r="N4" s="5" t="s">
        <v>227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16" t="s">
        <v>237</v>
      </c>
      <c r="B5" s="5" t="s">
        <v>238</v>
      </c>
      <c r="C5" s="5"/>
      <c r="D5" s="5"/>
      <c r="E5" s="5"/>
      <c r="F5" s="5"/>
      <c r="G5" s="5"/>
      <c r="H5" s="5"/>
      <c r="I5" s="5" t="s">
        <v>227</v>
      </c>
      <c r="J5" s="5">
        <v>3</v>
      </c>
      <c r="K5" s="5" t="s">
        <v>227</v>
      </c>
      <c r="L5" s="5" t="s">
        <v>239</v>
      </c>
      <c r="M5" s="5" t="s">
        <v>240</v>
      </c>
      <c r="N5" s="1" t="s">
        <v>241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16" t="s">
        <v>242</v>
      </c>
      <c r="B6" s="5" t="s">
        <v>243</v>
      </c>
      <c r="C6" s="5"/>
      <c r="D6" s="5"/>
      <c r="E6" s="5"/>
      <c r="F6" s="5"/>
      <c r="G6" s="5"/>
      <c r="H6" s="5"/>
      <c r="I6" s="5" t="s">
        <v>227</v>
      </c>
      <c r="J6" s="5">
        <v>4</v>
      </c>
      <c r="K6" s="5" t="s">
        <v>227</v>
      </c>
      <c r="L6" s="5" t="s">
        <v>244</v>
      </c>
      <c r="M6" s="5" t="s">
        <v>245</v>
      </c>
      <c r="N6" s="5" t="s">
        <v>246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16" t="s">
        <v>247</v>
      </c>
      <c r="B7" s="5" t="s">
        <v>248</v>
      </c>
      <c r="C7" s="5"/>
      <c r="D7" s="5"/>
      <c r="E7" s="5"/>
      <c r="F7" s="5"/>
      <c r="G7" s="5"/>
      <c r="H7" s="5"/>
      <c r="I7" s="5" t="s">
        <v>227</v>
      </c>
      <c r="J7" s="5">
        <v>5</v>
      </c>
      <c r="K7" s="5" t="s">
        <v>227</v>
      </c>
      <c r="L7" s="5" t="s">
        <v>227</v>
      </c>
      <c r="M7" s="5" t="s">
        <v>249</v>
      </c>
      <c r="N7" s="5" t="s">
        <v>250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5" t="s">
        <v>251</v>
      </c>
      <c r="B8" s="5" t="s">
        <v>252</v>
      </c>
      <c r="C8" s="5"/>
      <c r="D8" s="5"/>
      <c r="E8" s="5"/>
      <c r="F8" s="5"/>
      <c r="G8" s="38" t="s">
        <v>253</v>
      </c>
      <c r="H8" s="5"/>
      <c r="I8" s="5" t="s">
        <v>227</v>
      </c>
      <c r="J8" s="5">
        <v>6</v>
      </c>
      <c r="K8" s="5" t="s">
        <v>227</v>
      </c>
      <c r="L8" s="5" t="s">
        <v>227</v>
      </c>
      <c r="M8" s="5" t="s">
        <v>227</v>
      </c>
      <c r="N8" s="5" t="s">
        <v>254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5" t="s">
        <v>255</v>
      </c>
      <c r="B9" s="5" t="s">
        <v>256</v>
      </c>
      <c r="C9" s="5"/>
      <c r="D9" s="5"/>
      <c r="E9" s="5"/>
      <c r="F9" s="5"/>
      <c r="G9" s="38" t="s">
        <v>257</v>
      </c>
      <c r="H9" s="5"/>
      <c r="I9" s="5">
        <v>2</v>
      </c>
      <c r="J9" s="5">
        <f>I9*6</f>
        <v>12</v>
      </c>
      <c r="K9" s="5" t="s">
        <v>227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5" t="s">
        <v>258</v>
      </c>
      <c r="B10" s="5" t="s">
        <v>259</v>
      </c>
      <c r="C10" s="5"/>
      <c r="D10" s="5"/>
      <c r="E10" s="5"/>
      <c r="F10" s="5"/>
      <c r="G10" s="38" t="s">
        <v>260</v>
      </c>
      <c r="H10" s="5"/>
      <c r="I10" s="5"/>
      <c r="J10" s="39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5" t="s">
        <v>261</v>
      </c>
      <c r="B11" s="5" t="s">
        <v>262</v>
      </c>
      <c r="C11" s="5"/>
      <c r="D11" s="5"/>
      <c r="E11" s="5"/>
      <c r="F11" s="5"/>
      <c r="G11" s="38" t="s">
        <v>263</v>
      </c>
      <c r="H11" s="5"/>
      <c r="I11" s="5" t="s">
        <v>58</v>
      </c>
      <c r="J11" s="5" t="s">
        <v>1</v>
      </c>
      <c r="K11" s="5" t="s">
        <v>264</v>
      </c>
      <c r="L11" s="5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5" t="s">
        <v>266</v>
      </c>
      <c r="B12" s="5" t="s">
        <v>267</v>
      </c>
      <c r="C12" s="5"/>
      <c r="D12" s="5"/>
      <c r="E12" s="5"/>
      <c r="F12" s="5"/>
      <c r="G12" s="38" t="s">
        <v>268</v>
      </c>
      <c r="H12" s="5"/>
      <c r="I12" s="17">
        <v>1</v>
      </c>
      <c r="J12" s="14">
        <v>45168</v>
      </c>
      <c r="K12" s="5"/>
      <c r="L12" s="5" t="s">
        <v>269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5" t="s">
        <v>270</v>
      </c>
      <c r="B13" s="5" t="s">
        <v>271</v>
      </c>
      <c r="C13" s="5"/>
      <c r="D13" s="5"/>
      <c r="E13" s="5"/>
      <c r="F13" s="5"/>
      <c r="G13" s="38" t="s">
        <v>272</v>
      </c>
      <c r="H13" s="5"/>
      <c r="I13" s="17">
        <v>2</v>
      </c>
      <c r="J13" s="14">
        <v>45210</v>
      </c>
      <c r="K13" s="5"/>
      <c r="L13" s="5" t="s">
        <v>273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5" t="s">
        <v>274</v>
      </c>
      <c r="B14" s="5" t="s">
        <v>275</v>
      </c>
      <c r="C14" s="5"/>
      <c r="D14" s="5"/>
      <c r="E14" s="5"/>
      <c r="F14" s="5"/>
      <c r="G14" s="38" t="s">
        <v>276</v>
      </c>
      <c r="H14" s="5"/>
      <c r="I14" s="17">
        <v>3</v>
      </c>
      <c r="J14" s="14">
        <v>45231</v>
      </c>
      <c r="K14" s="5"/>
      <c r="L14" s="5" t="s">
        <v>277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5" t="s">
        <v>278</v>
      </c>
      <c r="B15" s="5" t="s">
        <v>279</v>
      </c>
      <c r="C15" s="5"/>
      <c r="D15" s="5"/>
      <c r="E15" s="5"/>
      <c r="F15" s="5"/>
      <c r="G15" s="38" t="s">
        <v>280</v>
      </c>
      <c r="H15" s="5"/>
      <c r="I15" s="17">
        <v>4</v>
      </c>
      <c r="J15" s="14">
        <v>45245</v>
      </c>
      <c r="K15" s="5"/>
      <c r="L15" s="5" t="s">
        <v>277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16" t="s">
        <v>281</v>
      </c>
      <c r="B16" s="5" t="s">
        <v>282</v>
      </c>
      <c r="C16" s="5"/>
      <c r="D16" s="5"/>
      <c r="E16" s="5"/>
      <c r="F16" s="5"/>
      <c r="G16" s="5"/>
      <c r="H16" s="5"/>
      <c r="I16" s="17">
        <v>5</v>
      </c>
      <c r="J16" s="14">
        <v>45322</v>
      </c>
      <c r="K16" s="5"/>
      <c r="L16" s="5" t="s">
        <v>273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16" t="s">
        <v>283</v>
      </c>
      <c r="B17" s="5" t="s">
        <v>284</v>
      </c>
      <c r="C17" s="5"/>
      <c r="D17" s="5"/>
      <c r="E17" s="5"/>
      <c r="F17" s="5"/>
      <c r="G17" s="5"/>
      <c r="H17" s="5"/>
      <c r="I17" s="17">
        <v>6</v>
      </c>
      <c r="J17" s="14">
        <v>45343</v>
      </c>
      <c r="K17" s="5"/>
      <c r="L17" s="5" t="s">
        <v>273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16" t="s">
        <v>63</v>
      </c>
      <c r="B18" s="5" t="s">
        <v>285</v>
      </c>
      <c r="C18" s="5" t="s">
        <v>286</v>
      </c>
      <c r="D18" s="5"/>
      <c r="E18" s="5"/>
      <c r="F18" s="5"/>
      <c r="G18" s="38" t="s">
        <v>287</v>
      </c>
      <c r="H18" s="5"/>
      <c r="I18" s="5"/>
      <c r="J18" s="3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16" t="s">
        <v>64</v>
      </c>
      <c r="B19" s="5" t="s">
        <v>288</v>
      </c>
      <c r="C19" s="5"/>
      <c r="D19" s="5"/>
      <c r="E19" s="5"/>
      <c r="F19" s="5"/>
      <c r="G19" s="38" t="s">
        <v>289</v>
      </c>
      <c r="H19" s="5"/>
      <c r="I19" s="5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16" t="s">
        <v>75</v>
      </c>
      <c r="B20" s="5" t="s">
        <v>290</v>
      </c>
      <c r="C20" s="5"/>
      <c r="D20" s="5"/>
      <c r="E20" s="5"/>
      <c r="F20" s="5"/>
      <c r="G20" s="16" t="s">
        <v>291</v>
      </c>
      <c r="H20" s="5"/>
      <c r="I20" s="5"/>
      <c r="J20" s="3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16" t="s">
        <v>292</v>
      </c>
      <c r="B21" s="5" t="s">
        <v>293</v>
      </c>
      <c r="C21" s="5" t="s">
        <v>294</v>
      </c>
      <c r="D21" s="5"/>
      <c r="E21" s="5"/>
      <c r="F21" s="5"/>
      <c r="G21" s="16" t="s">
        <v>295</v>
      </c>
      <c r="H21" s="5"/>
      <c r="I21" s="5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16" t="s">
        <v>72</v>
      </c>
      <c r="B22" s="5" t="s">
        <v>296</v>
      </c>
      <c r="C22" s="5"/>
      <c r="D22" s="5"/>
      <c r="E22" s="5"/>
      <c r="F22" s="5"/>
      <c r="G22" s="16" t="s">
        <v>297</v>
      </c>
      <c r="H22" s="5"/>
      <c r="I22" s="5"/>
      <c r="J22" s="3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16" t="s">
        <v>298</v>
      </c>
      <c r="B23" s="5" t="s">
        <v>299</v>
      </c>
      <c r="C23" s="5"/>
      <c r="D23" s="5"/>
      <c r="E23" s="5"/>
      <c r="F23" s="5"/>
      <c r="G23" s="16" t="s">
        <v>300</v>
      </c>
      <c r="H23" s="5"/>
      <c r="I23" s="5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16" t="s">
        <v>73</v>
      </c>
      <c r="B24" s="5" t="s">
        <v>301</v>
      </c>
      <c r="C24" s="5"/>
      <c r="D24" s="5"/>
      <c r="E24" s="5"/>
      <c r="F24" s="5"/>
      <c r="G24" s="16" t="s">
        <v>300</v>
      </c>
      <c r="H24" s="5"/>
      <c r="I24" s="5"/>
      <c r="J24" s="3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 t="s">
        <v>74</v>
      </c>
      <c r="B25" s="5" t="s">
        <v>302</v>
      </c>
      <c r="C25" s="5"/>
      <c r="D25" s="5"/>
      <c r="E25" s="5"/>
      <c r="F25" s="5"/>
      <c r="G25" s="16" t="s">
        <v>303</v>
      </c>
      <c r="H25" s="5"/>
      <c r="I25" s="5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 t="s">
        <v>304</v>
      </c>
      <c r="B26" s="5" t="s">
        <v>305</v>
      </c>
      <c r="C26" s="5"/>
      <c r="D26" s="5"/>
      <c r="E26" s="5"/>
      <c r="F26" s="5"/>
      <c r="G26" s="16" t="s">
        <v>306</v>
      </c>
      <c r="H26" s="5"/>
      <c r="I26" s="5"/>
      <c r="J26" s="3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16" t="s">
        <v>76</v>
      </c>
      <c r="B27" s="5" t="s">
        <v>307</v>
      </c>
      <c r="C27" s="5" t="s">
        <v>308</v>
      </c>
      <c r="D27" s="5"/>
      <c r="E27" s="5"/>
      <c r="F27" s="5"/>
      <c r="G27" s="16" t="s">
        <v>309</v>
      </c>
      <c r="H27" s="5"/>
      <c r="I27" s="5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16" t="s">
        <v>78</v>
      </c>
      <c r="B28" s="5" t="s">
        <v>310</v>
      </c>
      <c r="C28" s="5"/>
      <c r="D28" s="5"/>
      <c r="E28" s="5"/>
      <c r="F28" s="5"/>
      <c r="G28" s="16" t="s">
        <v>311</v>
      </c>
      <c r="H28" s="5"/>
      <c r="I28" s="5"/>
      <c r="J28" s="3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16" t="s">
        <v>312</v>
      </c>
      <c r="B29" s="5" t="s">
        <v>313</v>
      </c>
      <c r="C29" s="5" t="s">
        <v>314</v>
      </c>
      <c r="D29" s="5"/>
      <c r="E29" s="5"/>
      <c r="F29" s="5"/>
      <c r="G29" s="16" t="s">
        <v>315</v>
      </c>
      <c r="H29" s="5"/>
      <c r="I29" s="5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16" t="s">
        <v>77</v>
      </c>
      <c r="B30" s="5" t="s">
        <v>316</v>
      </c>
      <c r="C30" s="5"/>
      <c r="D30" s="5"/>
      <c r="E30" s="5"/>
      <c r="F30" s="5"/>
      <c r="G30" s="16" t="s">
        <v>317</v>
      </c>
      <c r="H30" s="5"/>
      <c r="I30" s="5"/>
      <c r="J30" s="3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16" t="s">
        <v>318</v>
      </c>
      <c r="B31" s="5" t="s">
        <v>319</v>
      </c>
      <c r="C31" s="5"/>
      <c r="D31" s="5"/>
      <c r="E31" s="5"/>
      <c r="F31" s="5"/>
      <c r="G31" s="16" t="s">
        <v>320</v>
      </c>
      <c r="H31" s="5"/>
      <c r="I31" s="5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16" t="s">
        <v>79</v>
      </c>
      <c r="B32" s="5" t="s">
        <v>79</v>
      </c>
      <c r="C32" s="5"/>
      <c r="D32" s="5"/>
      <c r="E32" s="5"/>
      <c r="F32" s="5"/>
      <c r="G32" s="16" t="s">
        <v>321</v>
      </c>
      <c r="H32" s="5"/>
      <c r="I32" s="5"/>
      <c r="J32" s="3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16" t="s">
        <v>80</v>
      </c>
      <c r="B33" s="5" t="s">
        <v>80</v>
      </c>
      <c r="C33" s="5"/>
      <c r="D33" s="5"/>
      <c r="E33" s="5"/>
      <c r="F33" s="5"/>
      <c r="G33" s="16" t="s">
        <v>322</v>
      </c>
      <c r="H33" s="5"/>
      <c r="I33" s="5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16" t="s">
        <v>81</v>
      </c>
      <c r="B34" s="5" t="s">
        <v>323</v>
      </c>
      <c r="C34" s="5"/>
      <c r="D34" s="5"/>
      <c r="E34" s="5"/>
      <c r="F34" s="5"/>
      <c r="G34" s="16" t="s">
        <v>324</v>
      </c>
      <c r="H34" s="5"/>
      <c r="I34" s="5"/>
      <c r="J34" s="3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16" t="s">
        <v>82</v>
      </c>
      <c r="B35" s="5" t="s">
        <v>325</v>
      </c>
      <c r="C35" s="5"/>
      <c r="D35" s="5"/>
      <c r="E35" s="5"/>
      <c r="F35" s="5"/>
      <c r="G35" s="16" t="s">
        <v>326</v>
      </c>
      <c r="H35" s="5"/>
      <c r="I35" s="5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16" t="s">
        <v>83</v>
      </c>
      <c r="B36" s="5" t="s">
        <v>83</v>
      </c>
      <c r="C36" s="5"/>
      <c r="D36" s="5"/>
      <c r="E36" s="5"/>
      <c r="F36" s="5"/>
      <c r="G36" s="16" t="s">
        <v>327</v>
      </c>
      <c r="H36" s="5"/>
      <c r="I36" s="5"/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16" t="s">
        <v>84</v>
      </c>
      <c r="B37" s="5" t="s">
        <v>328</v>
      </c>
      <c r="C37" s="5"/>
      <c r="D37" s="5"/>
      <c r="E37" s="5"/>
      <c r="F37" s="5"/>
      <c r="G37" s="16" t="s">
        <v>329</v>
      </c>
      <c r="H37" s="5"/>
      <c r="I37" s="5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16" t="s">
        <v>85</v>
      </c>
      <c r="B38" s="5" t="s">
        <v>330</v>
      </c>
      <c r="C38" s="5"/>
      <c r="D38" s="5"/>
      <c r="E38" s="5"/>
      <c r="F38" s="5"/>
      <c r="G38" s="16" t="s">
        <v>331</v>
      </c>
      <c r="H38" s="5"/>
      <c r="I38" s="5"/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16" t="s">
        <v>86</v>
      </c>
      <c r="B39" s="5" t="s">
        <v>332</v>
      </c>
      <c r="C39" s="5" t="s">
        <v>333</v>
      </c>
      <c r="D39" s="5"/>
      <c r="E39" s="5"/>
      <c r="F39" s="5"/>
      <c r="G39" s="16" t="s">
        <v>334</v>
      </c>
      <c r="H39" s="5"/>
      <c r="I39" s="5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16" t="s">
        <v>87</v>
      </c>
      <c r="B40" s="5" t="s">
        <v>335</v>
      </c>
      <c r="C40" s="5" t="s">
        <v>336</v>
      </c>
      <c r="D40" s="5"/>
      <c r="E40" s="5"/>
      <c r="F40" s="5"/>
      <c r="G40" s="16" t="s">
        <v>337</v>
      </c>
      <c r="H40" s="5"/>
      <c r="I40" s="5"/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16" t="s">
        <v>88</v>
      </c>
      <c r="B41" s="5" t="s">
        <v>338</v>
      </c>
      <c r="C41" s="5" t="s">
        <v>339</v>
      </c>
      <c r="D41" s="5"/>
      <c r="E41" s="5"/>
      <c r="F41" s="5"/>
      <c r="G41" s="16" t="s">
        <v>340</v>
      </c>
      <c r="H41" s="5"/>
      <c r="I41" s="5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16" t="s">
        <v>89</v>
      </c>
      <c r="B42" s="5" t="s">
        <v>341</v>
      </c>
      <c r="C42" s="5"/>
      <c r="D42" s="5"/>
      <c r="E42" s="5"/>
      <c r="F42" s="5"/>
      <c r="G42" s="16" t="s">
        <v>342</v>
      </c>
      <c r="H42" s="5"/>
      <c r="I42" s="5"/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16" t="s">
        <v>90</v>
      </c>
      <c r="B43" s="5" t="s">
        <v>343</v>
      </c>
      <c r="C43" s="5"/>
      <c r="D43" s="5"/>
      <c r="E43" s="5"/>
      <c r="F43" s="5"/>
      <c r="G43" s="16" t="s">
        <v>344</v>
      </c>
      <c r="H43" s="5"/>
      <c r="I43" s="41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16" t="s">
        <v>91</v>
      </c>
      <c r="B44" s="5" t="s">
        <v>345</v>
      </c>
      <c r="C44" s="5"/>
      <c r="D44" s="5"/>
      <c r="E44" s="5"/>
      <c r="F44" s="5"/>
      <c r="G44" s="16" t="s">
        <v>346</v>
      </c>
      <c r="H44" s="5"/>
      <c r="I44" s="41"/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16" t="s">
        <v>92</v>
      </c>
      <c r="B45" s="5" t="s">
        <v>347</v>
      </c>
      <c r="C45" s="5"/>
      <c r="D45" s="5"/>
      <c r="E45" s="5"/>
      <c r="F45" s="5"/>
      <c r="G45" s="16" t="s">
        <v>348</v>
      </c>
      <c r="H45" s="5"/>
      <c r="I45" s="46">
        <v>1</v>
      </c>
      <c r="J45" s="42" t="s">
        <v>349</v>
      </c>
      <c r="K45" s="47">
        <v>2</v>
      </c>
      <c r="L45" s="42" t="s">
        <v>349</v>
      </c>
      <c r="M45" s="47">
        <v>3</v>
      </c>
      <c r="N45" s="42" t="s">
        <v>350</v>
      </c>
      <c r="O45" s="47">
        <v>4</v>
      </c>
      <c r="P45" s="42" t="s">
        <v>350</v>
      </c>
      <c r="Q45" s="4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16" t="s">
        <v>351</v>
      </c>
      <c r="B46" s="5" t="s">
        <v>352</v>
      </c>
      <c r="C46" s="5" t="s">
        <v>353</v>
      </c>
      <c r="D46" s="5"/>
      <c r="E46" s="5"/>
      <c r="F46" s="5"/>
      <c r="G46" s="16" t="s">
        <v>354</v>
      </c>
      <c r="H46" s="5"/>
      <c r="I46" s="46"/>
      <c r="J46" s="42" t="s">
        <v>355</v>
      </c>
      <c r="K46" s="47"/>
      <c r="L46" s="42" t="s">
        <v>356</v>
      </c>
      <c r="M46" s="47"/>
      <c r="N46" s="42" t="s">
        <v>355</v>
      </c>
      <c r="O46" s="47"/>
      <c r="P46" s="42" t="s">
        <v>356</v>
      </c>
      <c r="Q46" s="4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16" t="s">
        <v>93</v>
      </c>
      <c r="B47" s="5" t="s">
        <v>357</v>
      </c>
      <c r="C47" s="5" t="s">
        <v>358</v>
      </c>
      <c r="D47" s="5"/>
      <c r="E47" s="5"/>
      <c r="F47" s="5"/>
      <c r="G47" s="16" t="s">
        <v>359</v>
      </c>
      <c r="H47" s="5"/>
      <c r="I47" s="41"/>
      <c r="J47" s="41"/>
      <c r="K47" s="41"/>
      <c r="L47" s="41"/>
      <c r="M47" s="41"/>
      <c r="N47" s="41"/>
      <c r="O47" s="41"/>
      <c r="P47" s="41"/>
      <c r="Q47" s="4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16" t="s">
        <v>94</v>
      </c>
      <c r="B48" s="5" t="s">
        <v>360</v>
      </c>
      <c r="C48" s="5" t="s">
        <v>361</v>
      </c>
      <c r="D48" s="5"/>
      <c r="E48" s="5"/>
      <c r="F48" s="5"/>
      <c r="G48" s="16" t="s">
        <v>362</v>
      </c>
      <c r="H48" s="5"/>
      <c r="I48" s="41"/>
      <c r="J48" s="41"/>
      <c r="K48" s="41"/>
      <c r="L48" s="41"/>
      <c r="M48" s="41"/>
      <c r="N48" s="41"/>
      <c r="O48" s="41"/>
      <c r="P48" s="41"/>
      <c r="Q48" s="4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16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16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16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16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16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16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16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16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16" t="s">
        <v>363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16">
        <v>1</v>
      </c>
      <c r="B58" s="5" t="s">
        <v>364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16">
        <v>2</v>
      </c>
      <c r="B59" s="5" t="s">
        <v>365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16">
        <v>3</v>
      </c>
      <c r="B60" s="5" t="s">
        <v>366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16">
        <v>4</v>
      </c>
      <c r="B61" s="5" t="s">
        <v>367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16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1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1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1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16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16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16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16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16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16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16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16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16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16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16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16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16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16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16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16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16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16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16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16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16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16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16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16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16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16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16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16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16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16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16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16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16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16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16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16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16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16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16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16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16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16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16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16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16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16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16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16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16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16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16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16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16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16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16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16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16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16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16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16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16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16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16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16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16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16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16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16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16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16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16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16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16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16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16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16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16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16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16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16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16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16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16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16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16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16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16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16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16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16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16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16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16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16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16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16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16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16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16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16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16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16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16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16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16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16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16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16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16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16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16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16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16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16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16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16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16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16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16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16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16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16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16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16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16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16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16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16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16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16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16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16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16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16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16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16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16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16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16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16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16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16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16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16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16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16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16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16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16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16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16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16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16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16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16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16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16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16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16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16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16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16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16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16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16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16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16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16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16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16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16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16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16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16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16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16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16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16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16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16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16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16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16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16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16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16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16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16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16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16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16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16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16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16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16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16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2026-08-13T21:48:19Z</dcterms:modified>
  <dc:language>pt-BR</dc:language>
</cp:coreProperties>
</file>