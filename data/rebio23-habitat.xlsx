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elvio\Downloads\"/>
    </mc:Choice>
  </mc:AlternateContent>
  <xr:revisionPtr revIDLastSave="0" documentId="13_ncr:1_{05ECE83C-506C-4D78-9882-5F0031B7A4B3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datapoints" sheetId="1" r:id="rId1"/>
    <sheet name="habitat_m" sheetId="2" r:id="rId2"/>
    <sheet name="habitat_t" sheetId="3" r:id="rId3"/>
    <sheet name="Variavei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99I6TYGzC7t+/oALzrFbMAFuvmlJV6VSPx8CcBqu9xI="/>
    </ext>
  </extLst>
</workbook>
</file>

<file path=xl/calcChain.xml><?xml version="1.0" encoding="utf-8"?>
<calcChain xmlns="http://schemas.openxmlformats.org/spreadsheetml/2006/main">
  <c r="B18" i="1" l="1"/>
  <c r="B17" i="1"/>
  <c r="B16" i="1"/>
  <c r="B15" i="1"/>
  <c r="B14" i="1"/>
  <c r="B13" i="1"/>
  <c r="B12" i="1"/>
  <c r="B11" i="1"/>
  <c r="B10" i="1"/>
  <c r="B9" i="1"/>
  <c r="B8" i="1"/>
  <c r="B7" i="1"/>
  <c r="AU18" i="2"/>
  <c r="AT18" i="2"/>
  <c r="AS18" i="2"/>
  <c r="AR18" i="2"/>
  <c r="AQ18" i="2"/>
  <c r="AP18" i="2"/>
  <c r="AO18" i="2"/>
  <c r="AN18" i="2"/>
  <c r="AM18" i="2"/>
  <c r="AL18" i="2"/>
  <c r="AU17" i="2"/>
  <c r="AT17" i="2"/>
  <c r="AS17" i="2"/>
  <c r="AR17" i="2"/>
  <c r="AQ17" i="2"/>
  <c r="AP17" i="2"/>
  <c r="AO17" i="2"/>
  <c r="AN17" i="2"/>
  <c r="AM17" i="2"/>
  <c r="AL17" i="2"/>
  <c r="AU16" i="2"/>
  <c r="AT16" i="2"/>
  <c r="AS16" i="2"/>
  <c r="AR16" i="2"/>
  <c r="AQ16" i="2"/>
  <c r="AP16" i="2"/>
  <c r="AO16" i="2"/>
  <c r="AN16" i="2"/>
  <c r="AM16" i="2"/>
  <c r="AL16" i="2"/>
  <c r="AU15" i="2"/>
  <c r="AT15" i="2"/>
  <c r="AS15" i="2"/>
  <c r="AR15" i="2"/>
  <c r="AQ15" i="2"/>
  <c r="AP15" i="2"/>
  <c r="AO15" i="2"/>
  <c r="AN15" i="2"/>
  <c r="AM15" i="2"/>
  <c r="AL15" i="2"/>
  <c r="AU14" i="2"/>
  <c r="AT14" i="2"/>
  <c r="AS14" i="2"/>
  <c r="AR14" i="2"/>
  <c r="AQ14" i="2"/>
  <c r="AP14" i="2"/>
  <c r="AO14" i="2"/>
  <c r="AN14" i="2"/>
  <c r="AM14" i="2"/>
  <c r="AL14" i="2"/>
  <c r="AU13" i="2"/>
  <c r="AT13" i="2"/>
  <c r="AS13" i="2"/>
  <c r="AR13" i="2"/>
  <c r="AQ13" i="2"/>
  <c r="AP13" i="2"/>
  <c r="AO13" i="2"/>
  <c r="AN13" i="2"/>
  <c r="AM13" i="2"/>
  <c r="AL13" i="2"/>
  <c r="AU12" i="2"/>
  <c r="AT12" i="2"/>
  <c r="AS12" i="2"/>
  <c r="AR12" i="2"/>
  <c r="AQ12" i="2"/>
  <c r="AP12" i="2"/>
  <c r="AO12" i="2"/>
  <c r="AN12" i="2"/>
  <c r="AM12" i="2"/>
  <c r="AL12" i="2"/>
  <c r="AU11" i="2"/>
  <c r="AT11" i="2"/>
  <c r="AS11" i="2"/>
  <c r="AR11" i="2"/>
  <c r="AQ11" i="2"/>
  <c r="AP11" i="2"/>
  <c r="AO11" i="2"/>
  <c r="AN11" i="2"/>
  <c r="AM11" i="2"/>
  <c r="AL11" i="2"/>
  <c r="AU10" i="2"/>
  <c r="AT10" i="2"/>
  <c r="AS10" i="2"/>
  <c r="AR10" i="2"/>
  <c r="AQ10" i="2"/>
  <c r="AP10" i="2"/>
  <c r="AO10" i="2"/>
  <c r="AN10" i="2"/>
  <c r="AM10" i="2"/>
  <c r="AL10" i="2"/>
  <c r="AU9" i="2"/>
  <c r="AT9" i="2"/>
  <c r="AS9" i="2"/>
  <c r="AR9" i="2"/>
  <c r="AQ9" i="2"/>
  <c r="AP9" i="2"/>
  <c r="AO9" i="2"/>
  <c r="AN9" i="2"/>
  <c r="AM9" i="2"/>
  <c r="AL9" i="2"/>
  <c r="AU8" i="2"/>
  <c r="AT8" i="2"/>
  <c r="AS8" i="2"/>
  <c r="AR8" i="2"/>
  <c r="AQ8" i="2"/>
  <c r="AP8" i="2"/>
  <c r="AO8" i="2"/>
  <c r="AN8" i="2"/>
  <c r="AM8" i="2"/>
  <c r="AL8" i="2"/>
  <c r="AU7" i="2"/>
  <c r="AT7" i="2"/>
  <c r="AS7" i="2"/>
  <c r="AR7" i="2"/>
  <c r="AQ7" i="2"/>
  <c r="AP7" i="2"/>
  <c r="AO7" i="2"/>
  <c r="AN7" i="2"/>
  <c r="AM7" i="2"/>
  <c r="AL7" i="2"/>
  <c r="AK18" i="2"/>
  <c r="AJ18" i="2"/>
  <c r="AI18" i="2"/>
  <c r="AH18" i="2"/>
  <c r="AG18" i="2"/>
  <c r="AF18" i="2"/>
  <c r="AE18" i="2"/>
  <c r="AK17" i="2"/>
  <c r="AJ17" i="2"/>
  <c r="AI17" i="2"/>
  <c r="AH17" i="2"/>
  <c r="AG17" i="2"/>
  <c r="AF17" i="2"/>
  <c r="AE17" i="2"/>
  <c r="AK16" i="2"/>
  <c r="AJ16" i="2"/>
  <c r="AI16" i="2"/>
  <c r="AH16" i="2"/>
  <c r="AG16" i="2"/>
  <c r="AF16" i="2"/>
  <c r="AE16" i="2"/>
  <c r="AK15" i="2"/>
  <c r="AJ15" i="2"/>
  <c r="AI15" i="2"/>
  <c r="AH15" i="2"/>
  <c r="AG15" i="2"/>
  <c r="AF15" i="2"/>
  <c r="AE15" i="2"/>
  <c r="AK14" i="2"/>
  <c r="AJ14" i="2"/>
  <c r="AI14" i="2"/>
  <c r="AH14" i="2"/>
  <c r="AG14" i="2"/>
  <c r="AF14" i="2"/>
  <c r="AE14" i="2"/>
  <c r="AK13" i="2"/>
  <c r="AJ13" i="2"/>
  <c r="AI13" i="2"/>
  <c r="AH13" i="2"/>
  <c r="AG13" i="2"/>
  <c r="AF13" i="2"/>
  <c r="AE13" i="2"/>
  <c r="AK12" i="2"/>
  <c r="AJ12" i="2"/>
  <c r="AI12" i="2"/>
  <c r="AH12" i="2"/>
  <c r="AG12" i="2"/>
  <c r="AF12" i="2"/>
  <c r="AE12" i="2"/>
  <c r="AK11" i="2"/>
  <c r="AJ11" i="2"/>
  <c r="AI11" i="2"/>
  <c r="AH11" i="2"/>
  <c r="AG11" i="2"/>
  <c r="AF11" i="2"/>
  <c r="AE11" i="2"/>
  <c r="AK10" i="2"/>
  <c r="AJ10" i="2"/>
  <c r="AI10" i="2"/>
  <c r="AH10" i="2"/>
  <c r="AG10" i="2"/>
  <c r="AF10" i="2"/>
  <c r="AE10" i="2"/>
  <c r="AK9" i="2"/>
  <c r="AJ9" i="2"/>
  <c r="AI9" i="2"/>
  <c r="AH9" i="2"/>
  <c r="AG9" i="2"/>
  <c r="AF9" i="2"/>
  <c r="AE9" i="2"/>
  <c r="AK8" i="2"/>
  <c r="AJ8" i="2"/>
  <c r="AI8" i="2"/>
  <c r="AH8" i="2"/>
  <c r="AG8" i="2"/>
  <c r="AF8" i="2"/>
  <c r="AE8" i="2"/>
  <c r="AK7" i="2"/>
  <c r="AJ7" i="2"/>
  <c r="AI7" i="2"/>
  <c r="AH7" i="2"/>
  <c r="AG7" i="2"/>
  <c r="AF7" i="2"/>
  <c r="AE7" i="2"/>
  <c r="AD18" i="2"/>
  <c r="AC18" i="2"/>
  <c r="AB18" i="2"/>
  <c r="AA18" i="2"/>
  <c r="Z18" i="2"/>
  <c r="Y18" i="2"/>
  <c r="X18" i="2"/>
  <c r="AD17" i="2"/>
  <c r="AC17" i="2"/>
  <c r="AB17" i="2"/>
  <c r="AA17" i="2"/>
  <c r="Z17" i="2"/>
  <c r="Y17" i="2"/>
  <c r="X17" i="2"/>
  <c r="AD16" i="2"/>
  <c r="AC16" i="2"/>
  <c r="AB16" i="2"/>
  <c r="AA16" i="2"/>
  <c r="Z16" i="2"/>
  <c r="Y16" i="2"/>
  <c r="X16" i="2"/>
  <c r="AD15" i="2"/>
  <c r="AC15" i="2"/>
  <c r="AB15" i="2"/>
  <c r="AA15" i="2"/>
  <c r="Z15" i="2"/>
  <c r="Y15" i="2"/>
  <c r="X15" i="2"/>
  <c r="AD14" i="2"/>
  <c r="AC14" i="2"/>
  <c r="AB14" i="2"/>
  <c r="AA14" i="2"/>
  <c r="Z14" i="2"/>
  <c r="Y14" i="2"/>
  <c r="X14" i="2"/>
  <c r="AD13" i="2"/>
  <c r="AC13" i="2"/>
  <c r="AB13" i="2"/>
  <c r="AA13" i="2"/>
  <c r="Z13" i="2"/>
  <c r="Y13" i="2"/>
  <c r="X13" i="2"/>
  <c r="AD12" i="2"/>
  <c r="AC12" i="2"/>
  <c r="AB12" i="2"/>
  <c r="AA12" i="2"/>
  <c r="Z12" i="2"/>
  <c r="Y12" i="2"/>
  <c r="X12" i="2"/>
  <c r="AD11" i="2"/>
  <c r="AC11" i="2"/>
  <c r="AB11" i="2"/>
  <c r="AA11" i="2"/>
  <c r="Z11" i="2"/>
  <c r="Y11" i="2"/>
  <c r="X11" i="2"/>
  <c r="AD10" i="2"/>
  <c r="AC10" i="2"/>
  <c r="AB10" i="2"/>
  <c r="AA10" i="2"/>
  <c r="Z10" i="2"/>
  <c r="Y10" i="2"/>
  <c r="X10" i="2"/>
  <c r="AD9" i="2"/>
  <c r="AC9" i="2"/>
  <c r="AB9" i="2"/>
  <c r="AA9" i="2"/>
  <c r="Z9" i="2"/>
  <c r="Y9" i="2"/>
  <c r="X9" i="2"/>
  <c r="AD8" i="2"/>
  <c r="AC8" i="2"/>
  <c r="AB8" i="2"/>
  <c r="AA8" i="2"/>
  <c r="Z8" i="2"/>
  <c r="Y8" i="2"/>
  <c r="X8" i="2"/>
  <c r="AD7" i="2"/>
  <c r="AC7" i="2"/>
  <c r="AB7" i="2"/>
  <c r="AA7" i="2"/>
  <c r="Z7" i="2"/>
  <c r="Y7" i="2"/>
  <c r="X7" i="2"/>
  <c r="W18" i="2"/>
  <c r="V18" i="2"/>
  <c r="U18" i="2"/>
  <c r="T18" i="2"/>
  <c r="S18" i="2"/>
  <c r="R18" i="2"/>
  <c r="W17" i="2"/>
  <c r="V17" i="2"/>
  <c r="U17" i="2"/>
  <c r="T17" i="2"/>
  <c r="S17" i="2"/>
  <c r="R17" i="2"/>
  <c r="W16" i="2"/>
  <c r="V16" i="2"/>
  <c r="U16" i="2"/>
  <c r="T16" i="2"/>
  <c r="S16" i="2"/>
  <c r="R16" i="2"/>
  <c r="W15" i="2"/>
  <c r="V15" i="2"/>
  <c r="U15" i="2"/>
  <c r="T15" i="2"/>
  <c r="S15" i="2"/>
  <c r="R15" i="2"/>
  <c r="W14" i="2"/>
  <c r="V14" i="2"/>
  <c r="U14" i="2"/>
  <c r="T14" i="2"/>
  <c r="S14" i="2"/>
  <c r="R14" i="2"/>
  <c r="W13" i="2"/>
  <c r="V13" i="2"/>
  <c r="U13" i="2"/>
  <c r="T13" i="2"/>
  <c r="S13" i="2"/>
  <c r="R13" i="2"/>
  <c r="W12" i="2"/>
  <c r="V12" i="2"/>
  <c r="U12" i="2"/>
  <c r="T12" i="2"/>
  <c r="S12" i="2"/>
  <c r="R12" i="2"/>
  <c r="W11" i="2"/>
  <c r="V11" i="2"/>
  <c r="U11" i="2"/>
  <c r="T11" i="2"/>
  <c r="S11" i="2"/>
  <c r="R11" i="2"/>
  <c r="W10" i="2"/>
  <c r="V10" i="2"/>
  <c r="U10" i="2"/>
  <c r="T10" i="2"/>
  <c r="S10" i="2"/>
  <c r="R10" i="2"/>
  <c r="W9" i="2"/>
  <c r="V9" i="2"/>
  <c r="U9" i="2"/>
  <c r="T9" i="2"/>
  <c r="S9" i="2"/>
  <c r="R9" i="2"/>
  <c r="W8" i="2"/>
  <c r="V8" i="2"/>
  <c r="U8" i="2"/>
  <c r="T8" i="2"/>
  <c r="S8" i="2"/>
  <c r="R8" i="2"/>
  <c r="W7" i="2"/>
  <c r="V7" i="2"/>
  <c r="U7" i="2"/>
  <c r="T7" i="2"/>
  <c r="S7" i="2"/>
  <c r="R7" i="2"/>
  <c r="Q18" i="2"/>
  <c r="Q17" i="2"/>
  <c r="Q16" i="2"/>
  <c r="Q15" i="2"/>
  <c r="Q14" i="2"/>
  <c r="Q13" i="2"/>
  <c r="I18" i="2"/>
  <c r="I17" i="2"/>
  <c r="I16" i="2"/>
  <c r="I15" i="2"/>
  <c r="I14" i="2"/>
  <c r="I13" i="2"/>
  <c r="I12" i="2"/>
  <c r="I11" i="2"/>
  <c r="I10" i="2"/>
  <c r="I9" i="2"/>
  <c r="I8" i="2"/>
  <c r="I7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AL1" i="2"/>
  <c r="AE1" i="2"/>
  <c r="X1" i="2"/>
  <c r="Q1" i="2"/>
  <c r="K1" i="2"/>
  <c r="B1" i="2"/>
  <c r="B2" i="2"/>
  <c r="A2" i="2"/>
  <c r="H18" i="2"/>
  <c r="G18" i="2"/>
  <c r="F18" i="2"/>
  <c r="E18" i="2"/>
  <c r="D18" i="2"/>
  <c r="C18" i="2"/>
  <c r="H17" i="2"/>
  <c r="G17" i="2"/>
  <c r="F17" i="2"/>
  <c r="E17" i="2"/>
  <c r="D17" i="2"/>
  <c r="C17" i="2"/>
  <c r="H16" i="2"/>
  <c r="G16" i="2"/>
  <c r="F16" i="2"/>
  <c r="E16" i="2"/>
  <c r="D16" i="2"/>
  <c r="C16" i="2"/>
  <c r="H15" i="2"/>
  <c r="G15" i="2"/>
  <c r="F15" i="2"/>
  <c r="E15" i="2"/>
  <c r="D15" i="2"/>
  <c r="C15" i="2"/>
  <c r="H14" i="2"/>
  <c r="G14" i="2"/>
  <c r="F14" i="2"/>
  <c r="E14" i="2"/>
  <c r="D14" i="2"/>
  <c r="C14" i="2"/>
  <c r="H13" i="2"/>
  <c r="G13" i="2"/>
  <c r="F13" i="2"/>
  <c r="E13" i="2"/>
  <c r="D13" i="2"/>
  <c r="C13" i="2"/>
  <c r="H12" i="2"/>
  <c r="G12" i="2"/>
  <c r="F12" i="2"/>
  <c r="E12" i="2"/>
  <c r="D12" i="2"/>
  <c r="C12" i="2"/>
  <c r="H11" i="2"/>
  <c r="G11" i="2"/>
  <c r="F11" i="2"/>
  <c r="E11" i="2"/>
  <c r="D11" i="2"/>
  <c r="C11" i="2"/>
  <c r="H10" i="2"/>
  <c r="G10" i="2"/>
  <c r="F10" i="2"/>
  <c r="E10" i="2"/>
  <c r="D10" i="2"/>
  <c r="C10" i="2"/>
  <c r="H9" i="2"/>
  <c r="G9" i="2"/>
  <c r="F9" i="2"/>
  <c r="E9" i="2"/>
  <c r="D9" i="2"/>
  <c r="C9" i="2"/>
  <c r="H8" i="2"/>
  <c r="G8" i="2"/>
  <c r="F8" i="2"/>
  <c r="E8" i="2"/>
  <c r="D8" i="2"/>
  <c r="C8" i="2"/>
  <c r="H7" i="2"/>
  <c r="G7" i="2"/>
  <c r="F7" i="2"/>
  <c r="E7" i="2"/>
  <c r="D7" i="2"/>
  <c r="C7" i="2"/>
  <c r="B18" i="2"/>
  <c r="B17" i="2"/>
  <c r="B16" i="2"/>
  <c r="B15" i="2"/>
  <c r="B14" i="2"/>
  <c r="B13" i="2"/>
  <c r="B12" i="2"/>
  <c r="B11" i="2"/>
  <c r="B10" i="2"/>
  <c r="B9" i="2"/>
  <c r="B8" i="2"/>
  <c r="B7" i="2"/>
  <c r="Q12" i="2"/>
  <c r="Q11" i="2"/>
  <c r="Q10" i="2"/>
  <c r="Q9" i="2"/>
  <c r="Q8" i="2"/>
  <c r="Q7" i="2"/>
  <c r="AL42" i="3"/>
  <c r="AL41" i="3"/>
  <c r="AL40" i="3"/>
  <c r="AB42" i="3"/>
  <c r="AB41" i="3"/>
  <c r="AB40" i="3"/>
  <c r="Z39" i="3"/>
  <c r="Z38" i="3"/>
  <c r="Z37" i="3"/>
  <c r="Y39" i="3"/>
  <c r="Y38" i="3"/>
  <c r="Y37" i="3"/>
  <c r="AU34" i="3"/>
  <c r="Z35" i="3"/>
  <c r="Z34" i="3"/>
  <c r="Y36" i="3"/>
  <c r="Y35" i="3"/>
  <c r="AP33" i="3"/>
  <c r="AP32" i="3"/>
  <c r="Y33" i="3"/>
  <c r="Y31" i="3"/>
  <c r="AR30" i="3"/>
  <c r="Z28" i="3"/>
  <c r="Y30" i="3"/>
  <c r="Y29" i="3"/>
  <c r="Y28" i="3"/>
  <c r="Z27" i="3"/>
  <c r="Z26" i="3"/>
  <c r="Z25" i="3"/>
  <c r="Q9" i="4"/>
  <c r="S9" i="4" s="1"/>
  <c r="T9" i="4" s="1"/>
  <c r="U9" i="4" s="1"/>
  <c r="AU42" i="3"/>
  <c r="AT42" i="3"/>
  <c r="AS42" i="3"/>
  <c r="AR42" i="3"/>
  <c r="AQ42" i="3"/>
  <c r="AP42" i="3"/>
  <c r="AO42" i="3"/>
  <c r="AN42" i="3"/>
  <c r="AM42" i="3"/>
  <c r="AK42" i="3"/>
  <c r="AJ42" i="3"/>
  <c r="AI42" i="3"/>
  <c r="AH42" i="3"/>
  <c r="AG42" i="3"/>
  <c r="AF42" i="3"/>
  <c r="AE42" i="3"/>
  <c r="AC42" i="3"/>
  <c r="Z42" i="3"/>
  <c r="AU41" i="3"/>
  <c r="AT41" i="3"/>
  <c r="AS41" i="3"/>
  <c r="AR41" i="3"/>
  <c r="AQ41" i="3"/>
  <c r="AP41" i="3"/>
  <c r="AO41" i="3"/>
  <c r="AN41" i="3"/>
  <c r="AM41" i="3"/>
  <c r="AK41" i="3"/>
  <c r="AJ41" i="3"/>
  <c r="AI41" i="3"/>
  <c r="AH41" i="3"/>
  <c r="AG41" i="3"/>
  <c r="AF41" i="3"/>
  <c r="AE41" i="3"/>
  <c r="AC41" i="3"/>
  <c r="Z41" i="3"/>
  <c r="AU40" i="3"/>
  <c r="AT40" i="3"/>
  <c r="AS40" i="3"/>
  <c r="AR40" i="3"/>
  <c r="AQ40" i="3"/>
  <c r="AP40" i="3"/>
  <c r="AO40" i="3"/>
  <c r="AN40" i="3"/>
  <c r="AM40" i="3"/>
  <c r="AK40" i="3"/>
  <c r="AJ40" i="3"/>
  <c r="AI40" i="3"/>
  <c r="AH40" i="3"/>
  <c r="AG40" i="3"/>
  <c r="AF40" i="3"/>
  <c r="AE40" i="3"/>
  <c r="AC40" i="3"/>
  <c r="Z40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C39" i="3"/>
  <c r="AB39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C38" i="3"/>
  <c r="AB38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C37" i="3"/>
  <c r="AB37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C36" i="3"/>
  <c r="AB36" i="3"/>
  <c r="Z36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C35" i="3"/>
  <c r="AB35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C34" i="3"/>
  <c r="AB34" i="3"/>
  <c r="Y34" i="3"/>
  <c r="AU33" i="3"/>
  <c r="AT33" i="3"/>
  <c r="AS33" i="3"/>
  <c r="AR33" i="3"/>
  <c r="AQ33" i="3"/>
  <c r="AO33" i="3"/>
  <c r="AN33" i="3"/>
  <c r="AM33" i="3"/>
  <c r="AL33" i="3"/>
  <c r="AK33" i="3"/>
  <c r="AJ33" i="3"/>
  <c r="AI33" i="3"/>
  <c r="AH33" i="3"/>
  <c r="AG33" i="3"/>
  <c r="AF33" i="3"/>
  <c r="AE33" i="3"/>
  <c r="AC33" i="3"/>
  <c r="AB33" i="3"/>
  <c r="Z33" i="3"/>
  <c r="AU32" i="3"/>
  <c r="AT32" i="3"/>
  <c r="AS32" i="3"/>
  <c r="AR32" i="3"/>
  <c r="AQ32" i="3"/>
  <c r="AO32" i="3"/>
  <c r="AN32" i="3"/>
  <c r="AM32" i="3"/>
  <c r="AL32" i="3"/>
  <c r="AK32" i="3"/>
  <c r="AJ32" i="3"/>
  <c r="AI32" i="3"/>
  <c r="AH32" i="3"/>
  <c r="AG32" i="3"/>
  <c r="AF32" i="3"/>
  <c r="AE32" i="3"/>
  <c r="AC32" i="3"/>
  <c r="AB32" i="3"/>
  <c r="Z32" i="3"/>
  <c r="Y32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C31" i="3"/>
  <c r="AB31" i="3"/>
  <c r="Z31" i="3"/>
  <c r="AU30" i="3"/>
  <c r="AT30" i="3"/>
  <c r="AS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C30" i="3"/>
  <c r="AB30" i="3"/>
  <c r="Z30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C29" i="3"/>
  <c r="AB29" i="3"/>
  <c r="Z29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C28" i="3"/>
  <c r="AB28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C24" i="3"/>
  <c r="AB24" i="3"/>
  <c r="Z24" i="3"/>
  <c r="Y24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C23" i="3"/>
  <c r="AB23" i="3"/>
  <c r="Z23" i="3"/>
  <c r="Y23" i="3"/>
  <c r="AU22" i="3"/>
  <c r="AT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C22" i="3"/>
  <c r="AB22" i="3"/>
  <c r="Z22" i="3"/>
  <c r="Y22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C21" i="3"/>
  <c r="AB21" i="3"/>
  <c r="Z21" i="3"/>
  <c r="Y21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C20" i="3"/>
  <c r="AB20" i="3"/>
  <c r="Z20" i="3"/>
  <c r="Y20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C19" i="3"/>
  <c r="AB19" i="3"/>
  <c r="Z19" i="3"/>
  <c r="Y19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C18" i="3"/>
  <c r="AB18" i="3"/>
  <c r="Z18" i="3"/>
  <c r="Y18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C17" i="3"/>
  <c r="AB17" i="3"/>
  <c r="Z17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C16" i="3"/>
  <c r="AB16" i="3"/>
  <c r="Z16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C15" i="3"/>
  <c r="AB15" i="3"/>
  <c r="Z15" i="3"/>
  <c r="Y15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C14" i="3"/>
  <c r="AB14" i="3"/>
  <c r="Z14" i="3"/>
  <c r="Y14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C13" i="3"/>
  <c r="AB13" i="3"/>
  <c r="Z13" i="3"/>
  <c r="Y13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C12" i="3"/>
  <c r="AB12" i="3"/>
  <c r="Z12" i="3"/>
  <c r="Y12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C11" i="3"/>
  <c r="AB11" i="3"/>
  <c r="Z11" i="3"/>
  <c r="Y11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C10" i="3"/>
  <c r="AB10" i="3"/>
  <c r="Z10" i="3"/>
  <c r="Y10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C9" i="3"/>
  <c r="AB9" i="3"/>
  <c r="Z9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C8" i="3"/>
  <c r="AB8" i="3"/>
  <c r="Z8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C7" i="3"/>
  <c r="AB7" i="3"/>
  <c r="Z7" i="3"/>
</calcChain>
</file>

<file path=xl/sharedStrings.xml><?xml version="1.0" encoding="utf-8"?>
<sst xmlns="http://schemas.openxmlformats.org/spreadsheetml/2006/main" count="975" uniqueCount="236">
  <si>
    <t>Site</t>
  </si>
  <si>
    <t>Data</t>
  </si>
  <si>
    <t>Longitude_UTM_E</t>
  </si>
  <si>
    <t>Latitude_UTM_N</t>
  </si>
  <si>
    <t>lat_gms</t>
  </si>
  <si>
    <t>long_gms</t>
  </si>
  <si>
    <t>lat_gd</t>
  </si>
  <si>
    <t>lon_gd</t>
  </si>
  <si>
    <t>GPS(wpt)</t>
  </si>
  <si>
    <t>Altitude</t>
  </si>
  <si>
    <t>Foto</t>
  </si>
  <si>
    <t>Habitat</t>
  </si>
  <si>
    <t>Tipo</t>
  </si>
  <si>
    <t>Local</t>
  </si>
  <si>
    <t>Código</t>
  </si>
  <si>
    <t>rebio</t>
  </si>
  <si>
    <t>PONTO1</t>
  </si>
  <si>
    <t>PONTO2</t>
  </si>
  <si>
    <t>PONTO3</t>
  </si>
  <si>
    <t>PONTO4</t>
  </si>
  <si>
    <t>PONTO5</t>
  </si>
  <si>
    <t>-06 43' 06,58555''</t>
  </si>
  <si>
    <t>-35 10' 54,70041''</t>
  </si>
  <si>
    <t>Ponto5</t>
  </si>
  <si>
    <t>rio</t>
  </si>
  <si>
    <t>dentro</t>
  </si>
  <si>
    <t>Barro Branco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</si>
  <si>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</si>
  <si>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</si>
  <si>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</si>
  <si>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</si>
  <si>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</si>
  <si>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</si>
  <si>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</si>
  <si>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</si>
  <si>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</si>
  <si>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</si>
  <si>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parede</t>
  </si>
  <si>
    <t>fora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</si>
  <si>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</si>
  <si>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</si>
  <si>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</si>
  <si>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</si>
  <si>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</si>
  <si>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</si>
  <si>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</si>
  <si>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</si>
  <si>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</si>
  <si>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</si>
  <si>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</si>
  <si>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</si>
  <si>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</si>
  <si>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</si>
  <si>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</si>
  <si>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PONTO18</t>
  </si>
  <si>
    <t>PONTO19</t>
  </si>
  <si>
    <t>PONTO20</t>
  </si>
  <si>
    <t>PONTO21</t>
  </si>
  <si>
    <t>PONTO22</t>
  </si>
  <si>
    <t>PONTO23</t>
  </si>
  <si>
    <t>PONTO24</t>
  </si>
  <si>
    <t>PONTO25</t>
  </si>
  <si>
    <t>PONTO26</t>
  </si>
  <si>
    <t>PONTO27</t>
  </si>
  <si>
    <t>PONTO28</t>
  </si>
  <si>
    <t>PONTO29</t>
  </si>
  <si>
    <t>PONTO30</t>
  </si>
  <si>
    <t>PONTO31</t>
  </si>
  <si>
    <t>PONTO32</t>
  </si>
  <si>
    <t>PONTO33</t>
  </si>
  <si>
    <t>PONTO34</t>
  </si>
  <si>
    <t>PONTO35</t>
  </si>
  <si>
    <t>PONTO36</t>
  </si>
  <si>
    <t>PONTO37</t>
  </si>
  <si>
    <t>PONTO38</t>
  </si>
  <si>
    <t>PONTO39</t>
  </si>
  <si>
    <t>PONTO40</t>
  </si>
  <si>
    <t>CARACTERIZAÇÃO</t>
  </si>
  <si>
    <t>NUTRIENTS_ug/L</t>
  </si>
  <si>
    <t>W-Q</t>
  </si>
  <si>
    <t>MORFO</t>
  </si>
  <si>
    <t>SUBSTRATO_%</t>
  </si>
  <si>
    <t>HABITAT_%</t>
  </si>
  <si>
    <t>Coleta</t>
  </si>
  <si>
    <t>Bacia</t>
  </si>
  <si>
    <t>Rio</t>
  </si>
  <si>
    <t>Ponto</t>
  </si>
  <si>
    <t>Ref_site</t>
  </si>
  <si>
    <t>Lote_m</t>
  </si>
  <si>
    <t>Habitat_Transect</t>
  </si>
  <si>
    <t>Ammonia</t>
  </si>
  <si>
    <t>Nitrate</t>
  </si>
  <si>
    <t>Nitrite</t>
  </si>
  <si>
    <t>Phosphorus_tp</t>
  </si>
  <si>
    <t>Chlorophyll_a</t>
  </si>
  <si>
    <t>Temp_C</t>
  </si>
  <si>
    <t>DO_mg/l</t>
  </si>
  <si>
    <t>DO_%</t>
  </si>
  <si>
    <t>Cond_uS/cm</t>
  </si>
  <si>
    <t>pH</t>
  </si>
  <si>
    <t>Sechi_cm</t>
  </si>
  <si>
    <t>Elev_m</t>
  </si>
  <si>
    <t>Vel_m/s</t>
  </si>
  <si>
    <t>Slope</t>
  </si>
  <si>
    <t>Depth_max_cm</t>
  </si>
  <si>
    <t>Depth_avg_cm</t>
  </si>
  <si>
    <t>Depth_mar_cm</t>
  </si>
  <si>
    <t>Width_m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</si>
  <si>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</si>
  <si>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</si>
  <si>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</si>
  <si>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</si>
  <si>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</si>
  <si>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</si>
  <si>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</si>
  <si>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</si>
  <si>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</si>
  <si>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</si>
  <si>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</si>
  <si>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</si>
  <si>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</si>
  <si>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</si>
  <si>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Root_masses</t>
  </si>
  <si>
    <t>Debris_l</t>
  </si>
  <si>
    <t>Debris_s</t>
  </si>
  <si>
    <t>Barro Branco Médio</t>
  </si>
  <si>
    <t>n/a</t>
  </si>
  <si>
    <t>1,2,3</t>
  </si>
  <si>
    <t>em análise</t>
  </si>
  <si>
    <t>coletado</t>
  </si>
  <si>
    <t>Barro Branco Baixo</t>
  </si>
  <si>
    <t>Caiana</t>
  </si>
  <si>
    <t>Poça</t>
  </si>
  <si>
    <t>Caiana Alto</t>
  </si>
  <si>
    <t>Inhão</t>
  </si>
  <si>
    <t>Caiana Médio</t>
  </si>
  <si>
    <t>Pepina</t>
  </si>
  <si>
    <t>Caiana Baixo</t>
  </si>
  <si>
    <t>Orthophosphate</t>
  </si>
  <si>
    <t>Turb_ntu</t>
  </si>
  <si>
    <t>Poça temporária</t>
  </si>
  <si>
    <t>Riacho afluente</t>
  </si>
  <si>
    <t>Açude</t>
  </si>
  <si>
    <t>Riacho</t>
  </si>
  <si>
    <t>Lagoa</t>
  </si>
  <si>
    <t>Pissaro</t>
  </si>
  <si>
    <t>Alagado</t>
  </si>
  <si>
    <t>Description</t>
  </si>
  <si>
    <t>Composition</t>
  </si>
  <si>
    <t>x</t>
  </si>
  <si>
    <t>Site code</t>
  </si>
  <si>
    <t>CAI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</si>
  <si>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</si>
  <si>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</si>
  <si>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</si>
  <si>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</si>
  <si>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</si>
  <si>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</si>
  <si>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</si>
  <si>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</si>
  <si>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</si>
  <si>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</si>
  <si>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</si>
  <si>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</si>
  <si>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</si>
  <si>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</si>
  <si>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</si>
  <si>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</si>
  <si>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</si>
  <si>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</si>
  <si>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</si>
  <si>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</si>
  <si>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</si>
  <si>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Lat</t>
  </si>
  <si>
    <t>Latitude (UTM 25M E)</t>
  </si>
  <si>
    <t>-III</t>
  </si>
  <si>
    <t>Long</t>
  </si>
  <si>
    <t>Longitude (UTM 25M N)</t>
  </si>
  <si>
    <t>Code for resemblance to known reference site</t>
  </si>
  <si>
    <t>Measured as 1-4 in the case od REBIO Guaribas. Site 0 would be "Cabeça do Boi"</t>
  </si>
  <si>
    <t>Temperature in C</t>
  </si>
  <si>
    <t>Dissolved oxigen (mg/L)</t>
  </si>
  <si>
    <t>Distance (m) to the nearest farming plot</t>
  </si>
  <si>
    <t>Elevation (m)</t>
  </si>
  <si>
    <t>Grupo</t>
  </si>
  <si>
    <t>Water velocity (m/s)</t>
  </si>
  <si>
    <t>Definida por 1/MÉDIA na formula '=1/(MÉDIA(0;0))'</t>
  </si>
  <si>
    <t>Zooplâncton</t>
  </si>
  <si>
    <t>Marging slope</t>
  </si>
  <si>
    <t>Maeasured as a dummy variable ranging from 1 (soft &lt;30) to 4 (steep 80-90)</t>
  </si>
  <si>
    <t>Site average depth (cm)</t>
  </si>
  <si>
    <t>Peixes</t>
  </si>
  <si>
    <t>Depth_mrg_cm</t>
  </si>
  <si>
    <t>Site margin average depth (cm)</t>
  </si>
  <si>
    <t>Depth at the first meter of the margins</t>
  </si>
  <si>
    <t>Site maximum depth (cm)</t>
  </si>
  <si>
    <t>Width_cm</t>
  </si>
  <si>
    <t>Site average width (cm)</t>
  </si>
  <si>
    <t>Fine gravel</t>
  </si>
  <si>
    <t>Coarse gravel</t>
  </si>
  <si>
    <t>Large rocks and boulders</t>
  </si>
  <si>
    <t>Bed rock</t>
  </si>
  <si>
    <t>Aquatic vegetation</t>
  </si>
  <si>
    <t>Aquatic and marginal vegetation, mostly ninphaea, cabomba, juncus and paú</t>
  </si>
  <si>
    <t>Marginal grass</t>
  </si>
  <si>
    <t>Mostly C4 terrestrail grasses</t>
  </si>
  <si>
    <t>Submerged vegetation</t>
  </si>
  <si>
    <t>Terrestrial vegetation submerged due to flooding</t>
  </si>
  <si>
    <t>Overhanging vegetation</t>
  </si>
  <si>
    <t>Leaf litter</t>
  </si>
  <si>
    <t>Fillamentous algae</t>
  </si>
  <si>
    <t>Attached algae</t>
  </si>
  <si>
    <t>Rootmasses</t>
  </si>
  <si>
    <t>Root masses</t>
  </si>
  <si>
    <t>Masses of tree roots that enter into the water</t>
  </si>
  <si>
    <t>Large debris</t>
  </si>
  <si>
    <t>Large woody branches and other vegetal debris</t>
  </si>
  <si>
    <t>Small debris</t>
  </si>
  <si>
    <t>Small woody branches and other vegetal debris</t>
  </si>
  <si>
    <t>Dentro</t>
  </si>
  <si>
    <t>Fora</t>
  </si>
  <si>
    <t>Preserv</t>
  </si>
  <si>
    <t>Não pres</t>
  </si>
  <si>
    <t>Referência</t>
  </si>
  <si>
    <t>Dentro da UC e preservado</t>
  </si>
  <si>
    <t>Dentro da UC e não preservado</t>
  </si>
  <si>
    <t>Fora da UC e preservado</t>
  </si>
  <si>
    <t>Fora da UC e não preservado</t>
  </si>
  <si>
    <t>BB-P5</t>
  </si>
  <si>
    <t>BB-P6</t>
  </si>
  <si>
    <t>BB-P7</t>
  </si>
  <si>
    <t>BB-P8</t>
  </si>
  <si>
    <t>BB-P9</t>
  </si>
  <si>
    <t>BB-P10</t>
  </si>
  <si>
    <t>Zooplâncton; Peixes</t>
  </si>
  <si>
    <t>DO_mg/L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</si>
</sst>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69" formatCode="0.0000"/>
    <numFmt numFmtId="170" formatCode="d/m/yy"/>
  </numFmts>
  <fonts count="19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</font>
    <font>
      <sz val="10"/>
      <color rgb="FF000000"/>
      <name val="Calibri"/>
    </font>
    <font>
      <sz val="11"/>
      <color rgb="FFFF0000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inor"/>
    </font>
    <font>
      <sz val="10"/>
      <color rgb="FFFF0000"/>
      <name val="Calibri"/>
    </font>
    <font>
      <sz val="10"/>
      <color theme="1"/>
      <name val="Calibri"/>
    </font>
    <font>
      <sz val="26"/>
      <color rgb="FF000000"/>
      <name val="Arial"/>
    </font>
    <font>
      <sz val="1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4" fontId="3" fillId="0" borderId="0" xfId="0" applyNumberFormat="1" applyFont="1"/>
    <xf numFmtId="0" fontId="2" fillId="0" borderId="0" xfId="0" applyFont="1" applyAlignment="1">
      <alignment horizontal="left"/>
    </xf>
    <xf numFmtId="164" fontId="2" fillId="0" borderId="0" xfId="0" applyNumberFormat="1" applyFont="1"/>
    <xf numFmtId="0" fontId="4" fillId="0" borderId="0" xfId="0" applyFont="1"/>
    <xf numFmtId="165" fontId="5" fillId="0" borderId="0" xfId="0" applyNumberFormat="1" applyFont="1"/>
    <xf numFmtId="2" fontId="3" fillId="0" borderId="0" xfId="0" applyNumberFormat="1" applyFont="1"/>
    <xf numFmtId="0" fontId="6" fillId="0" borderId="0" xfId="0" applyFont="1" applyAlignment="1">
      <alignment horizontal="left"/>
    </xf>
    <xf numFmtId="166" fontId="5" fillId="0" borderId="0" xfId="0" applyNumberFormat="1" applyFont="1"/>
    <xf numFmtId="0" fontId="5" fillId="0" borderId="0" xfId="0" applyFont="1" applyAlignment="1">
      <alignment horizontal="center" vertical="center"/>
    </xf>
    <xf numFmtId="164" fontId="5" fillId="0" borderId="0" xfId="0" applyNumberFormat="1" applyFont="1"/>
    <xf numFmtId="0" fontId="7" fillId="0" borderId="0" xfId="0" applyFont="1"/>
    <xf numFmtId="167" fontId="5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68" fontId="5" fillId="0" borderId="0" xfId="0" applyNumberFormat="1" applyFont="1"/>
    <xf numFmtId="168" fontId="5" fillId="0" borderId="0" xfId="0" applyNumberFormat="1" applyFont="1" applyAlignment="1">
      <alignment horizontal="center"/>
    </xf>
    <xf numFmtId="1" fontId="5" fillId="0" borderId="0" xfId="0" applyNumberFormat="1" applyFont="1"/>
    <xf numFmtId="170" fontId="5" fillId="0" borderId="0" xfId="0" applyNumberFormat="1" applyFont="1"/>
    <xf numFmtId="0" fontId="3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4" fontId="3" fillId="0" borderId="0" xfId="0" applyNumberFormat="1" applyFont="1"/>
    <xf numFmtId="0" fontId="3" fillId="0" borderId="0" xfId="0" applyFont="1" applyAlignment="1">
      <alignment horizontal="center"/>
    </xf>
    <xf numFmtId="14" fontId="9" fillId="0" borderId="0" xfId="0" applyNumberFormat="1" applyFont="1"/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14" fillId="0" borderId="4" xfId="0" applyFont="1" applyBorder="1"/>
    <xf numFmtId="0" fontId="1" fillId="0" borderId="4" xfId="0" applyFont="1" applyBorder="1"/>
    <xf numFmtId="0" fontId="13" fillId="0" borderId="4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166" fontId="1" fillId="0" borderId="4" xfId="0" applyNumberFormat="1" applyFont="1" applyBorder="1"/>
    <xf numFmtId="0" fontId="1" fillId="0" borderId="4" xfId="0" applyFont="1" applyBorder="1" applyAlignment="1">
      <alignment horizontal="center"/>
    </xf>
    <xf numFmtId="168" fontId="1" fillId="0" borderId="4" xfId="0" applyNumberFormat="1" applyFont="1" applyBorder="1"/>
    <xf numFmtId="168" fontId="1" fillId="0" borderId="4" xfId="0" applyNumberFormat="1" applyFont="1" applyBorder="1" applyAlignment="1">
      <alignment horizontal="center"/>
    </xf>
    <xf numFmtId="1" fontId="1" fillId="0" borderId="4" xfId="0" applyNumberFormat="1" applyFont="1" applyBorder="1"/>
    <xf numFmtId="2" fontId="1" fillId="0" borderId="4" xfId="0" applyNumberFormat="1" applyFont="1" applyBorder="1"/>
    <xf numFmtId="169" fontId="1" fillId="0" borderId="4" xfId="0" applyNumberFormat="1" applyFont="1" applyBorder="1"/>
    <xf numFmtId="2" fontId="1" fillId="0" borderId="4" xfId="0" applyNumberFormat="1" applyFont="1" applyBorder="1" applyAlignment="1">
      <alignment horizontal="right"/>
    </xf>
    <xf numFmtId="168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/>
    <xf numFmtId="0" fontId="14" fillId="0" borderId="4" xfId="0" applyFont="1" applyBorder="1" applyAlignment="1">
      <alignment horizontal="center"/>
    </xf>
    <xf numFmtId="0" fontId="1" fillId="0" borderId="4" xfId="0" applyFont="1" applyBorder="1" applyAlignment="1">
      <alignment horizontal="right"/>
    </xf>
    <xf numFmtId="0" fontId="16" fillId="0" borderId="4" xfId="0" applyFont="1" applyBorder="1" applyAlignment="1">
      <alignment horizontal="left"/>
    </xf>
    <xf numFmtId="164" fontId="13" fillId="0" borderId="4" xfId="0" applyNumberFormat="1" applyFont="1" applyBorder="1"/>
    <xf numFmtId="168" fontId="13" fillId="0" borderId="4" xfId="0" applyNumberFormat="1" applyFont="1" applyBorder="1"/>
    <xf numFmtId="168" fontId="12" fillId="0" borderId="4" xfId="0" applyNumberFormat="1" applyFont="1" applyBorder="1"/>
    <xf numFmtId="168" fontId="12" fillId="0" borderId="4" xfId="0" applyNumberFormat="1" applyFont="1" applyBorder="1" applyAlignment="1">
      <alignment horizontal="right"/>
    </xf>
    <xf numFmtId="0" fontId="12" fillId="0" borderId="4" xfId="0" applyFont="1" applyBorder="1" applyAlignment="1">
      <alignment horizontal="right"/>
    </xf>
    <xf numFmtId="14" fontId="0" fillId="0" borderId="0" xfId="0" applyNumberFormat="1"/>
    <xf numFmtId="1" fontId="5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4" fontId="5" fillId="0" borderId="0" xfId="0" applyNumberFormat="1" applyFont="1"/>
    <xf numFmtId="1" fontId="15" fillId="0" borderId="0" xfId="0" applyNumberFormat="1" applyFont="1" applyAlignment="1">
      <alignment horizontal="center"/>
    </xf>
    <xf numFmtId="0" fontId="17" fillId="0" borderId="0" xfId="0" applyFont="1"/>
    <xf numFmtId="0" fontId="10" fillId="2" borderId="3" xfId="0" applyFont="1" applyFill="1" applyBorder="1" applyAlignment="1">
      <alignment horizontal="left" vertical="center"/>
    </xf>
    <xf numFmtId="0" fontId="11" fillId="0" borderId="4" xfId="0" applyFont="1" applyBorder="1"/>
    <xf numFmtId="0" fontId="10" fillId="2" borderId="3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457200</xdr:colOff>
      <xdr:row>42</xdr:row>
      <xdr:rowOff>19050</xdr:rowOff>
    </xdr:from>
    <xdr:ext cx="4629150" cy="21050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8"/>
  <sheetViews>
    <sheetView workbookViewId="0">
      <selection activeCell="A6" sqref="A6"/>
    </sheetView>
  </sheetViews>
  <sheetFormatPr defaultColWidth="14.42578125" defaultRowHeight="15" customHeight="1"/>
  <cols>
    <col min="1" max="1" width="13.140625" customWidth="1"/>
    <col min="2" max="2" width="14.28515625" customWidth="1"/>
    <col min="3" max="4" width="15.5703125" customWidth="1"/>
    <col min="5" max="6" width="20.28515625" customWidth="1"/>
    <col min="7" max="15" width="11.140625" customWidth="1"/>
    <col min="16" max="26" width="8.7109375" customWidth="1"/>
  </cols>
  <sheetData>
    <row r="1" spans="1:15" ht="14.25" customHeight="1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4" t="s">
        <v>6</v>
      </c>
      <c r="H1" s="4" t="s">
        <v>7</v>
      </c>
      <c r="I1" s="2" t="s">
        <v>9</v>
      </c>
      <c r="J1" s="2" t="s">
        <v>8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ht="14.25" customHeight="1">
      <c r="A2" s="5" t="s">
        <v>15</v>
      </c>
      <c r="C2" s="6"/>
      <c r="D2" s="6"/>
      <c r="E2" s="7"/>
      <c r="F2" s="7"/>
      <c r="G2" s="8"/>
      <c r="H2" s="8"/>
      <c r="I2" s="9"/>
      <c r="K2" s="2"/>
      <c r="L2" s="2"/>
      <c r="M2" s="2"/>
      <c r="N2" s="2"/>
    </row>
    <row r="3" spans="1:15" ht="14.25" customHeight="1">
      <c r="A3" s="10" t="s">
        <v>16</v>
      </c>
      <c r="B3" s="11"/>
      <c r="C3" s="6"/>
      <c r="D3" s="6"/>
      <c r="E3" s="7"/>
      <c r="F3" s="7"/>
      <c r="G3" s="8"/>
      <c r="H3" s="8"/>
      <c r="I3" s="2"/>
      <c r="J3" s="12"/>
      <c r="K3" s="2"/>
      <c r="L3" s="2"/>
      <c r="M3" s="2"/>
      <c r="N3" s="2"/>
    </row>
    <row r="4" spans="1:15" ht="14.25" customHeight="1">
      <c r="A4" s="10" t="s">
        <v>17</v>
      </c>
      <c r="B4" s="11"/>
      <c r="C4" s="6"/>
      <c r="D4" s="6"/>
      <c r="E4" s="7"/>
      <c r="F4" s="7"/>
      <c r="G4" s="8"/>
      <c r="H4" s="8"/>
      <c r="I4" s="2"/>
      <c r="J4" s="12"/>
      <c r="K4" s="2"/>
      <c r="L4" s="2"/>
      <c r="M4" s="2"/>
      <c r="N4" s="2"/>
    </row>
    <row r="5" spans="1:15" ht="14.25" customHeight="1">
      <c r="A5" s="10" t="s">
        <v>18</v>
      </c>
      <c r="B5" s="11"/>
      <c r="C5" s="6"/>
      <c r="D5" s="6"/>
      <c r="E5" s="7"/>
      <c r="F5" s="7"/>
      <c r="G5" s="8"/>
      <c r="H5" s="8"/>
      <c r="I5" s="2"/>
      <c r="J5" s="12"/>
      <c r="K5" s="2"/>
      <c r="L5" s="2"/>
      <c r="M5" s="2"/>
      <c r="N5" s="2"/>
    </row>
    <row r="6" spans="1:15" ht="14.25" customHeight="1">
      <c r="A6" s="10" t="s">
        <v>19</v>
      </c>
      <c r="B6" s="11"/>
      <c r="C6" s="6"/>
      <c r="D6" s="6"/>
      <c r="E6" s="7"/>
      <c r="F6" s="7"/>
      <c r="G6" s="8"/>
      <c r="H6" s="8"/>
      <c r="I6" s="2"/>
      <c r="J6" s="12"/>
      <c r="K6" s="2"/>
      <c r="L6" s="2"/>
      <c r="M6" s="2"/>
      <c r="N6" s="2"/>
    </row>
    <row r="7" spans="1:15" ht="14.25" customHeight="1">
      <c r="A7" s="10" t="s">
        <v>20</v>
      </c>
      <c r="B7" s="11">
        <f>habitat_m!B7</f>
        <v>45210</v>
      </c>
      <c r="C7" s="13">
        <v>258811.701</v>
      </c>
      <c r="D7" s="13">
        <v>9256830.2300000004</v>
      </c>
      <c r="E7" s="14" t="s">
        <v>21</v>
      </c>
      <c r="F7" s="14" t="s">
        <v>22</v>
      </c>
      <c r="G7" s="15">
        <v>-6.7184959862701499</v>
      </c>
      <c r="H7" s="8">
        <v>-35.181861225273501</v>
      </c>
      <c r="I7" s="2">
        <v>107.072</v>
      </c>
      <c r="J7" s="14" t="s">
        <v>23</v>
      </c>
      <c r="K7" s="2"/>
      <c r="L7" s="2" t="s">
        <v>24</v>
      </c>
      <c r="M7" s="2" t="s">
        <v>25</v>
      </c>
      <c r="N7" s="2" t="s">
        <v>26</v>
      </c>
      <c r="O7" s="58" t="s">
        <v>228</v>
      </c>
    </row>
    <row r="8" spans="1:15" ht="14.25" customHeight="1">
      <c r="A8" s="10" t="s">
        <v>27</v>
      </c>
      <c r="B8" s="11">
        <f>habitat_m!B8</f>
        <v>45210</v>
      </c>
      <c r="C8" s="14">
        <v>259300.049</v>
      </c>
      <c r="D8" s="14">
        <v>9257688.7190000005</v>
      </c>
      <c r="E8" s="14" t="s">
        <v>28</v>
      </c>
      <c r="F8" s="14" t="s">
        <v>29</v>
      </c>
      <c r="G8" s="15">
        <v>-6.71075535414501</v>
      </c>
      <c r="H8" s="14">
        <v>-35.177411146810201</v>
      </c>
      <c r="I8" s="14">
        <v>112.84</v>
      </c>
      <c r="J8" s="14" t="s">
        <v>30</v>
      </c>
      <c r="L8" s="2" t="s">
        <v>24</v>
      </c>
      <c r="M8" s="2" t="s">
        <v>25</v>
      </c>
      <c r="N8" s="2" t="s">
        <v>26</v>
      </c>
      <c r="O8" s="58" t="s">
        <v>229</v>
      </c>
    </row>
    <row r="9" spans="1:15" ht="14.25" customHeight="1">
      <c r="A9" s="10" t="s">
        <v>31</v>
      </c>
      <c r="B9" s="11">
        <f>habitat_m!B9</f>
        <v>45210</v>
      </c>
      <c r="C9" s="14">
        <v>259606.66500000001</v>
      </c>
      <c r="D9" s="14">
        <v>9258387.5930000003</v>
      </c>
      <c r="E9" s="14" t="s">
        <v>21</v>
      </c>
      <c r="F9" s="14" t="s">
        <v>22</v>
      </c>
      <c r="G9" s="15">
        <v>-6.7044502002747404</v>
      </c>
      <c r="H9" s="14">
        <v>-35.174610782300803</v>
      </c>
      <c r="I9" s="14">
        <v>89.046999999999997</v>
      </c>
      <c r="J9" s="14" t="s">
        <v>32</v>
      </c>
      <c r="L9" s="2" t="s">
        <v>24</v>
      </c>
      <c r="M9" s="2" t="s">
        <v>25</v>
      </c>
      <c r="N9" s="2" t="s">
        <v>26</v>
      </c>
      <c r="O9" s="58" t="s">
        <v>230</v>
      </c>
    </row>
    <row r="10" spans="1:15" ht="14.25" customHeight="1">
      <c r="A10" s="10" t="s">
        <v>33</v>
      </c>
      <c r="B10" s="11">
        <f>habitat_m!B10</f>
        <v>45168</v>
      </c>
      <c r="C10" s="14">
        <v>259372.18700000001</v>
      </c>
      <c r="D10" s="14">
        <v>9259300.1239999998</v>
      </c>
      <c r="E10" s="14" t="s">
        <v>34</v>
      </c>
      <c r="F10" s="14" t="s">
        <v>35</v>
      </c>
      <c r="G10" s="15">
        <v>-6.6961919980277402</v>
      </c>
      <c r="H10" s="14">
        <v>-35.176694258485</v>
      </c>
      <c r="I10" s="14">
        <v>89.058999999999997</v>
      </c>
      <c r="J10" s="14" t="s">
        <v>36</v>
      </c>
      <c r="L10" s="2" t="s">
        <v>37</v>
      </c>
      <c r="M10" s="2" t="s">
        <v>38</v>
      </c>
      <c r="N10" s="2" t="s">
        <v>26</v>
      </c>
      <c r="O10" s="58" t="s">
        <v>231</v>
      </c>
    </row>
    <row r="11" spans="1:15" ht="14.25" customHeight="1">
      <c r="A11" s="10" t="s">
        <v>39</v>
      </c>
      <c r="B11" s="11">
        <f>habitat_m!B11</f>
        <v>45168</v>
      </c>
      <c r="C11" s="14">
        <v>259618.864</v>
      </c>
      <c r="D11" s="14">
        <v>9260832.0079999994</v>
      </c>
      <c r="E11" s="14" t="s">
        <v>40</v>
      </c>
      <c r="F11" s="14" t="s">
        <v>41</v>
      </c>
      <c r="G11" s="15">
        <v>-6.6823544240767498</v>
      </c>
      <c r="H11" s="14">
        <v>-35.174402675735998</v>
      </c>
      <c r="I11" s="14">
        <v>71.022999999999996</v>
      </c>
      <c r="J11" s="14" t="s">
        <v>42</v>
      </c>
      <c r="L11" s="2" t="s">
        <v>24</v>
      </c>
      <c r="M11" s="2" t="s">
        <v>38</v>
      </c>
      <c r="N11" s="2" t="s">
        <v>26</v>
      </c>
      <c r="O11" s="58" t="s">
        <v>232</v>
      </c>
    </row>
    <row r="12" spans="1:15" ht="14.25" customHeight="1">
      <c r="A12" s="10" t="s">
        <v>43</v>
      </c>
      <c r="B12" s="11">
        <f>habitat_m!B12</f>
        <v>45168</v>
      </c>
      <c r="C12" s="14">
        <v>259403.87700000001</v>
      </c>
      <c r="D12" s="14">
        <v>9261983.5879999995</v>
      </c>
      <c r="E12" s="14" t="s">
        <v>44</v>
      </c>
      <c r="F12" s="14" t="s">
        <v>45</v>
      </c>
      <c r="G12" s="15">
        <v>-6.67193613886755</v>
      </c>
      <c r="H12" s="14">
        <v>-35.176300411990297</v>
      </c>
      <c r="I12" s="14">
        <v>41.473999999999997</v>
      </c>
      <c r="J12" s="14" t="s">
        <v>46</v>
      </c>
      <c r="L12" s="2" t="s">
        <v>37</v>
      </c>
      <c r="M12" s="2" t="s">
        <v>38</v>
      </c>
      <c r="N12" s="2" t="s">
        <v>26</v>
      </c>
      <c r="O12" s="58" t="s">
        <v>233</v>
      </c>
    </row>
    <row r="13" spans="1:15" ht="14.25" customHeight="1">
      <c r="A13" s="10" t="s">
        <v>47</v>
      </c>
      <c r="B13" s="11">
        <f>habitat_m!B13</f>
        <v>45322</v>
      </c>
    </row>
    <row r="14" spans="1:15" ht="14.25" customHeight="1">
      <c r="A14" s="10" t="s">
        <v>48</v>
      </c>
      <c r="B14" s="11">
        <f>habitat_m!B14</f>
        <v>45322</v>
      </c>
    </row>
    <row r="15" spans="1:15" ht="14.25" customHeight="1">
      <c r="A15" s="10" t="s">
        <v>49</v>
      </c>
      <c r="B15" s="11">
        <f>habitat_m!B15</f>
        <v>45322</v>
      </c>
    </row>
    <row r="16" spans="1:15" ht="14.25" customHeight="1">
      <c r="A16" s="10" t="s">
        <v>50</v>
      </c>
      <c r="B16" s="11">
        <f>habitat_m!B16</f>
        <v>45322</v>
      </c>
    </row>
    <row r="17" spans="1:2" ht="14.25" customHeight="1">
      <c r="A17" s="10" t="s">
        <v>51</v>
      </c>
      <c r="B17" s="11">
        <f>habitat_m!B17</f>
        <v>45322</v>
      </c>
    </row>
    <row r="18" spans="1:2" ht="14.25" customHeight="1">
      <c r="A18" s="10" t="s">
        <v>52</v>
      </c>
      <c r="B18" s="11">
        <f>habitat_m!B18</f>
        <v>45322</v>
      </c>
    </row>
    <row r="19" spans="1:2" ht="14.25" customHeight="1">
      <c r="A19" s="10" t="s">
        <v>53</v>
      </c>
      <c r="B19" s="11"/>
    </row>
    <row r="20" spans="1:2" ht="14.25" customHeight="1">
      <c r="A20" s="10" t="s">
        <v>54</v>
      </c>
      <c r="B20" s="11"/>
    </row>
    <row r="21" spans="1:2" ht="14.25" customHeight="1">
      <c r="A21" s="10" t="s">
        <v>55</v>
      </c>
      <c r="B21" s="11"/>
    </row>
    <row r="22" spans="1:2" ht="14.25" customHeight="1">
      <c r="A22" s="10" t="s">
        <v>56</v>
      </c>
      <c r="B22" s="11"/>
    </row>
    <row r="23" spans="1:2" ht="14.25" customHeight="1">
      <c r="A23" s="10" t="s">
        <v>57</v>
      </c>
      <c r="B23" s="11"/>
    </row>
    <row r="24" spans="1:2" ht="14.25" customHeight="1">
      <c r="A24" s="10" t="s">
        <v>58</v>
      </c>
      <c r="B24" s="11"/>
    </row>
    <row r="25" spans="1:2" ht="14.25" customHeight="1">
      <c r="A25" s="10" t="s">
        <v>59</v>
      </c>
      <c r="B25" s="11"/>
    </row>
    <row r="26" spans="1:2" ht="14.25" customHeight="1">
      <c r="A26" s="10" t="s">
        <v>60</v>
      </c>
      <c r="B26" s="11"/>
    </row>
    <row r="27" spans="1:2" ht="14.25" customHeight="1">
      <c r="A27" s="10" t="s">
        <v>61</v>
      </c>
      <c r="B27" s="11"/>
    </row>
    <row r="28" spans="1:2" ht="14.25" customHeight="1">
      <c r="A28" s="10" t="s">
        <v>62</v>
      </c>
      <c r="B28" s="11"/>
    </row>
    <row r="29" spans="1:2" ht="14.25" customHeight="1">
      <c r="A29" s="10" t="s">
        <v>63</v>
      </c>
      <c r="B29" s="11"/>
    </row>
    <row r="30" spans="1:2" ht="14.25" customHeight="1">
      <c r="A30" s="10" t="s">
        <v>64</v>
      </c>
      <c r="B30" s="11"/>
    </row>
    <row r="31" spans="1:2" ht="14.25" customHeight="1">
      <c r="A31" s="10" t="s">
        <v>65</v>
      </c>
      <c r="B31" s="11"/>
    </row>
    <row r="32" spans="1:2" ht="14.25" customHeight="1">
      <c r="A32" s="10" t="s">
        <v>66</v>
      </c>
      <c r="B32" s="11"/>
    </row>
    <row r="33" spans="1:2" ht="14.25" customHeight="1">
      <c r="A33" s="10" t="s">
        <v>67</v>
      </c>
      <c r="B33" s="11"/>
    </row>
    <row r="34" spans="1:2" ht="14.25" customHeight="1">
      <c r="A34" s="10" t="s">
        <v>68</v>
      </c>
      <c r="B34" s="11"/>
    </row>
    <row r="35" spans="1:2" ht="14.25" customHeight="1">
      <c r="A35" s="10" t="s">
        <v>69</v>
      </c>
      <c r="B35" s="11"/>
    </row>
    <row r="36" spans="1:2" ht="14.25" customHeight="1">
      <c r="A36" s="10" t="s">
        <v>70</v>
      </c>
      <c r="B36" s="11"/>
    </row>
    <row r="37" spans="1:2" ht="14.25" customHeight="1">
      <c r="A37" s="10" t="s">
        <v>71</v>
      </c>
      <c r="B37" s="11"/>
    </row>
    <row r="38" spans="1:2" ht="14.25" customHeight="1">
      <c r="A38" s="10" t="s">
        <v>72</v>
      </c>
      <c r="B38" s="11"/>
    </row>
    <row r="39" spans="1:2" ht="14.25" customHeight="1">
      <c r="A39" s="10" t="s">
        <v>73</v>
      </c>
      <c r="B39" s="11"/>
    </row>
    <row r="40" spans="1:2" ht="14.25" customHeight="1">
      <c r="A40" s="10" t="s">
        <v>74</v>
      </c>
      <c r="B40" s="11"/>
    </row>
    <row r="41" spans="1:2" ht="14.25" customHeight="1">
      <c r="A41" s="10" t="s">
        <v>75</v>
      </c>
      <c r="B41" s="11"/>
    </row>
    <row r="42" spans="1:2" ht="14.25" customHeight="1">
      <c r="A42" s="10" t="s">
        <v>76</v>
      </c>
      <c r="B42" s="11"/>
    </row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18" type="noConversion"/>
  <pageMargins left="0.51181102362204722" right="0.51181102362204722" top="1.1811023622047245" bottom="1.181102362204724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000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/>
    </sheetView>
  </sheetViews>
  <sheetFormatPr defaultColWidth="14.42578125" defaultRowHeight="15" customHeight="1"/>
  <cols>
    <col min="1" max="1" width="13.28515625" customWidth="1"/>
    <col min="2" max="2" width="14.28515625" style="53" customWidth="1"/>
    <col min="3" max="3" width="11.140625" style="55" customWidth="1"/>
    <col min="4" max="4" width="15.85546875" customWidth="1"/>
    <col min="5" max="5" width="19.140625" customWidth="1"/>
    <col min="6" max="6" width="11.140625" customWidth="1"/>
    <col min="7" max="8" width="11.140625" style="55" customWidth="1"/>
    <col min="9" max="15" width="15.28515625" customWidth="1"/>
    <col min="16" max="22" width="11.140625" customWidth="1"/>
    <col min="23" max="25" width="12.5703125" customWidth="1"/>
    <col min="26" max="29" width="14.7109375" customWidth="1"/>
    <col min="30" max="46" width="12.5703125" customWidth="1"/>
  </cols>
  <sheetData>
    <row r="1" spans="1:47" ht="14.25" customHeight="1">
      <c r="A1" s="32"/>
      <c r="B1" s="34" t="str">
        <f>habitat_t!B1</f>
        <v>CARACTERIZAÇÃO</v>
      </c>
      <c r="C1" s="34"/>
      <c r="D1" s="34"/>
      <c r="E1" s="34"/>
      <c r="F1" s="34"/>
      <c r="G1" s="34"/>
      <c r="H1" s="34"/>
      <c r="I1" s="34"/>
      <c r="J1" s="34"/>
      <c r="K1" s="34" t="str">
        <f>habitat_t!K1</f>
        <v>NUTRIENTS_ug/L</v>
      </c>
      <c r="L1" s="34"/>
      <c r="M1" s="34"/>
      <c r="N1" s="34"/>
      <c r="O1" s="34"/>
      <c r="P1" s="34"/>
      <c r="Q1" s="34" t="str">
        <f>habitat_t!Q1</f>
        <v>W-Q</v>
      </c>
      <c r="R1" s="34"/>
      <c r="S1" s="34"/>
      <c r="T1" s="34"/>
      <c r="U1" s="34"/>
      <c r="V1" s="34"/>
      <c r="W1" s="34"/>
      <c r="X1" s="34" t="str">
        <f>habitat_t!X1</f>
        <v>MORFO</v>
      </c>
      <c r="Y1" s="34"/>
      <c r="Z1" s="34"/>
      <c r="AA1" s="34"/>
      <c r="AB1" s="34"/>
      <c r="AC1" s="34"/>
      <c r="AD1" s="34"/>
      <c r="AE1" s="34" t="str">
        <f>habitat_t!AE1</f>
        <v>SUBSTRATO_%</v>
      </c>
      <c r="AF1" s="34"/>
      <c r="AG1" s="34"/>
      <c r="AH1" s="34"/>
      <c r="AI1" s="34"/>
      <c r="AJ1" s="34"/>
      <c r="AK1" s="34"/>
      <c r="AL1" s="34" t="str">
        <f>habitat_t!AL1</f>
        <v>HABITAT_%</v>
      </c>
      <c r="AM1" s="34"/>
      <c r="AN1" s="34"/>
      <c r="AO1" s="34"/>
      <c r="AP1" s="34"/>
      <c r="AQ1" s="34"/>
      <c r="AR1" s="34"/>
      <c r="AS1" s="34"/>
      <c r="AT1" s="34"/>
    </row>
    <row r="2" spans="1:47" ht="14.25" customHeight="1">
      <c r="A2" s="33" t="str">
        <f>habitat_t!A2</f>
        <v>Site</v>
      </c>
      <c r="B2" s="34" t="str">
        <f>habitat_t!B2</f>
        <v>Data</v>
      </c>
      <c r="C2" s="34" t="str">
        <f>habitat_t!C2</f>
        <v>Coleta</v>
      </c>
      <c r="D2" s="34" t="str">
        <f>habitat_t!D2</f>
        <v>Bacia</v>
      </c>
      <c r="E2" s="34" t="str">
        <f>habitat_t!E2</f>
        <v>Rio</v>
      </c>
      <c r="F2" s="34" t="str">
        <f>habitat_t!F2</f>
        <v>Habitat</v>
      </c>
      <c r="G2" s="34" t="str">
        <f>habitat_t!G2</f>
        <v>Ponto</v>
      </c>
      <c r="H2" s="34" t="str">
        <f>habitat_t!H2</f>
        <v>Ref_site</v>
      </c>
      <c r="I2" s="34" t="str">
        <f>habitat_t!I2</f>
        <v>Lote_m</v>
      </c>
      <c r="J2" s="34" t="str">
        <f>habitat_t!J2</f>
        <v>Habitat_Transect</v>
      </c>
      <c r="K2" s="34" t="str">
        <f>habitat_t!K2</f>
        <v>Ammonia</v>
      </c>
      <c r="L2" s="34" t="str">
        <f>habitat_t!L2</f>
        <v>Nitrate</v>
      </c>
      <c r="M2" s="34" t="str">
        <f>habitat_t!M2</f>
        <v>Nitrite</v>
      </c>
      <c r="N2" s="34" t="str">
        <f>habitat_t!N2</f>
        <v>Phosphorus_tp</v>
      </c>
      <c r="O2" s="34" t="str">
        <f>habitat_t!O2</f>
        <v>Orthophosphate</v>
      </c>
      <c r="P2" s="34" t="str">
        <f>habitat_t!P2</f>
        <v>Chlorophyll_a</v>
      </c>
      <c r="Q2" s="34" t="str">
        <f>habitat_t!Q2</f>
        <v>Temp_C</v>
      </c>
      <c r="R2" s="34" t="str">
        <f>habitat_t!R2</f>
        <v>DO_mg/L</v>
      </c>
      <c r="S2" s="34" t="str">
        <f>habitat_t!S2</f>
        <v>DO_%</v>
      </c>
      <c r="T2" s="34" t="str">
        <f>habitat_t!T2</f>
        <v>Cond_uS/cm</v>
      </c>
      <c r="U2" s="34" t="str">
        <f>habitat_t!U2</f>
        <v>Turb_ntu</v>
      </c>
      <c r="V2" s="34" t="str">
        <f>habitat_t!V2</f>
        <v>pH</v>
      </c>
      <c r="W2" s="34" t="str">
        <f>habitat_t!W2</f>
        <v>Sechi_cm</v>
      </c>
      <c r="X2" s="34" t="str">
        <f>habitat_t!X2</f>
        <v>Elev_m</v>
      </c>
      <c r="Y2" s="34" t="str">
        <f>habitat_t!Y2</f>
        <v>Vel_m/s</v>
      </c>
      <c r="Z2" s="34" t="str">
        <f>habitat_t!Z2</f>
        <v>Slope</v>
      </c>
      <c r="AA2" s="34" t="str">
        <f>habitat_t!AA2</f>
        <v>Depth_max_cm</v>
      </c>
      <c r="AB2" s="34" t="str">
        <f>habitat_t!AB2</f>
        <v>Depth_avg_cm</v>
      </c>
      <c r="AC2" s="34" t="str">
        <f>habitat_t!AC2</f>
        <v>Depth_mar_cm</v>
      </c>
      <c r="AD2" s="34" t="str">
        <f>habitat_t!AD2</f>
        <v>Width_m</v>
      </c>
      <c r="AE2" s="34" t="str">
        <f>habitat_t!AE2</f>
        <v>Mud</v>
      </c>
      <c r="AF2" s="34" t="str">
        <f>habitat_t!AF2</f>
        <v>Sand</v>
      </c>
      <c r="AG2" s="34" t="str">
        <f>habitat_t!AG2</f>
        <v>Gravel_f</v>
      </c>
      <c r="AH2" s="34" t="str">
        <f>habitat_t!AH2</f>
        <v>Gravel_c</v>
      </c>
      <c r="AI2" s="34" t="str">
        <f>habitat_t!AI2</f>
        <v>Cobbles</v>
      </c>
      <c r="AJ2" s="34" t="str">
        <f>habitat_t!AJ2</f>
        <v>Rocks</v>
      </c>
      <c r="AK2" s="34" t="str">
        <f>habitat_t!AK2</f>
        <v>Bedrock</v>
      </c>
      <c r="AL2" s="34" t="str">
        <f>habitat_t!AL2</f>
        <v>Macrophytes</v>
      </c>
      <c r="AM2" s="34" t="str">
        <f>habitat_t!AM2</f>
        <v>Grass</v>
      </c>
      <c r="AN2" s="34" t="str">
        <f>habitat_t!AN2</f>
        <v>Subm_veg</v>
      </c>
      <c r="AO2" s="34" t="str">
        <f>habitat_t!AO2</f>
        <v>Overh_veg</v>
      </c>
      <c r="AP2" s="34" t="str">
        <f>habitat_t!AP2</f>
        <v>Leaf_l</v>
      </c>
      <c r="AQ2" s="34" t="str">
        <f>habitat_t!AQ2</f>
        <v>Algae_f</v>
      </c>
      <c r="AR2" s="34" t="str">
        <f>habitat_t!AR2</f>
        <v>Algae_a</v>
      </c>
      <c r="AS2" s="34" t="str">
        <f>habitat_t!AS2</f>
        <v>Root_masses</v>
      </c>
      <c r="AT2" s="34" t="str">
        <f>habitat_t!AT2</f>
        <v>Debris_l</v>
      </c>
      <c r="AU2" s="34" t="str">
        <f>habitat_t!AU2</f>
        <v>Debris_s</v>
      </c>
    </row>
    <row r="3" spans="1:47" ht="14.25" customHeight="1">
      <c r="A3" s="10" t="s">
        <v>16</v>
      </c>
      <c r="B3" s="56"/>
      <c r="C3" s="54"/>
      <c r="D3" s="17"/>
      <c r="F3" s="17"/>
      <c r="G3" s="54"/>
      <c r="H3" s="54"/>
      <c r="I3" s="17"/>
      <c r="J3" s="17"/>
      <c r="K3" s="17"/>
      <c r="L3" s="17"/>
      <c r="M3" s="17"/>
      <c r="N3" s="17"/>
      <c r="O3" s="17"/>
      <c r="P3" s="18"/>
      <c r="Q3" s="18"/>
      <c r="R3" s="18"/>
      <c r="S3" s="18"/>
      <c r="T3" s="18"/>
      <c r="U3" s="18"/>
      <c r="V3" s="19"/>
      <c r="W3" s="20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spans="1:47" ht="14.25" customHeight="1">
      <c r="A4" s="10" t="s">
        <v>17</v>
      </c>
      <c r="B4" s="56"/>
      <c r="C4" s="54"/>
      <c r="D4" s="17"/>
      <c r="F4" s="17"/>
      <c r="G4" s="54"/>
      <c r="H4" s="54"/>
      <c r="I4" s="17"/>
      <c r="J4" s="17"/>
      <c r="K4" s="17"/>
      <c r="L4" s="17"/>
      <c r="M4" s="17"/>
      <c r="N4" s="17"/>
      <c r="O4" s="17"/>
      <c r="P4" s="18"/>
      <c r="Q4" s="18"/>
      <c r="R4" s="18"/>
      <c r="S4" s="18"/>
      <c r="T4" s="18"/>
      <c r="U4" s="18"/>
      <c r="V4" s="19"/>
      <c r="W4" s="20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spans="1:47" ht="14.25" customHeight="1">
      <c r="A5" s="10" t="s">
        <v>18</v>
      </c>
      <c r="B5" s="56"/>
      <c r="C5" s="54"/>
      <c r="D5" s="17"/>
      <c r="F5" s="17"/>
      <c r="G5" s="54"/>
      <c r="H5" s="54"/>
      <c r="I5" s="17"/>
      <c r="J5" s="17"/>
      <c r="K5" s="17"/>
      <c r="L5" s="17"/>
      <c r="M5" s="17"/>
      <c r="N5" s="17"/>
      <c r="O5" s="17"/>
      <c r="P5" s="18"/>
      <c r="Q5" s="18"/>
      <c r="R5" s="18"/>
      <c r="S5" s="18"/>
      <c r="T5" s="18"/>
      <c r="U5" s="18"/>
      <c r="V5" s="19"/>
      <c r="W5" s="20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spans="1:47" ht="14.25" customHeight="1">
      <c r="A6" s="10" t="s">
        <v>19</v>
      </c>
      <c r="B6" s="56"/>
      <c r="C6" s="54"/>
      <c r="D6" s="17"/>
      <c r="F6" s="17"/>
      <c r="G6" s="54"/>
      <c r="H6" s="54"/>
      <c r="I6" s="17"/>
      <c r="J6" s="17"/>
      <c r="K6" s="17"/>
      <c r="L6" s="17"/>
      <c r="M6" s="17"/>
      <c r="N6" s="17"/>
      <c r="O6" s="17"/>
      <c r="P6" s="18"/>
      <c r="Q6" s="18"/>
      <c r="R6" s="18"/>
      <c r="S6" s="18"/>
      <c r="T6" s="18"/>
      <c r="U6" s="18"/>
      <c r="V6" s="19"/>
      <c r="W6" s="20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spans="1:47" ht="14.25" customHeight="1">
      <c r="A7" s="10" t="s">
        <v>20</v>
      </c>
      <c r="B7" s="56">
        <f>habitat_t!B7</f>
        <v>45210</v>
      </c>
      <c r="C7" s="54">
        <f>habitat_t!C7</f>
        <v>2</v>
      </c>
      <c r="D7" s="11" t="str">
        <f>habitat_t!D7</f>
        <v>Barro Branco</v>
      </c>
      <c r="E7" s="11" t="str">
        <f>habitat_t!E7</f>
        <v>Barro Branco Médio</v>
      </c>
      <c r="F7" s="11" t="str">
        <f>habitat_t!F7</f>
        <v>Rio</v>
      </c>
      <c r="G7" s="54">
        <f>habitat_t!G7</f>
        <v>5</v>
      </c>
      <c r="H7" s="54">
        <f>habitat_t!H7</f>
        <v>1</v>
      </c>
      <c r="I7" s="54" t="str">
        <f>habitat_t!I7</f>
        <v>n/a</v>
      </c>
      <c r="J7" s="57" t="s">
        <v>127</v>
      </c>
      <c r="K7" s="18" t="s">
        <v>128</v>
      </c>
      <c r="L7" s="18" t="s">
        <v>128</v>
      </c>
      <c r="M7" s="18" t="s">
        <v>128</v>
      </c>
      <c r="N7" s="18" t="s">
        <v>128</v>
      </c>
      <c r="O7" s="18" t="s">
        <v>128</v>
      </c>
      <c r="P7" s="18" t="s">
        <v>128</v>
      </c>
      <c r="Q7" s="18">
        <f>AVERAGE(habitat_t!Q7:Q9)</f>
        <v>25.766666666666666</v>
      </c>
      <c r="R7" s="18">
        <f>AVERAGE(habitat_t!R7:R9)</f>
        <v>8.1333333333333346</v>
      </c>
      <c r="S7" s="18" t="e">
        <f>AVERAGE(habitat_t!S7:S9)</f>
        <v>#DIV/0!</v>
      </c>
      <c r="T7" s="18">
        <f>AVERAGE(habitat_t!T7:T9)</f>
        <v>146.43333333333331</v>
      </c>
      <c r="U7" s="18">
        <f>AVERAGE(habitat_t!U7:U9)</f>
        <v>7.39</v>
      </c>
      <c r="V7" s="18">
        <f>AVERAGE(habitat_t!V7:V9)</f>
        <v>6.9799999999999995</v>
      </c>
      <c r="W7" s="18" t="e">
        <f>AVERAGE(habitat_t!W7:W9)</f>
        <v>#DIV/0!</v>
      </c>
      <c r="X7" s="18">
        <f>AVERAGE(habitat_t!X7:X9)</f>
        <v>107.07</v>
      </c>
      <c r="Y7" s="18">
        <f>AVERAGE(habitat_t!Y7:Y9)</f>
        <v>0</v>
      </c>
      <c r="Z7" s="18">
        <f>AVERAGE(habitat_t!Z7:Z9)</f>
        <v>1.1666666666666667</v>
      </c>
      <c r="AA7" s="18">
        <f>AVERAGE(habitat_t!AA7:AA9)</f>
        <v>16</v>
      </c>
      <c r="AB7" s="18">
        <f>AVERAGE(habitat_t!AB7:AB9)</f>
        <v>13.666666666666666</v>
      </c>
      <c r="AC7" s="18">
        <f>AVERAGE(habitat_t!AC7:AC9)</f>
        <v>16</v>
      </c>
      <c r="AD7" s="18">
        <f>AVERAGE(habitat_t!AD7:AD9)</f>
        <v>3.64</v>
      </c>
      <c r="AE7" s="18">
        <f>AVERAGE(habitat_t!AE7:AE9)</f>
        <v>100</v>
      </c>
      <c r="AF7" s="18">
        <f>AVERAGE(habitat_t!AF7:AF9)</f>
        <v>0</v>
      </c>
      <c r="AG7" s="18">
        <f>AVERAGE(habitat_t!AG7:AG9)</f>
        <v>0</v>
      </c>
      <c r="AH7" s="18">
        <f>AVERAGE(habitat_t!AH7:AH9)</f>
        <v>0</v>
      </c>
      <c r="AI7" s="18">
        <f>AVERAGE(habitat_t!AI7:AI9)</f>
        <v>0</v>
      </c>
      <c r="AJ7" s="18">
        <f>AVERAGE(habitat_t!AJ7:AJ9)</f>
        <v>0</v>
      </c>
      <c r="AK7" s="18">
        <f>AVERAGE(habitat_t!AK7:AK9)</f>
        <v>0</v>
      </c>
      <c r="AL7" s="18">
        <f>AVERAGE(habitat_t!AL7:AL9)</f>
        <v>5</v>
      </c>
      <c r="AM7" s="18">
        <f>AVERAGE(habitat_t!AM7:AM9)</f>
        <v>0</v>
      </c>
      <c r="AN7" s="18">
        <f>AVERAGE(habitat_t!AN7:AN9)</f>
        <v>5</v>
      </c>
      <c r="AO7" s="18">
        <f>AVERAGE(habitat_t!AO7:AO9)</f>
        <v>90</v>
      </c>
      <c r="AP7" s="18">
        <f>AVERAGE(habitat_t!AP7:AP9)</f>
        <v>10</v>
      </c>
      <c r="AQ7" s="18">
        <f>AVERAGE(habitat_t!AQ7:AQ9)</f>
        <v>0</v>
      </c>
      <c r="AR7" s="18">
        <f>AVERAGE(habitat_t!AR7:AR9)</f>
        <v>5</v>
      </c>
      <c r="AS7" s="18">
        <f>AVERAGE(habitat_t!AS7:AS9)</f>
        <v>0</v>
      </c>
      <c r="AT7" s="18">
        <f>AVERAGE(habitat_t!AT7:AT9)</f>
        <v>20</v>
      </c>
      <c r="AU7" s="18">
        <f>AVERAGE(habitat_t!AU7:AU9)</f>
        <v>10</v>
      </c>
    </row>
    <row r="8" spans="1:47" ht="14.25" customHeight="1">
      <c r="A8" s="10" t="s">
        <v>27</v>
      </c>
      <c r="B8" s="56">
        <f>habitat_t!B10</f>
        <v>45210</v>
      </c>
      <c r="C8" s="54">
        <f>habitat_t!C10</f>
        <v>2</v>
      </c>
      <c r="D8" s="11" t="str">
        <f>habitat_t!D10</f>
        <v>Barro Branco</v>
      </c>
      <c r="E8" s="11" t="str">
        <f>habitat_t!E10</f>
        <v>Barro Branco Médio</v>
      </c>
      <c r="F8" s="11" t="str">
        <f>habitat_t!F10</f>
        <v>Rio</v>
      </c>
      <c r="G8" s="54">
        <f>habitat_t!G10</f>
        <v>6</v>
      </c>
      <c r="H8" s="54">
        <f>habitat_t!H10</f>
        <v>1</v>
      </c>
      <c r="I8" s="54" t="str">
        <f>habitat_t!I10</f>
        <v>n/a</v>
      </c>
      <c r="J8" s="57" t="s">
        <v>127</v>
      </c>
      <c r="K8" s="18" t="s">
        <v>128</v>
      </c>
      <c r="L8" s="18" t="s">
        <v>128</v>
      </c>
      <c r="M8" s="18" t="s">
        <v>128</v>
      </c>
      <c r="N8" s="18" t="s">
        <v>128</v>
      </c>
      <c r="O8" s="18" t="s">
        <v>128</v>
      </c>
      <c r="P8" s="18" t="s">
        <v>128</v>
      </c>
      <c r="Q8" s="18">
        <f>AVERAGE(habitat_t!Q10:Q12)</f>
        <v>26.533333333333331</v>
      </c>
      <c r="R8" s="18">
        <f>AVERAGE(habitat_t!R10:R12)</f>
        <v>7.5333333333333341</v>
      </c>
      <c r="S8" s="18" t="e">
        <f>AVERAGE(habitat_t!S10:S12)</f>
        <v>#DIV/0!</v>
      </c>
      <c r="T8" s="18">
        <f>AVERAGE(habitat_t!T10:T12)</f>
        <v>148.33333333333334</v>
      </c>
      <c r="U8" s="18">
        <f>AVERAGE(habitat_t!U10:U12)</f>
        <v>6.12</v>
      </c>
      <c r="V8" s="18">
        <f>AVERAGE(habitat_t!V10:V12)</f>
        <v>6.81</v>
      </c>
      <c r="W8" s="18" t="e">
        <f>AVERAGE(habitat_t!W10:W12)</f>
        <v>#DIV/0!</v>
      </c>
      <c r="X8" s="18">
        <f>AVERAGE(habitat_t!X10:X12)</f>
        <v>112.83999999999999</v>
      </c>
      <c r="Y8" s="18">
        <f>AVERAGE(habitat_t!Y10:Y12)</f>
        <v>3.521953510213665E-2</v>
      </c>
      <c r="Z8" s="18">
        <f>AVERAGE(habitat_t!Z10:Z12)</f>
        <v>2.5</v>
      </c>
      <c r="AA8" s="18">
        <f>AVERAGE(habitat_t!AA10:AA12)</f>
        <v>30.333333333333332</v>
      </c>
      <c r="AB8" s="18">
        <f>AVERAGE(habitat_t!AB10:AB12)</f>
        <v>23</v>
      </c>
      <c r="AC8" s="18">
        <f>AVERAGE(habitat_t!AC10:AC12)</f>
        <v>30</v>
      </c>
      <c r="AD8" s="18">
        <f>AVERAGE(habitat_t!AD10:AD12)</f>
        <v>3.7000000000000006</v>
      </c>
      <c r="AE8" s="18">
        <f>AVERAGE(habitat_t!AE10:AE12)</f>
        <v>100</v>
      </c>
      <c r="AF8" s="18">
        <f>AVERAGE(habitat_t!AF10:AF12)</f>
        <v>0</v>
      </c>
      <c r="AG8" s="18">
        <f>AVERAGE(habitat_t!AG10:AG12)</f>
        <v>0</v>
      </c>
      <c r="AH8" s="18">
        <f>AVERAGE(habitat_t!AH10:AH12)</f>
        <v>0</v>
      </c>
      <c r="AI8" s="18">
        <f>AVERAGE(habitat_t!AI10:AI12)</f>
        <v>0</v>
      </c>
      <c r="AJ8" s="18">
        <f>AVERAGE(habitat_t!AJ10:AJ12)</f>
        <v>0</v>
      </c>
      <c r="AK8" s="18">
        <f>AVERAGE(habitat_t!AK10:AK12)</f>
        <v>0</v>
      </c>
      <c r="AL8" s="18">
        <f>AVERAGE(habitat_t!AL10:AL12)</f>
        <v>20</v>
      </c>
      <c r="AM8" s="18">
        <f>AVERAGE(habitat_t!AM10:AM12)</f>
        <v>5</v>
      </c>
      <c r="AN8" s="18">
        <f>AVERAGE(habitat_t!AN10:AN12)</f>
        <v>8.3333333333333339</v>
      </c>
      <c r="AO8" s="18">
        <f>AVERAGE(habitat_t!AO10:AO12)</f>
        <v>81.666666666666671</v>
      </c>
      <c r="AP8" s="18">
        <f>AVERAGE(habitat_t!AP10:AP12)</f>
        <v>3.6666666666666665</v>
      </c>
      <c r="AQ8" s="18">
        <f>AVERAGE(habitat_t!AQ10:AQ12)</f>
        <v>0</v>
      </c>
      <c r="AR8" s="18">
        <f>AVERAGE(habitat_t!AR10:AR12)</f>
        <v>0.33333333333333331</v>
      </c>
      <c r="AS8" s="18">
        <f>AVERAGE(habitat_t!AS10:AS12)</f>
        <v>8.3333333333333339</v>
      </c>
      <c r="AT8" s="18">
        <f>AVERAGE(habitat_t!AT10:AT12)</f>
        <v>0.33333333333333331</v>
      </c>
      <c r="AU8" s="18">
        <f>AVERAGE(habitat_t!AU10:AU12)</f>
        <v>5</v>
      </c>
    </row>
    <row r="9" spans="1:47" ht="14.25" customHeight="1">
      <c r="A9" s="10" t="s">
        <v>31</v>
      </c>
      <c r="B9" s="56">
        <f>habitat_t!B13</f>
        <v>45210</v>
      </c>
      <c r="C9" s="54">
        <f>habitat_t!C13</f>
        <v>2</v>
      </c>
      <c r="D9" s="11" t="str">
        <f>habitat_t!D13</f>
        <v>Barro Branco</v>
      </c>
      <c r="E9" s="11" t="str">
        <f>habitat_t!E13</f>
        <v>Barro Branco Médio</v>
      </c>
      <c r="F9" s="11" t="str">
        <f>habitat_t!F13</f>
        <v>Rio</v>
      </c>
      <c r="G9" s="54">
        <f>habitat_t!G13</f>
        <v>7</v>
      </c>
      <c r="H9" s="54">
        <f>habitat_t!H13</f>
        <v>1</v>
      </c>
      <c r="I9" s="54" t="str">
        <f>habitat_t!I13</f>
        <v>n/a</v>
      </c>
      <c r="J9" s="57" t="s">
        <v>127</v>
      </c>
      <c r="K9" s="18" t="s">
        <v>128</v>
      </c>
      <c r="L9" s="18" t="s">
        <v>128</v>
      </c>
      <c r="M9" s="18" t="s">
        <v>128</v>
      </c>
      <c r="N9" s="18" t="s">
        <v>128</v>
      </c>
      <c r="O9" s="18" t="s">
        <v>128</v>
      </c>
      <c r="P9" s="18" t="s">
        <v>128</v>
      </c>
      <c r="Q9" s="18">
        <f>AVERAGE(habitat_t!Q13:Q15)</f>
        <v>25.233333333333334</v>
      </c>
      <c r="R9" s="18">
        <f>AVERAGE(habitat_t!R13:R15)</f>
        <v>7.8666666666666671</v>
      </c>
      <c r="S9" s="18" t="e">
        <f>AVERAGE(habitat_t!S13:S15)</f>
        <v>#DIV/0!</v>
      </c>
      <c r="T9" s="18">
        <f>AVERAGE(habitat_t!T13:T15)</f>
        <v>128.99333333333334</v>
      </c>
      <c r="U9" s="18">
        <f>AVERAGE(habitat_t!U13:U15)</f>
        <v>4.4266666666666667</v>
      </c>
      <c r="V9" s="18">
        <f>AVERAGE(habitat_t!V13:V15)</f>
        <v>5.4533333333333331</v>
      </c>
      <c r="W9" s="18" t="e">
        <f>AVERAGE(habitat_t!W13:W15)</f>
        <v>#DIV/0!</v>
      </c>
      <c r="X9" s="18">
        <f>AVERAGE(habitat_t!X13:X15)</f>
        <v>89.046999999999983</v>
      </c>
      <c r="Y9" s="18">
        <f>AVERAGE(habitat_t!Y13:Y15)</f>
        <v>7.2611336839106116E-2</v>
      </c>
      <c r="Z9" s="18">
        <f>AVERAGE(habitat_t!Z13:Z15)</f>
        <v>2.1666666666666665</v>
      </c>
      <c r="AA9" s="18">
        <f>AVERAGE(habitat_t!AA13:AA15)</f>
        <v>22.666666666666668</v>
      </c>
      <c r="AB9" s="18">
        <f>AVERAGE(habitat_t!AB13:AB15)</f>
        <v>19.666666666666668</v>
      </c>
      <c r="AC9" s="18">
        <f>AVERAGE(habitat_t!AC13:AC15)</f>
        <v>28.666666666666668</v>
      </c>
      <c r="AD9" s="18">
        <f>AVERAGE(habitat_t!AD13:AD15)</f>
        <v>1.68</v>
      </c>
      <c r="AE9" s="18">
        <f>AVERAGE(habitat_t!AE13:AE15)</f>
        <v>90</v>
      </c>
      <c r="AF9" s="18">
        <f>AVERAGE(habitat_t!AF13:AF15)</f>
        <v>10</v>
      </c>
      <c r="AG9" s="18">
        <f>AVERAGE(habitat_t!AG13:AG15)</f>
        <v>0</v>
      </c>
      <c r="AH9" s="18">
        <f>AVERAGE(habitat_t!AH13:AH15)</f>
        <v>0</v>
      </c>
      <c r="AI9" s="18">
        <f>AVERAGE(habitat_t!AI13:AI15)</f>
        <v>0</v>
      </c>
      <c r="AJ9" s="18">
        <f>AVERAGE(habitat_t!AJ13:AJ15)</f>
        <v>0</v>
      </c>
      <c r="AK9" s="18">
        <f>AVERAGE(habitat_t!AK13:AK15)</f>
        <v>0</v>
      </c>
      <c r="AL9" s="18">
        <f>AVERAGE(habitat_t!AL13:AL15)</f>
        <v>0</v>
      </c>
      <c r="AM9" s="18">
        <f>AVERAGE(habitat_t!AM13:AM15)</f>
        <v>2</v>
      </c>
      <c r="AN9" s="18">
        <f>AVERAGE(habitat_t!AN13:AN15)</f>
        <v>3.3333333333333335</v>
      </c>
      <c r="AO9" s="18">
        <f>AVERAGE(habitat_t!AO13:AO15)</f>
        <v>85</v>
      </c>
      <c r="AP9" s="18">
        <f>AVERAGE(habitat_t!AP13:AP15)</f>
        <v>20</v>
      </c>
      <c r="AQ9" s="18">
        <f>AVERAGE(habitat_t!AQ13:AQ15)</f>
        <v>8.6666666666666661</v>
      </c>
      <c r="AR9" s="18">
        <f>AVERAGE(habitat_t!AR13:AR15)</f>
        <v>2.3333333333333335</v>
      </c>
      <c r="AS9" s="18">
        <f>AVERAGE(habitat_t!AS13:AS15)</f>
        <v>10</v>
      </c>
      <c r="AT9" s="18">
        <f>AVERAGE(habitat_t!AT13:AT15)</f>
        <v>6.666666666666667</v>
      </c>
      <c r="AU9" s="18">
        <f>AVERAGE(habitat_t!AU13:AU15)</f>
        <v>3.6666666666666665</v>
      </c>
    </row>
    <row r="10" spans="1:47" ht="14.25" customHeight="1">
      <c r="A10" s="10" t="s">
        <v>33</v>
      </c>
      <c r="B10" s="56">
        <f>habitat_t!B16</f>
        <v>45168</v>
      </c>
      <c r="C10" s="54">
        <f>habitat_t!C16</f>
        <v>1</v>
      </c>
      <c r="D10" s="11" t="str">
        <f>habitat_t!D16</f>
        <v>Barro Branco</v>
      </c>
      <c r="E10" s="11" t="str">
        <f>habitat_t!E16</f>
        <v>Barro Branco Médio</v>
      </c>
      <c r="F10" s="11" t="str">
        <f>habitat_t!F16</f>
        <v>Rio</v>
      </c>
      <c r="G10" s="54">
        <f>habitat_t!G16</f>
        <v>8</v>
      </c>
      <c r="H10" s="54">
        <f>habitat_t!H16</f>
        <v>4</v>
      </c>
      <c r="I10" s="54" t="str">
        <f>habitat_t!I16</f>
        <v>n/a</v>
      </c>
      <c r="J10" s="57" t="s">
        <v>127</v>
      </c>
      <c r="K10" s="18" t="s">
        <v>129</v>
      </c>
      <c r="L10" s="18" t="s">
        <v>129</v>
      </c>
      <c r="M10" s="18" t="s">
        <v>129</v>
      </c>
      <c r="N10" s="18" t="s">
        <v>129</v>
      </c>
      <c r="O10" s="18" t="s">
        <v>129</v>
      </c>
      <c r="P10" s="18" t="s">
        <v>129</v>
      </c>
      <c r="Q10" s="18">
        <f>AVERAGE(habitat_t!Q16:Q18)</f>
        <v>27.766666666666666</v>
      </c>
      <c r="R10" s="18">
        <f>AVERAGE(habitat_t!R16:R18)</f>
        <v>7.5333333333333341</v>
      </c>
      <c r="S10" s="18" t="e">
        <f>AVERAGE(habitat_t!S16:S18)</f>
        <v>#DIV/0!</v>
      </c>
      <c r="T10" s="18">
        <f>AVERAGE(habitat_t!T16:T18)</f>
        <v>160.63333333333335</v>
      </c>
      <c r="U10" s="18">
        <f>AVERAGE(habitat_t!U16:U18)</f>
        <v>6.3966666666666656</v>
      </c>
      <c r="V10" s="18">
        <f>AVERAGE(habitat_t!V16:V18)</f>
        <v>5.9333333333333336</v>
      </c>
      <c r="W10" s="18" t="e">
        <f>AVERAGE(habitat_t!W16:W18)</f>
        <v>#DIV/0!</v>
      </c>
      <c r="X10" s="18">
        <f>AVERAGE(habitat_t!X16:X18)</f>
        <v>89.059000000000012</v>
      </c>
      <c r="Y10" s="18">
        <f>AVERAGE(habitat_t!Y16:Y18)</f>
        <v>3.8251366120218587E-2</v>
      </c>
      <c r="Z10" s="18">
        <f>AVERAGE(habitat_t!Z16:Z18)</f>
        <v>2</v>
      </c>
      <c r="AA10" s="18">
        <f>AVERAGE(habitat_t!AA16:AA18)</f>
        <v>50</v>
      </c>
      <c r="AB10" s="18">
        <f>AVERAGE(habitat_t!AB16:AB18)</f>
        <v>44.222222222222229</v>
      </c>
      <c r="AC10" s="18">
        <f>AVERAGE(habitat_t!AC16:AC18)</f>
        <v>52.666666666666664</v>
      </c>
      <c r="AD10" s="18">
        <f>AVERAGE(habitat_t!AD16:AD18)</f>
        <v>10.416666666666666</v>
      </c>
      <c r="AE10" s="18">
        <f>AVERAGE(habitat_t!AE16:AE18)</f>
        <v>60</v>
      </c>
      <c r="AF10" s="18">
        <f>AVERAGE(habitat_t!AF16:AF18)</f>
        <v>40</v>
      </c>
      <c r="AG10" s="18">
        <f>AVERAGE(habitat_t!AG16:AG18)</f>
        <v>0</v>
      </c>
      <c r="AH10" s="18">
        <f>AVERAGE(habitat_t!AH16:AH18)</f>
        <v>0</v>
      </c>
      <c r="AI10" s="18">
        <f>AVERAGE(habitat_t!AI16:AI18)</f>
        <v>0</v>
      </c>
      <c r="AJ10" s="18">
        <f>AVERAGE(habitat_t!AJ16:AJ18)</f>
        <v>0</v>
      </c>
      <c r="AK10" s="18">
        <f>AVERAGE(habitat_t!AK16:AK18)</f>
        <v>0</v>
      </c>
      <c r="AL10" s="18">
        <f>AVERAGE(habitat_t!AL16:AL18)</f>
        <v>35.833333333333336</v>
      </c>
      <c r="AM10" s="18">
        <f>AVERAGE(habitat_t!AM16:AM18)</f>
        <v>39.166666666666664</v>
      </c>
      <c r="AN10" s="18">
        <f>AVERAGE(habitat_t!AN16:AN18)</f>
        <v>3.3333333333333335</v>
      </c>
      <c r="AO10" s="18">
        <f>AVERAGE(habitat_t!AO16:AO18)</f>
        <v>30</v>
      </c>
      <c r="AP10" s="18">
        <f>AVERAGE(habitat_t!AP16:AP18)</f>
        <v>26.666666666666668</v>
      </c>
      <c r="AQ10" s="18">
        <f>AVERAGE(habitat_t!AQ16:AQ18)</f>
        <v>16.666666666666668</v>
      </c>
      <c r="AR10" s="18">
        <f>AVERAGE(habitat_t!AR16:AR18)</f>
        <v>11.666666666666666</v>
      </c>
      <c r="AS10" s="18">
        <f>AVERAGE(habitat_t!AS16:AS18)</f>
        <v>0</v>
      </c>
      <c r="AT10" s="18">
        <f>AVERAGE(habitat_t!AT16:AT18)</f>
        <v>11.666666666666666</v>
      </c>
      <c r="AU10" s="18">
        <f>AVERAGE(habitat_t!AU16:AU18)</f>
        <v>15</v>
      </c>
    </row>
    <row r="11" spans="1:47" ht="14.25" customHeight="1">
      <c r="A11" s="10" t="s">
        <v>39</v>
      </c>
      <c r="B11" s="56">
        <f>habitat_t!B19</f>
        <v>45168</v>
      </c>
      <c r="C11" s="54">
        <f>habitat_t!C19</f>
        <v>1</v>
      </c>
      <c r="D11" s="11" t="str">
        <f>habitat_t!D19</f>
        <v>Barro Branco</v>
      </c>
      <c r="E11" s="11" t="str">
        <f>habitat_t!E19</f>
        <v>Barro Branco Médio</v>
      </c>
      <c r="F11" s="11" t="str">
        <f>habitat_t!F19</f>
        <v>Rio</v>
      </c>
      <c r="G11" s="54">
        <f>habitat_t!G19</f>
        <v>9</v>
      </c>
      <c r="H11" s="54">
        <f>habitat_t!H19</f>
        <v>3</v>
      </c>
      <c r="I11" s="54" t="str">
        <f>habitat_t!I19</f>
        <v>n/a</v>
      </c>
      <c r="J11" s="57" t="s">
        <v>127</v>
      </c>
      <c r="K11" s="18" t="s">
        <v>129</v>
      </c>
      <c r="L11" s="18" t="s">
        <v>129</v>
      </c>
      <c r="M11" s="18" t="s">
        <v>129</v>
      </c>
      <c r="N11" s="18" t="s">
        <v>129</v>
      </c>
      <c r="O11" s="18" t="s">
        <v>129</v>
      </c>
      <c r="P11" s="18" t="s">
        <v>129</v>
      </c>
      <c r="Q11" s="18">
        <f>AVERAGE(habitat_t!Q19:Q21)</f>
        <v>26.933333333333337</v>
      </c>
      <c r="R11" s="18">
        <f>AVERAGE(habitat_t!R19:R21)</f>
        <v>7.8666666666666671</v>
      </c>
      <c r="S11" s="18" t="e">
        <f>AVERAGE(habitat_t!S19:S21)</f>
        <v>#DIV/0!</v>
      </c>
      <c r="T11" s="18">
        <f>AVERAGE(habitat_t!T19:T21)</f>
        <v>163.29999999999998</v>
      </c>
      <c r="U11" s="18">
        <f>AVERAGE(habitat_t!U19:U21)</f>
        <v>17.466666666666665</v>
      </c>
      <c r="V11" s="18">
        <f>AVERAGE(habitat_t!V19:V21)</f>
        <v>6.59</v>
      </c>
      <c r="W11" s="18" t="e">
        <f>AVERAGE(habitat_t!W19:W21)</f>
        <v>#DIV/0!</v>
      </c>
      <c r="X11" s="18">
        <f>AVERAGE(habitat_t!X19:X21)</f>
        <v>71.022999999999996</v>
      </c>
      <c r="Y11" s="18">
        <f>AVERAGE(habitat_t!Y19:Y21)</f>
        <v>0.2926086956521739</v>
      </c>
      <c r="Z11" s="18">
        <f>AVERAGE(habitat_t!Z19:Z21)</f>
        <v>2.6666666666666665</v>
      </c>
      <c r="AA11" s="18">
        <f>AVERAGE(habitat_t!AA19:AA21)</f>
        <v>21</v>
      </c>
      <c r="AB11" s="18">
        <f>AVERAGE(habitat_t!AB19:AB21)</f>
        <v>16.777777777777775</v>
      </c>
      <c r="AC11" s="18">
        <f>AVERAGE(habitat_t!AC19:AC21)</f>
        <v>20</v>
      </c>
      <c r="AD11" s="18">
        <f>AVERAGE(habitat_t!AD19:AD21)</f>
        <v>1.2466666666666668</v>
      </c>
      <c r="AE11" s="18">
        <f>AVERAGE(habitat_t!AE19:AE21)</f>
        <v>70</v>
      </c>
      <c r="AF11" s="18">
        <f>AVERAGE(habitat_t!AF19:AF21)</f>
        <v>30</v>
      </c>
      <c r="AG11" s="18">
        <f>AVERAGE(habitat_t!AG19:AG21)</f>
        <v>0</v>
      </c>
      <c r="AH11" s="18">
        <f>AVERAGE(habitat_t!AH19:AH21)</f>
        <v>0</v>
      </c>
      <c r="AI11" s="18">
        <f>AVERAGE(habitat_t!AI19:AI21)</f>
        <v>0</v>
      </c>
      <c r="AJ11" s="18">
        <f>AVERAGE(habitat_t!AJ19:AJ21)</f>
        <v>0</v>
      </c>
      <c r="AK11" s="18">
        <f>AVERAGE(habitat_t!AK19:AK21)</f>
        <v>0</v>
      </c>
      <c r="AL11" s="18">
        <f>AVERAGE(habitat_t!AL19:AL21)</f>
        <v>0</v>
      </c>
      <c r="AM11" s="18">
        <f>AVERAGE(habitat_t!AM19:AM21)</f>
        <v>0</v>
      </c>
      <c r="AN11" s="18">
        <f>AVERAGE(habitat_t!AN19:AN21)</f>
        <v>16.666666666666668</v>
      </c>
      <c r="AO11" s="18">
        <f>AVERAGE(habitat_t!AO19:AO21)</f>
        <v>70</v>
      </c>
      <c r="AP11" s="18">
        <f>AVERAGE(habitat_t!AP19:AP21)</f>
        <v>13.666666666666666</v>
      </c>
      <c r="AQ11" s="18">
        <f>AVERAGE(habitat_t!AQ19:AQ21)</f>
        <v>0</v>
      </c>
      <c r="AR11" s="18">
        <f>AVERAGE(habitat_t!AR19:AR21)</f>
        <v>0</v>
      </c>
      <c r="AS11" s="18">
        <f>AVERAGE(habitat_t!AS19:AS21)</f>
        <v>76.666666666666671</v>
      </c>
      <c r="AT11" s="18">
        <f>AVERAGE(habitat_t!AT19:AT21)</f>
        <v>3.3333333333333335</v>
      </c>
      <c r="AU11" s="18">
        <f>AVERAGE(habitat_t!AU19:AU21)</f>
        <v>13.666666666666666</v>
      </c>
    </row>
    <row r="12" spans="1:47" ht="14.25" customHeight="1">
      <c r="A12" s="10" t="s">
        <v>43</v>
      </c>
      <c r="B12" s="56">
        <f>habitat_t!B22</f>
        <v>45168</v>
      </c>
      <c r="C12" s="54">
        <f>habitat_t!C22</f>
        <v>1</v>
      </c>
      <c r="D12" s="11" t="str">
        <f>habitat_t!D22</f>
        <v>Barro Branco</v>
      </c>
      <c r="E12" s="11" t="str">
        <f>habitat_t!E22</f>
        <v>Barro Branco Baixo</v>
      </c>
      <c r="F12" s="11" t="str">
        <f>habitat_t!F22</f>
        <v>Rio</v>
      </c>
      <c r="G12" s="54">
        <f>habitat_t!G22</f>
        <v>10</v>
      </c>
      <c r="H12" s="54">
        <f>habitat_t!H22</f>
        <v>4</v>
      </c>
      <c r="I12" s="54" t="str">
        <f>habitat_t!I22</f>
        <v>n/a</v>
      </c>
      <c r="J12" s="57" t="s">
        <v>127</v>
      </c>
      <c r="K12" s="18" t="s">
        <v>129</v>
      </c>
      <c r="L12" s="18" t="s">
        <v>129</v>
      </c>
      <c r="M12" s="18" t="s">
        <v>129</v>
      </c>
      <c r="N12" s="18" t="s">
        <v>129</v>
      </c>
      <c r="O12" s="18" t="s">
        <v>129</v>
      </c>
      <c r="P12" s="18" t="s">
        <v>129</v>
      </c>
      <c r="Q12" s="18">
        <f>AVERAGE(habitat_t!Q22:Q24)</f>
        <v>26.333333333333332</v>
      </c>
      <c r="R12" s="18">
        <f>AVERAGE(habitat_t!R22:R24)</f>
        <v>5.3666666666666671</v>
      </c>
      <c r="S12" s="18" t="e">
        <f>AVERAGE(habitat_t!S22:S24)</f>
        <v>#DIV/0!</v>
      </c>
      <c r="T12" s="18">
        <f>AVERAGE(habitat_t!T22:T24)</f>
        <v>154.26666666666668</v>
      </c>
      <c r="U12" s="18">
        <f>AVERAGE(habitat_t!U22:U24)</f>
        <v>29.633333333333336</v>
      </c>
      <c r="V12" s="18">
        <f>AVERAGE(habitat_t!V22:V24)</f>
        <v>6.8599999999999994</v>
      </c>
      <c r="W12" s="18" t="e">
        <f>AVERAGE(habitat_t!W22:W24)</f>
        <v>#DIV/0!</v>
      </c>
      <c r="X12" s="18">
        <f>AVERAGE(habitat_t!X22:X24)</f>
        <v>41.473999999999997</v>
      </c>
      <c r="Y12" s="18">
        <f>AVERAGE(habitat_t!Y22:Y24)</f>
        <v>2.197802197802198E-2</v>
      </c>
      <c r="Z12" s="18">
        <f>AVERAGE(habitat_t!Z22:Z24)</f>
        <v>1.5</v>
      </c>
      <c r="AA12" s="18">
        <f>AVERAGE(habitat_t!AA22:AA24)</f>
        <v>47</v>
      </c>
      <c r="AB12" s="18">
        <f>AVERAGE(habitat_t!AB22:AB24)</f>
        <v>40.666666666666664</v>
      </c>
      <c r="AC12" s="18">
        <f>AVERAGE(habitat_t!AC22:AC24)</f>
        <v>45.333333333333336</v>
      </c>
      <c r="AD12" s="18">
        <f>AVERAGE(habitat_t!AD22:AD24)</f>
        <v>7.2</v>
      </c>
      <c r="AE12" s="18">
        <f>AVERAGE(habitat_t!AE22:AE24)</f>
        <v>30</v>
      </c>
      <c r="AF12" s="18">
        <f>AVERAGE(habitat_t!AF22:AF24)</f>
        <v>70</v>
      </c>
      <c r="AG12" s="18">
        <f>AVERAGE(habitat_t!AG22:AG24)</f>
        <v>0</v>
      </c>
      <c r="AH12" s="18">
        <f>AVERAGE(habitat_t!AH22:AH24)</f>
        <v>0</v>
      </c>
      <c r="AI12" s="18">
        <f>AVERAGE(habitat_t!AI22:AI24)</f>
        <v>0</v>
      </c>
      <c r="AJ12" s="18">
        <f>AVERAGE(habitat_t!AJ22:AJ24)</f>
        <v>0</v>
      </c>
      <c r="AK12" s="18">
        <f>AVERAGE(habitat_t!AK22:AK24)</f>
        <v>0</v>
      </c>
      <c r="AL12" s="18">
        <f>AVERAGE(habitat_t!AL22:AL24)</f>
        <v>1.6666666666666667</v>
      </c>
      <c r="AM12" s="18">
        <f>AVERAGE(habitat_t!AM22:AM24)</f>
        <v>13.666666666666666</v>
      </c>
      <c r="AN12" s="18">
        <f>AVERAGE(habitat_t!AN22:AN24)</f>
        <v>5</v>
      </c>
      <c r="AO12" s="18">
        <f>AVERAGE(habitat_t!AO22:AO24)</f>
        <v>8.3333333333333339</v>
      </c>
      <c r="AP12" s="18">
        <f>AVERAGE(habitat_t!AP22:AP24)</f>
        <v>5.333333333333333</v>
      </c>
      <c r="AQ12" s="18">
        <f>AVERAGE(habitat_t!AQ22:AQ24)</f>
        <v>0</v>
      </c>
      <c r="AR12" s="18">
        <f>AVERAGE(habitat_t!AR22:AR24)</f>
        <v>0</v>
      </c>
      <c r="AS12" s="18">
        <f>AVERAGE(habitat_t!AS22:AS24)</f>
        <v>3.3333333333333335</v>
      </c>
      <c r="AT12" s="18">
        <f>AVERAGE(habitat_t!AT22:AT24)</f>
        <v>5</v>
      </c>
      <c r="AU12" s="18">
        <f>AVERAGE(habitat_t!AU22:AU24)</f>
        <v>10</v>
      </c>
    </row>
    <row r="13" spans="1:47" ht="14.25" customHeight="1">
      <c r="A13" s="10" t="s">
        <v>47</v>
      </c>
      <c r="B13" s="56">
        <f>habitat_t!B25</f>
        <v>45322</v>
      </c>
      <c r="C13" s="54">
        <f>habitat_t!C25</f>
        <v>5</v>
      </c>
      <c r="D13" s="21" t="str">
        <f>habitat_t!D25</f>
        <v>Caiana</v>
      </c>
      <c r="E13" s="21" t="str">
        <f>habitat_t!E25</f>
        <v>Poça</v>
      </c>
      <c r="F13" s="21" t="str">
        <f>habitat_t!F25</f>
        <v>Poça temporária</v>
      </c>
      <c r="G13" s="54">
        <f>habitat_t!G25</f>
        <v>11</v>
      </c>
      <c r="H13" s="54">
        <f>habitat_t!H25</f>
        <v>4</v>
      </c>
      <c r="I13" s="54" t="str">
        <f>habitat_t!I25</f>
        <v>n/a</v>
      </c>
      <c r="J13" s="57" t="s">
        <v>127</v>
      </c>
      <c r="K13" s="18" t="s">
        <v>129</v>
      </c>
      <c r="L13" s="18" t="s">
        <v>129</v>
      </c>
      <c r="M13" s="18" t="s">
        <v>129</v>
      </c>
      <c r="N13" s="18" t="s">
        <v>129</v>
      </c>
      <c r="O13" s="18" t="s">
        <v>129</v>
      </c>
      <c r="P13" s="18" t="s">
        <v>129</v>
      </c>
      <c r="Q13" s="18">
        <f>AVERAGE(habitat_t!Q25:Q27)</f>
        <v>0</v>
      </c>
      <c r="R13" s="18">
        <f>AVERAGE(habitat_t!R25:R27)</f>
        <v>0</v>
      </c>
      <c r="S13" s="18" t="e">
        <f>AVERAGE(habitat_t!S25:S27)</f>
        <v>#DIV/0!</v>
      </c>
      <c r="T13" s="18">
        <f>AVERAGE(habitat_t!T25:T27)</f>
        <v>0</v>
      </c>
      <c r="U13" s="18">
        <f>AVERAGE(habitat_t!U25:U27)</f>
        <v>0</v>
      </c>
      <c r="V13" s="18">
        <f>AVERAGE(habitat_t!V25:V27)</f>
        <v>0</v>
      </c>
      <c r="W13" s="18" t="e">
        <f>AVERAGE(habitat_t!W25:W27)</f>
        <v>#DIV/0!</v>
      </c>
      <c r="X13" s="18">
        <f>AVERAGE(habitat_t!X25:X27)</f>
        <v>96</v>
      </c>
      <c r="Y13" s="18">
        <f>AVERAGE(habitat_t!Y25:Y27)</f>
        <v>0</v>
      </c>
      <c r="Z13" s="18">
        <f>AVERAGE(habitat_t!Z25:Z27)</f>
        <v>2.5</v>
      </c>
      <c r="AA13" s="18">
        <f>AVERAGE(habitat_t!AA25:AA27)</f>
        <v>0</v>
      </c>
      <c r="AB13" s="18">
        <f>AVERAGE(habitat_t!AB25:AB27)</f>
        <v>0</v>
      </c>
      <c r="AC13" s="18">
        <f>AVERAGE(habitat_t!AC25:AC27)</f>
        <v>0</v>
      </c>
      <c r="AD13" s="18">
        <f>AVERAGE(habitat_t!AD25:AD27)</f>
        <v>15.893333333333333</v>
      </c>
      <c r="AE13" s="18">
        <f>AVERAGE(habitat_t!AE25:AE27)</f>
        <v>0</v>
      </c>
      <c r="AF13" s="18">
        <f>AVERAGE(habitat_t!AF25:AF27)</f>
        <v>100</v>
      </c>
      <c r="AG13" s="18">
        <f>AVERAGE(habitat_t!AG25:AG27)</f>
        <v>0</v>
      </c>
      <c r="AH13" s="18">
        <f>AVERAGE(habitat_t!AH25:AH27)</f>
        <v>0</v>
      </c>
      <c r="AI13" s="18">
        <f>AVERAGE(habitat_t!AI25:AI27)</f>
        <v>0</v>
      </c>
      <c r="AJ13" s="18">
        <f>AVERAGE(habitat_t!AJ25:AJ27)</f>
        <v>0</v>
      </c>
      <c r="AK13" s="18">
        <f>AVERAGE(habitat_t!AK25:AK27)</f>
        <v>0</v>
      </c>
      <c r="AL13" s="18">
        <f>AVERAGE(habitat_t!AL25:AL27)</f>
        <v>0</v>
      </c>
      <c r="AM13" s="18">
        <f>AVERAGE(habitat_t!AM25:AM27)</f>
        <v>0</v>
      </c>
      <c r="AN13" s="18">
        <f>AVERAGE(habitat_t!AN25:AN27)</f>
        <v>0</v>
      </c>
      <c r="AO13" s="18">
        <f>AVERAGE(habitat_t!AO25:AO27)</f>
        <v>0</v>
      </c>
      <c r="AP13" s="18">
        <f>AVERAGE(habitat_t!AP25:AP27)</f>
        <v>0</v>
      </c>
      <c r="AQ13" s="18">
        <f>AVERAGE(habitat_t!AQ25:AQ27)</f>
        <v>0</v>
      </c>
      <c r="AR13" s="18">
        <f>AVERAGE(habitat_t!AR25:AR27)</f>
        <v>0</v>
      </c>
      <c r="AS13" s="18">
        <f>AVERAGE(habitat_t!AS25:AS27)</f>
        <v>0</v>
      </c>
      <c r="AT13" s="18">
        <f>AVERAGE(habitat_t!AT25:AT27)</f>
        <v>0</v>
      </c>
      <c r="AU13" s="18">
        <f>AVERAGE(habitat_t!AU25:AU27)</f>
        <v>0</v>
      </c>
    </row>
    <row r="14" spans="1:47" ht="14.25" customHeight="1">
      <c r="A14" s="10" t="s">
        <v>48</v>
      </c>
      <c r="B14" s="56">
        <f>habitat_t!B28</f>
        <v>45322</v>
      </c>
      <c r="C14" s="54">
        <f>habitat_t!C28</f>
        <v>5</v>
      </c>
      <c r="D14" s="21" t="str">
        <f>habitat_t!D28</f>
        <v>Caiana</v>
      </c>
      <c r="E14" s="21" t="str">
        <f>habitat_t!E28</f>
        <v>Caiana Alto</v>
      </c>
      <c r="F14" s="21" t="str">
        <f>habitat_t!F28</f>
        <v>Rio</v>
      </c>
      <c r="G14" s="54">
        <f>habitat_t!G28</f>
        <v>12</v>
      </c>
      <c r="H14" s="54">
        <f>habitat_t!H28</f>
        <v>3</v>
      </c>
      <c r="I14" s="54" t="str">
        <f>habitat_t!I28</f>
        <v>n/a</v>
      </c>
      <c r="J14" s="57" t="s">
        <v>127</v>
      </c>
      <c r="K14" s="18" t="s">
        <v>129</v>
      </c>
      <c r="L14" s="18" t="s">
        <v>129</v>
      </c>
      <c r="M14" s="18" t="s">
        <v>129</v>
      </c>
      <c r="N14" s="18" t="s">
        <v>129</v>
      </c>
      <c r="O14" s="18" t="s">
        <v>129</v>
      </c>
      <c r="P14" s="18" t="s">
        <v>129</v>
      </c>
      <c r="Q14" s="18">
        <f>AVERAGE(habitat_t!Q28:Q30)</f>
        <v>26.866666666666664</v>
      </c>
      <c r="R14" s="18">
        <f>AVERAGE(habitat_t!R28:R30)</f>
        <v>7.666666666666667</v>
      </c>
      <c r="S14" s="18" t="e">
        <f>AVERAGE(habitat_t!S28:S30)</f>
        <v>#DIV/0!</v>
      </c>
      <c r="T14" s="18">
        <f>AVERAGE(habitat_t!T28:T30)</f>
        <v>124.26666666666667</v>
      </c>
      <c r="U14" s="18">
        <f>AVERAGE(habitat_t!U28:U30)</f>
        <v>6.666666666666667</v>
      </c>
      <c r="V14" s="18">
        <f>AVERAGE(habitat_t!V28:V30)</f>
        <v>6.1033333333333344</v>
      </c>
      <c r="W14" s="18" t="e">
        <f>AVERAGE(habitat_t!W28:W30)</f>
        <v>#DIV/0!</v>
      </c>
      <c r="X14" s="18">
        <f>AVERAGE(habitat_t!X28:X30)</f>
        <v>80</v>
      </c>
      <c r="Y14" s="18">
        <f>AVERAGE(habitat_t!Y28:Y30)</f>
        <v>0.1178287398904177</v>
      </c>
      <c r="Z14" s="18">
        <f>AVERAGE(habitat_t!Z28:Z30)</f>
        <v>1.3333333333333333</v>
      </c>
      <c r="AA14" s="18">
        <f>AVERAGE(habitat_t!AA28:AA30)</f>
        <v>12</v>
      </c>
      <c r="AB14" s="18">
        <f>AVERAGE(habitat_t!AB28:AB30)</f>
        <v>9.7777777777777768</v>
      </c>
      <c r="AC14" s="18">
        <f>AVERAGE(habitat_t!AC28:AC30)</f>
        <v>10</v>
      </c>
      <c r="AD14" s="18">
        <f>AVERAGE(habitat_t!AD28:AD30)</f>
        <v>0.60333333333333339</v>
      </c>
      <c r="AE14" s="18">
        <f>AVERAGE(habitat_t!AE28:AE30)</f>
        <v>90</v>
      </c>
      <c r="AF14" s="18">
        <f>AVERAGE(habitat_t!AF28:AF30)</f>
        <v>10</v>
      </c>
      <c r="AG14" s="18">
        <f>AVERAGE(habitat_t!AG28:AG30)</f>
        <v>0</v>
      </c>
      <c r="AH14" s="18">
        <f>AVERAGE(habitat_t!AH28:AH30)</f>
        <v>0</v>
      </c>
      <c r="AI14" s="18">
        <f>AVERAGE(habitat_t!AI28:AI30)</f>
        <v>0</v>
      </c>
      <c r="AJ14" s="18">
        <f>AVERAGE(habitat_t!AJ28:AJ30)</f>
        <v>0</v>
      </c>
      <c r="AK14" s="18">
        <f>AVERAGE(habitat_t!AK28:AK30)</f>
        <v>0</v>
      </c>
      <c r="AL14" s="18">
        <f>AVERAGE(habitat_t!AL28:AL30)</f>
        <v>0</v>
      </c>
      <c r="AM14" s="18">
        <f>AVERAGE(habitat_t!AM28:AM30)</f>
        <v>0</v>
      </c>
      <c r="AN14" s="18">
        <f>AVERAGE(habitat_t!AN28:AN30)</f>
        <v>0</v>
      </c>
      <c r="AO14" s="18">
        <f>AVERAGE(habitat_t!AO28:AO30)</f>
        <v>88.333333333333329</v>
      </c>
      <c r="AP14" s="18">
        <f>AVERAGE(habitat_t!AP28:AP30)</f>
        <v>10</v>
      </c>
      <c r="AQ14" s="18">
        <f>AVERAGE(habitat_t!AQ28:AQ30)</f>
        <v>0</v>
      </c>
      <c r="AR14" s="18">
        <f>AVERAGE(habitat_t!AR28:AR30)</f>
        <v>1.6666666666666667</v>
      </c>
      <c r="AS14" s="18">
        <f>AVERAGE(habitat_t!AS28:AS30)</f>
        <v>3.3333333333333335</v>
      </c>
      <c r="AT14" s="18">
        <f>AVERAGE(habitat_t!AT28:AT30)</f>
        <v>6.666666666666667</v>
      </c>
      <c r="AU14" s="18">
        <f>AVERAGE(habitat_t!AU28:AU30)</f>
        <v>7.666666666666667</v>
      </c>
    </row>
    <row r="15" spans="1:47" ht="14.25" customHeight="1">
      <c r="A15" s="10" t="s">
        <v>49</v>
      </c>
      <c r="B15" s="56">
        <f>habitat_t!B31</f>
        <v>45322</v>
      </c>
      <c r="C15" s="54">
        <f>habitat_t!C31</f>
        <v>5</v>
      </c>
      <c r="D15" s="21" t="str">
        <f>habitat_t!D31</f>
        <v>Caiana</v>
      </c>
      <c r="E15" s="21" t="str">
        <f>habitat_t!E31</f>
        <v>Caiana Alto</v>
      </c>
      <c r="F15" s="21" t="str">
        <f>habitat_t!F31</f>
        <v>Rio</v>
      </c>
      <c r="G15" s="54">
        <f>habitat_t!G31</f>
        <v>13</v>
      </c>
      <c r="H15" s="54">
        <f>habitat_t!H31</f>
        <v>3</v>
      </c>
      <c r="I15" s="54" t="str">
        <f>habitat_t!I31</f>
        <v>n/a</v>
      </c>
      <c r="J15" s="57" t="s">
        <v>127</v>
      </c>
      <c r="K15" s="18" t="s">
        <v>129</v>
      </c>
      <c r="L15" s="18" t="s">
        <v>129</v>
      </c>
      <c r="M15" s="18" t="s">
        <v>129</v>
      </c>
      <c r="N15" s="18" t="s">
        <v>129</v>
      </c>
      <c r="O15" s="18" t="s">
        <v>129</v>
      </c>
      <c r="P15" s="18" t="s">
        <v>129</v>
      </c>
      <c r="Q15" s="18">
        <f>AVERAGE(habitat_t!Q31:Q33)</f>
        <v>27.099999999999998</v>
      </c>
      <c r="R15" s="18">
        <f>AVERAGE(habitat_t!R31:R33)</f>
        <v>6.9666666666666659</v>
      </c>
      <c r="S15" s="18" t="e">
        <f>AVERAGE(habitat_t!S31:S33)</f>
        <v>#DIV/0!</v>
      </c>
      <c r="T15" s="18">
        <f>AVERAGE(habitat_t!T31:T33)</f>
        <v>116.33333333333333</v>
      </c>
      <c r="U15" s="18">
        <f>AVERAGE(habitat_t!U31:U33)</f>
        <v>6.666666666666667</v>
      </c>
      <c r="V15" s="18">
        <f>AVERAGE(habitat_t!V31:V33)</f>
        <v>6.0666666666666664</v>
      </c>
      <c r="W15" s="18" t="e">
        <f>AVERAGE(habitat_t!W31:W33)</f>
        <v>#DIV/0!</v>
      </c>
      <c r="X15" s="18">
        <f>AVERAGE(habitat_t!X31:X33)</f>
        <v>87</v>
      </c>
      <c r="Y15" s="18">
        <f>AVERAGE(habitat_t!Y31:Y33)</f>
        <v>0.16126489335830632</v>
      </c>
      <c r="Z15" s="18">
        <f>AVERAGE(habitat_t!Z31:Z33)</f>
        <v>1.6666666666666667</v>
      </c>
      <c r="AA15" s="18">
        <f>AVERAGE(habitat_t!AA31:AA33)</f>
        <v>24.333333333333332</v>
      </c>
      <c r="AB15" s="18">
        <f>AVERAGE(habitat_t!AB31:AB33)</f>
        <v>16</v>
      </c>
      <c r="AC15" s="18">
        <f>AVERAGE(habitat_t!AC31:AC33)</f>
        <v>21</v>
      </c>
      <c r="AD15" s="18">
        <f>AVERAGE(habitat_t!AD31:AD33)</f>
        <v>1.1599999999999999</v>
      </c>
      <c r="AE15" s="18">
        <f>AVERAGE(habitat_t!AE31:AE33)</f>
        <v>33.333333333333336</v>
      </c>
      <c r="AF15" s="18">
        <f>AVERAGE(habitat_t!AF31:AF33)</f>
        <v>66.666666666666671</v>
      </c>
      <c r="AG15" s="18">
        <f>AVERAGE(habitat_t!AG31:AG33)</f>
        <v>0</v>
      </c>
      <c r="AH15" s="18">
        <f>AVERAGE(habitat_t!AH31:AH33)</f>
        <v>0</v>
      </c>
      <c r="AI15" s="18">
        <f>AVERAGE(habitat_t!AI31:AI33)</f>
        <v>0</v>
      </c>
      <c r="AJ15" s="18">
        <f>AVERAGE(habitat_t!AJ31:AJ33)</f>
        <v>0</v>
      </c>
      <c r="AK15" s="18">
        <f>AVERAGE(habitat_t!AK31:AK33)</f>
        <v>0</v>
      </c>
      <c r="AL15" s="18">
        <f>AVERAGE(habitat_t!AL31:AL33)</f>
        <v>1.6666666666666667</v>
      </c>
      <c r="AM15" s="18">
        <f>AVERAGE(habitat_t!AM31:AM33)</f>
        <v>0</v>
      </c>
      <c r="AN15" s="18">
        <f>AVERAGE(habitat_t!AN31:AN33)</f>
        <v>1.6666666666666667</v>
      </c>
      <c r="AO15" s="18">
        <f>AVERAGE(habitat_t!AO31:AO33)</f>
        <v>50</v>
      </c>
      <c r="AP15" s="18">
        <f>AVERAGE(habitat_t!AP31:AP33)</f>
        <v>8.3333333333333339</v>
      </c>
      <c r="AQ15" s="18">
        <f>AVERAGE(habitat_t!AQ31:AQ33)</f>
        <v>0</v>
      </c>
      <c r="AR15" s="18">
        <f>AVERAGE(habitat_t!AR31:AR33)</f>
        <v>0</v>
      </c>
      <c r="AS15" s="18">
        <f>AVERAGE(habitat_t!AS31:AS33)</f>
        <v>10</v>
      </c>
      <c r="AT15" s="18">
        <f>AVERAGE(habitat_t!AT31:AT33)</f>
        <v>11.666666666666666</v>
      </c>
      <c r="AU15" s="18">
        <f>AVERAGE(habitat_t!AU31:AU33)</f>
        <v>10</v>
      </c>
    </row>
    <row r="16" spans="1:47" ht="14.25" customHeight="1">
      <c r="A16" s="10" t="s">
        <v>50</v>
      </c>
      <c r="B16" s="53">
        <f>habitat_t!B34</f>
        <v>45322</v>
      </c>
      <c r="C16" s="55">
        <f>habitat_t!C34</f>
        <v>5</v>
      </c>
      <c r="D16" s="53" t="str">
        <f>habitat_t!D34</f>
        <v>Caiana</v>
      </c>
      <c r="E16" s="53" t="str">
        <f>habitat_t!E34</f>
        <v>Caiana Alto</v>
      </c>
      <c r="F16" s="53" t="str">
        <f>habitat_t!F34</f>
        <v>Rio</v>
      </c>
      <c r="G16" s="55">
        <f>habitat_t!G34</f>
        <v>14</v>
      </c>
      <c r="H16" s="55">
        <f>habitat_t!H34</f>
        <v>3</v>
      </c>
      <c r="I16" s="55" t="str">
        <f>habitat_t!I34</f>
        <v>n/a</v>
      </c>
      <c r="J16" s="57" t="s">
        <v>127</v>
      </c>
      <c r="K16" s="18" t="s">
        <v>129</v>
      </c>
      <c r="L16" s="18" t="s">
        <v>129</v>
      </c>
      <c r="M16" s="18" t="s">
        <v>129</v>
      </c>
      <c r="N16" s="18" t="s">
        <v>129</v>
      </c>
      <c r="O16" s="18" t="s">
        <v>129</v>
      </c>
      <c r="P16" s="18" t="s">
        <v>129</v>
      </c>
      <c r="Q16" s="18">
        <f>AVERAGE(habitat_t!Q34:Q36)</f>
        <v>27.8</v>
      </c>
      <c r="R16" s="18">
        <f>AVERAGE(habitat_t!R34:R36)</f>
        <v>6.1333333333333329</v>
      </c>
      <c r="S16" s="18" t="e">
        <f>AVERAGE(habitat_t!S34:S36)</f>
        <v>#DIV/0!</v>
      </c>
      <c r="T16" s="18">
        <f>AVERAGE(habitat_t!T34:T36)</f>
        <v>148.96666666666667</v>
      </c>
      <c r="U16" s="18">
        <f>AVERAGE(habitat_t!U34:U36)</f>
        <v>16.333333333333332</v>
      </c>
      <c r="V16" s="18">
        <f>AVERAGE(habitat_t!V34:V36)</f>
        <v>6.253333333333333</v>
      </c>
      <c r="W16" s="18" t="e">
        <f>AVERAGE(habitat_t!W34:W36)</f>
        <v>#DIV/0!</v>
      </c>
      <c r="X16" s="18">
        <f>AVERAGE(habitat_t!X34:X36)</f>
        <v>76</v>
      </c>
      <c r="Y16" s="18">
        <f>AVERAGE(habitat_t!Y34:Y36)</f>
        <v>0.22079451593137497</v>
      </c>
      <c r="Z16" s="18">
        <f>AVERAGE(habitat_t!Z34:Z36)</f>
        <v>3.1666666666666665</v>
      </c>
      <c r="AA16" s="18">
        <f>AVERAGE(habitat_t!AA34:AA36)</f>
        <v>18.666666666666668</v>
      </c>
      <c r="AB16" s="18">
        <f>AVERAGE(habitat_t!AB34:AB36)</f>
        <v>13.666666666666666</v>
      </c>
      <c r="AC16" s="18">
        <f>AVERAGE(habitat_t!AC34:AC36)</f>
        <v>11.333333333333334</v>
      </c>
      <c r="AD16" s="18">
        <f>AVERAGE(habitat_t!AD34:AD36)</f>
        <v>1.5333333333333332</v>
      </c>
      <c r="AE16" s="18">
        <f>AVERAGE(habitat_t!AE34:AE36)</f>
        <v>5</v>
      </c>
      <c r="AF16" s="18">
        <f>AVERAGE(habitat_t!AF34:AF36)</f>
        <v>93.333333333333329</v>
      </c>
      <c r="AG16" s="18">
        <f>AVERAGE(habitat_t!AG34:AG36)</f>
        <v>1.6666666666666667</v>
      </c>
      <c r="AH16" s="18">
        <f>AVERAGE(habitat_t!AH34:AH36)</f>
        <v>0</v>
      </c>
      <c r="AI16" s="18">
        <f>AVERAGE(habitat_t!AI34:AI36)</f>
        <v>0</v>
      </c>
      <c r="AJ16" s="18">
        <f>AVERAGE(habitat_t!AJ34:AJ36)</f>
        <v>0</v>
      </c>
      <c r="AK16" s="18">
        <f>AVERAGE(habitat_t!AK34:AK36)</f>
        <v>0</v>
      </c>
      <c r="AL16" s="18">
        <f>AVERAGE(habitat_t!AL34:AL36)</f>
        <v>0</v>
      </c>
      <c r="AM16" s="18">
        <f>AVERAGE(habitat_t!AM34:AM36)</f>
        <v>0</v>
      </c>
      <c r="AN16" s="18">
        <f>AVERAGE(habitat_t!AN34:AN36)</f>
        <v>0</v>
      </c>
      <c r="AO16" s="18">
        <f>AVERAGE(habitat_t!AO34:AO36)</f>
        <v>56.666666666666664</v>
      </c>
      <c r="AP16" s="18">
        <f>AVERAGE(habitat_t!AP34:AP36)</f>
        <v>5</v>
      </c>
      <c r="AQ16" s="18">
        <f>AVERAGE(habitat_t!AQ34:AQ36)</f>
        <v>0</v>
      </c>
      <c r="AR16" s="18">
        <f>AVERAGE(habitat_t!AR34:AR36)</f>
        <v>0</v>
      </c>
      <c r="AS16" s="18">
        <f>AVERAGE(habitat_t!AS34:AS36)</f>
        <v>15</v>
      </c>
      <c r="AT16" s="18">
        <f>AVERAGE(habitat_t!AT34:AT36)</f>
        <v>15</v>
      </c>
      <c r="AU16" s="18">
        <f>AVERAGE(habitat_t!AU34:AU36)</f>
        <v>13.333333333333334</v>
      </c>
    </row>
    <row r="17" spans="1:47" ht="14.25" customHeight="1">
      <c r="A17" s="10" t="s">
        <v>51</v>
      </c>
      <c r="B17" s="53">
        <f>habitat_t!B37</f>
        <v>45322</v>
      </c>
      <c r="C17" s="55">
        <f>habitat_t!C37</f>
        <v>5</v>
      </c>
      <c r="D17" s="53" t="str">
        <f>habitat_t!D37</f>
        <v>Caiana</v>
      </c>
      <c r="E17" s="53" t="str">
        <f>habitat_t!E37</f>
        <v>Caiana Alto</v>
      </c>
      <c r="F17" s="53" t="str">
        <f>habitat_t!F37</f>
        <v>Riacho afluente</v>
      </c>
      <c r="G17" s="55">
        <f>habitat_t!G37</f>
        <v>15</v>
      </c>
      <c r="H17" s="55">
        <f>habitat_t!H37</f>
        <v>4</v>
      </c>
      <c r="I17" s="55" t="str">
        <f>habitat_t!I37</f>
        <v>n/a</v>
      </c>
      <c r="J17" s="57" t="s">
        <v>127</v>
      </c>
      <c r="K17" s="18" t="s">
        <v>129</v>
      </c>
      <c r="L17" s="18" t="s">
        <v>129</v>
      </c>
      <c r="M17" s="18" t="s">
        <v>129</v>
      </c>
      <c r="N17" s="18" t="s">
        <v>129</v>
      </c>
      <c r="O17" s="18" t="s">
        <v>129</v>
      </c>
      <c r="P17" s="18" t="s">
        <v>129</v>
      </c>
      <c r="Q17" s="18">
        <f>AVERAGE(habitat_t!Q37:Q39)</f>
        <v>29.133333333333336</v>
      </c>
      <c r="R17" s="18">
        <f>AVERAGE(habitat_t!R37:R39)</f>
        <v>5.2666666666666666</v>
      </c>
      <c r="S17" s="18" t="e">
        <f>AVERAGE(habitat_t!S37:S39)</f>
        <v>#DIV/0!</v>
      </c>
      <c r="T17" s="18">
        <f>AVERAGE(habitat_t!T37:T39)</f>
        <v>242.03333333333333</v>
      </c>
      <c r="U17" s="18">
        <f>AVERAGE(habitat_t!U37:U39)</f>
        <v>13.333333333333334</v>
      </c>
      <c r="V17" s="18">
        <f>AVERAGE(habitat_t!V37:V39)</f>
        <v>6.4033333333333333</v>
      </c>
      <c r="W17" s="18" t="e">
        <f>AVERAGE(habitat_t!W37:W39)</f>
        <v>#DIV/0!</v>
      </c>
      <c r="X17" s="18">
        <f>AVERAGE(habitat_t!X37:X39)</f>
        <v>86</v>
      </c>
      <c r="Y17" s="18">
        <f>AVERAGE(habitat_t!Y37:Y39)</f>
        <v>0.11911721337510245</v>
      </c>
      <c r="Z17" s="18">
        <f>AVERAGE(habitat_t!Z37:Z39)</f>
        <v>2.1666666666666665</v>
      </c>
      <c r="AA17" s="18">
        <f>AVERAGE(habitat_t!AA37:AA39)</f>
        <v>22</v>
      </c>
      <c r="AB17" s="18">
        <f>AVERAGE(habitat_t!AB37:AB39)</f>
        <v>19.222222222222221</v>
      </c>
      <c r="AC17" s="18">
        <f>AVERAGE(habitat_t!AC37:AC39)</f>
        <v>18.666666666666668</v>
      </c>
      <c r="AD17" s="18">
        <f>AVERAGE(habitat_t!AD37:AD39)</f>
        <v>0.93</v>
      </c>
      <c r="AE17" s="18">
        <f>AVERAGE(habitat_t!AE37:AE39)</f>
        <v>10</v>
      </c>
      <c r="AF17" s="18">
        <f>AVERAGE(habitat_t!AF37:AF39)</f>
        <v>86.666666666666671</v>
      </c>
      <c r="AG17" s="18">
        <f>AVERAGE(habitat_t!AG37:AG39)</f>
        <v>3.3333333333333335</v>
      </c>
      <c r="AH17" s="18">
        <f>AVERAGE(habitat_t!AH37:AH39)</f>
        <v>0</v>
      </c>
      <c r="AI17" s="18">
        <f>AVERAGE(habitat_t!AI37:AI39)</f>
        <v>0</v>
      </c>
      <c r="AJ17" s="18">
        <f>AVERAGE(habitat_t!AJ37:AJ39)</f>
        <v>0</v>
      </c>
      <c r="AK17" s="18">
        <f>AVERAGE(habitat_t!AK37:AK39)</f>
        <v>0</v>
      </c>
      <c r="AL17" s="18">
        <f>AVERAGE(habitat_t!AL37:AL39)</f>
        <v>0</v>
      </c>
      <c r="AM17" s="18">
        <f>AVERAGE(habitat_t!AM37:AM39)</f>
        <v>0</v>
      </c>
      <c r="AN17" s="18">
        <f>AVERAGE(habitat_t!AN37:AN39)</f>
        <v>0</v>
      </c>
      <c r="AO17" s="18">
        <f>AVERAGE(habitat_t!AO37:AO39)</f>
        <v>40</v>
      </c>
      <c r="AP17" s="18">
        <f>AVERAGE(habitat_t!AP37:AP39)</f>
        <v>6.666666666666667</v>
      </c>
      <c r="AQ17" s="18">
        <f>AVERAGE(habitat_t!AQ37:AQ39)</f>
        <v>0</v>
      </c>
      <c r="AR17" s="18">
        <f>AVERAGE(habitat_t!AR37:AR39)</f>
        <v>0</v>
      </c>
      <c r="AS17" s="18">
        <f>AVERAGE(habitat_t!AS37:AS39)</f>
        <v>5</v>
      </c>
      <c r="AT17" s="18">
        <f>AVERAGE(habitat_t!AT37:AT39)</f>
        <v>10</v>
      </c>
      <c r="AU17" s="18">
        <f>AVERAGE(habitat_t!AU37:AU39)</f>
        <v>13.333333333333334</v>
      </c>
    </row>
    <row r="18" spans="1:47" ht="14.25" customHeight="1">
      <c r="A18" s="10" t="s">
        <v>52</v>
      </c>
      <c r="B18" s="53">
        <f>habitat_t!B40</f>
        <v>45322</v>
      </c>
      <c r="C18" s="55">
        <f>habitat_t!C40</f>
        <v>5</v>
      </c>
      <c r="D18" s="53" t="str">
        <f>habitat_t!D40</f>
        <v>Caiana</v>
      </c>
      <c r="E18" s="53" t="str">
        <f>habitat_t!E40</f>
        <v>Caiana Médio</v>
      </c>
      <c r="F18" s="53" t="str">
        <f>habitat_t!F40</f>
        <v>Açude</v>
      </c>
      <c r="G18" s="55">
        <f>habitat_t!G40</f>
        <v>16</v>
      </c>
      <c r="H18" s="55">
        <f>habitat_t!H40</f>
        <v>4</v>
      </c>
      <c r="I18" s="55" t="str">
        <f>habitat_t!I40</f>
        <v>n/a</v>
      </c>
      <c r="J18" s="57" t="s">
        <v>127</v>
      </c>
      <c r="K18" s="18" t="s">
        <v>129</v>
      </c>
      <c r="L18" s="18" t="s">
        <v>129</v>
      </c>
      <c r="M18" s="18" t="s">
        <v>129</v>
      </c>
      <c r="N18" s="18" t="s">
        <v>129</v>
      </c>
      <c r="O18" s="18" t="s">
        <v>129</v>
      </c>
      <c r="P18" s="18" t="s">
        <v>129</v>
      </c>
      <c r="Q18" s="18">
        <f>AVERAGE(habitat_t!Q40:Q42)</f>
        <v>32.5</v>
      </c>
      <c r="R18" s="18">
        <f>AVERAGE(habitat_t!R40:R42)</f>
        <v>6.9333333333333336</v>
      </c>
      <c r="S18" s="18" t="e">
        <f>AVERAGE(habitat_t!S40:S42)</f>
        <v>#DIV/0!</v>
      </c>
      <c r="T18" s="18">
        <f>AVERAGE(habitat_t!T40:T42)</f>
        <v>152.56666666666663</v>
      </c>
      <c r="U18" s="18">
        <f>AVERAGE(habitat_t!U40:U42)</f>
        <v>8.3333333333333339</v>
      </c>
      <c r="V18" s="18">
        <f>AVERAGE(habitat_t!V40:V42)</f>
        <v>6.5333333333333341</v>
      </c>
      <c r="W18" s="18" t="e">
        <f>AVERAGE(habitat_t!W40:W42)</f>
        <v>#DIV/0!</v>
      </c>
      <c r="X18" s="18">
        <f>AVERAGE(habitat_t!X40:X42)</f>
        <v>76</v>
      </c>
      <c r="Y18" s="18">
        <f>AVERAGE(habitat_t!Y40:Y42)</f>
        <v>0</v>
      </c>
      <c r="Z18" s="18">
        <f>AVERAGE(habitat_t!Z40:Z42)</f>
        <v>1</v>
      </c>
      <c r="AA18" s="18">
        <f>AVERAGE(habitat_t!AA40:AA42)</f>
        <v>200</v>
      </c>
      <c r="AB18" s="18">
        <f>AVERAGE(habitat_t!AB40:AB42)</f>
        <v>113</v>
      </c>
      <c r="AC18" s="18">
        <f>AVERAGE(habitat_t!AC40:AC42)</f>
        <v>26</v>
      </c>
      <c r="AD18" s="18">
        <f>AVERAGE(habitat_t!AD40:AD42)</f>
        <v>13.146666666666667</v>
      </c>
      <c r="AE18" s="18">
        <f>AVERAGE(habitat_t!AE40:AE42)</f>
        <v>100</v>
      </c>
      <c r="AF18" s="18">
        <f>AVERAGE(habitat_t!AF40:AF42)</f>
        <v>0</v>
      </c>
      <c r="AG18" s="18">
        <f>AVERAGE(habitat_t!AG40:AG42)</f>
        <v>0</v>
      </c>
      <c r="AH18" s="18">
        <f>AVERAGE(habitat_t!AH40:AH42)</f>
        <v>0</v>
      </c>
      <c r="AI18" s="18">
        <f>AVERAGE(habitat_t!AI40:AI42)</f>
        <v>0</v>
      </c>
      <c r="AJ18" s="18">
        <f>AVERAGE(habitat_t!AJ40:AJ42)</f>
        <v>0</v>
      </c>
      <c r="AK18" s="18">
        <f>AVERAGE(habitat_t!AK40:AK42)</f>
        <v>0</v>
      </c>
      <c r="AL18" s="18">
        <f>AVERAGE(habitat_t!AL40:AL42)</f>
        <v>41.666666666666664</v>
      </c>
      <c r="AM18" s="18">
        <f>AVERAGE(habitat_t!AM40:AM42)</f>
        <v>46.666666666666664</v>
      </c>
      <c r="AN18" s="18">
        <f>AVERAGE(habitat_t!AN40:AN42)</f>
        <v>20</v>
      </c>
      <c r="AO18" s="18">
        <f>AVERAGE(habitat_t!AO40:AO42)</f>
        <v>1.6666666666666667</v>
      </c>
      <c r="AP18" s="18">
        <f>AVERAGE(habitat_t!AP40:AP42)</f>
        <v>1.6666666666666667</v>
      </c>
      <c r="AQ18" s="18">
        <f>AVERAGE(habitat_t!AQ40:AQ42)</f>
        <v>0</v>
      </c>
      <c r="AR18" s="18">
        <f>AVERAGE(habitat_t!AR40:AR42)</f>
        <v>0</v>
      </c>
      <c r="AS18" s="18">
        <f>AVERAGE(habitat_t!AS40:AS42)</f>
        <v>1.6666666666666667</v>
      </c>
      <c r="AT18" s="18">
        <f>AVERAGE(habitat_t!AT40:AT42)</f>
        <v>1.6666666666666667</v>
      </c>
      <c r="AU18" s="18">
        <f>AVERAGE(habitat_t!AU40:AU42)</f>
        <v>1.6666666666666667</v>
      </c>
    </row>
    <row r="19" spans="1:47" ht="14.25" customHeight="1">
      <c r="A19" s="10" t="s">
        <v>53</v>
      </c>
      <c r="D19" s="14" t="s">
        <v>131</v>
      </c>
      <c r="E19" s="14" t="s">
        <v>135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6"/>
      <c r="X19" s="6"/>
      <c r="Y19" s="2"/>
      <c r="Z19" s="2"/>
      <c r="AA19" s="2"/>
      <c r="AC19" s="16"/>
      <c r="AD19" s="2"/>
    </row>
    <row r="20" spans="1:47" ht="14.25" customHeight="1">
      <c r="A20" s="10" t="s">
        <v>54</v>
      </c>
      <c r="D20" s="14" t="s">
        <v>136</v>
      </c>
      <c r="E20" s="14" t="s">
        <v>136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6"/>
      <c r="X20" s="6"/>
      <c r="Y20" s="2"/>
      <c r="Z20" s="2"/>
      <c r="AA20" s="2"/>
      <c r="AC20" s="16"/>
      <c r="AD20" s="2"/>
    </row>
    <row r="21" spans="1:47" ht="14.25" customHeight="1">
      <c r="A21" s="10" t="s">
        <v>55</v>
      </c>
      <c r="D21" s="14" t="s">
        <v>131</v>
      </c>
      <c r="E21" s="14" t="s">
        <v>135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6"/>
      <c r="X21" s="6"/>
      <c r="Y21" s="2"/>
      <c r="Z21" s="2"/>
      <c r="AA21" s="2"/>
      <c r="AC21" s="16"/>
      <c r="AD21" s="2"/>
    </row>
    <row r="22" spans="1:47" ht="14.25" customHeight="1">
      <c r="A22" s="10" t="s">
        <v>56</v>
      </c>
      <c r="D22" s="14" t="s">
        <v>131</v>
      </c>
      <c r="E22" s="14" t="s">
        <v>135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6"/>
      <c r="X22" s="6"/>
      <c r="Y22" s="2"/>
      <c r="Z22" s="2"/>
      <c r="AA22" s="2"/>
      <c r="AC22" s="16"/>
      <c r="AD22" s="2"/>
    </row>
    <row r="23" spans="1:47" ht="14.25" customHeight="1">
      <c r="A23" s="10" t="s">
        <v>57</v>
      </c>
      <c r="D23" s="14" t="s">
        <v>131</v>
      </c>
      <c r="E23" s="14" t="s">
        <v>137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6"/>
      <c r="X23" s="6"/>
      <c r="Y23" s="2"/>
      <c r="Z23" s="2"/>
      <c r="AA23" s="2"/>
      <c r="AC23" s="16"/>
      <c r="AD23" s="2"/>
    </row>
    <row r="24" spans="1:47" ht="14.25" customHeight="1">
      <c r="A24" s="10" t="s">
        <v>58</v>
      </c>
      <c r="D24" s="14" t="s">
        <v>131</v>
      </c>
      <c r="E24" s="14" t="s">
        <v>137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6"/>
      <c r="X24" s="6"/>
      <c r="Y24" s="2"/>
      <c r="Z24" s="2"/>
      <c r="AA24" s="2"/>
      <c r="AC24" s="16"/>
      <c r="AD24" s="2"/>
    </row>
    <row r="25" spans="1:47" ht="14.25" customHeight="1">
      <c r="A25" s="10" t="s">
        <v>59</v>
      </c>
      <c r="D25" s="14" t="s">
        <v>134</v>
      </c>
      <c r="E25" s="14" t="s">
        <v>132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6"/>
      <c r="X25" s="6"/>
      <c r="Y25" s="2"/>
      <c r="Z25" s="2"/>
      <c r="AA25" s="22"/>
      <c r="AC25" s="16"/>
      <c r="AD25" s="2"/>
    </row>
    <row r="26" spans="1:47" ht="14.25" customHeight="1">
      <c r="A26" s="10" t="s">
        <v>60</v>
      </c>
      <c r="D26" s="14" t="s">
        <v>134</v>
      </c>
      <c r="E26" s="14" t="s">
        <v>132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6"/>
      <c r="X26" s="6"/>
      <c r="Y26" s="2"/>
      <c r="Z26" s="2"/>
      <c r="AA26" s="22"/>
      <c r="AC26" s="16"/>
      <c r="AD26" s="2"/>
    </row>
    <row r="27" spans="1:47" ht="14.25" customHeight="1">
      <c r="A27" s="10" t="s">
        <v>61</v>
      </c>
      <c r="D27" s="14" t="s">
        <v>136</v>
      </c>
      <c r="E27" s="14" t="s">
        <v>132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6"/>
      <c r="X27" s="6"/>
      <c r="Y27" s="2"/>
      <c r="Z27" s="2"/>
      <c r="AA27" s="22"/>
      <c r="AC27" s="16"/>
      <c r="AD27" s="2"/>
    </row>
    <row r="28" spans="1:47" ht="14.25" customHeight="1">
      <c r="A28" s="10" t="s">
        <v>62</v>
      </c>
      <c r="D28" s="14" t="s">
        <v>136</v>
      </c>
      <c r="E28" s="14" t="s">
        <v>136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6"/>
      <c r="X28" s="6"/>
      <c r="Y28" s="2"/>
      <c r="Z28" s="2"/>
      <c r="AA28" s="24"/>
      <c r="AC28" s="16"/>
      <c r="AD28" s="2"/>
    </row>
    <row r="29" spans="1:47" ht="14.25" customHeight="1">
      <c r="A29" s="10" t="s">
        <v>63</v>
      </c>
      <c r="D29" s="14" t="s">
        <v>136</v>
      </c>
      <c r="E29" s="14" t="s">
        <v>136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6"/>
      <c r="X29" s="6"/>
      <c r="Y29" s="2"/>
      <c r="Z29" s="2"/>
      <c r="AA29" s="22"/>
      <c r="AC29" s="16"/>
      <c r="AD29" s="2"/>
    </row>
    <row r="30" spans="1:47" ht="14.25" customHeight="1">
      <c r="A30" s="10" t="s">
        <v>64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6"/>
      <c r="X30" s="6"/>
      <c r="Y30" s="23"/>
      <c r="Z30" s="23"/>
      <c r="AA30" s="22"/>
      <c r="AC30" s="16"/>
      <c r="AD30" s="2"/>
    </row>
    <row r="31" spans="1:47" ht="14.25" customHeight="1">
      <c r="A31" s="10" t="s">
        <v>65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6"/>
      <c r="X31" s="6"/>
      <c r="Y31" s="2"/>
      <c r="Z31" s="2"/>
      <c r="AA31" s="22"/>
      <c r="AC31" s="16"/>
      <c r="AD31" s="2"/>
    </row>
    <row r="32" spans="1:47" ht="14.25" customHeight="1">
      <c r="A32" s="10" t="s">
        <v>66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6"/>
      <c r="X32" s="6"/>
      <c r="Y32" s="2"/>
      <c r="Z32" s="2"/>
      <c r="AA32" s="22"/>
      <c r="AD32" s="2"/>
    </row>
    <row r="33" spans="1:30" ht="14.25" customHeight="1">
      <c r="A33" s="10" t="s">
        <v>67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6"/>
      <c r="X33" s="6"/>
      <c r="Y33" s="2"/>
      <c r="Z33" s="2"/>
      <c r="AA33" s="22"/>
      <c r="AD33" s="2"/>
    </row>
    <row r="34" spans="1:30" ht="14.25" customHeight="1">
      <c r="A34" s="10" t="s">
        <v>68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6"/>
      <c r="X34" s="6"/>
      <c r="Y34" s="2"/>
      <c r="Z34" s="2"/>
      <c r="AA34" s="22"/>
      <c r="AD34" s="2"/>
    </row>
    <row r="35" spans="1:30" ht="14.25" customHeight="1">
      <c r="A35" s="10" t="s">
        <v>69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6"/>
      <c r="X35" s="6"/>
      <c r="Y35" s="2"/>
      <c r="Z35" s="2"/>
      <c r="AA35" s="22"/>
      <c r="AD35" s="2"/>
    </row>
    <row r="36" spans="1:30" ht="14.25" customHeight="1">
      <c r="A36" s="10" t="s">
        <v>70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6"/>
      <c r="X36" s="6"/>
      <c r="Y36" s="2"/>
      <c r="Z36" s="2"/>
      <c r="AA36" s="24"/>
      <c r="AD36" s="2"/>
    </row>
    <row r="37" spans="1:30" ht="14.25" customHeight="1">
      <c r="A37" s="10" t="s">
        <v>71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6"/>
      <c r="X37" s="6"/>
      <c r="Y37" s="2"/>
      <c r="Z37" s="2"/>
      <c r="AA37" s="22"/>
      <c r="AD37" s="2"/>
    </row>
    <row r="38" spans="1:30" ht="14.25" customHeight="1">
      <c r="A38" s="10" t="s">
        <v>72</v>
      </c>
    </row>
    <row r="39" spans="1:30" ht="14.25" customHeight="1">
      <c r="A39" s="10" t="s">
        <v>73</v>
      </c>
    </row>
    <row r="40" spans="1:30" ht="14.25" customHeight="1">
      <c r="A40" s="10" t="s">
        <v>74</v>
      </c>
    </row>
    <row r="41" spans="1:30" ht="14.25" customHeight="1">
      <c r="A41" s="10" t="s">
        <v>75</v>
      </c>
    </row>
    <row r="42" spans="1:30" ht="14.25" customHeight="1">
      <c r="A42" s="10" t="s">
        <v>76</v>
      </c>
    </row>
    <row r="43" spans="1:30" ht="14.25" customHeight="1"/>
    <row r="44" spans="1:30" ht="14.25" customHeight="1"/>
    <row r="45" spans="1:30" ht="14.25" customHeight="1"/>
    <row r="46" spans="1:30" ht="14.25" customHeight="1"/>
    <row r="47" spans="1:30" ht="14.25" customHeight="1"/>
    <row r="48" spans="1:30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362204722" right="0.51181102362204722" top="1.1811023622047245" bottom="1.181102362204724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010"/>
  <sheetViews>
    <sheetView tabSelected="1" workbookViewId="0">
      <pane xSplit="10" ySplit="2" topLeftCell="K3" activePane="bottomRight" state="frozen"/>
      <selection pane="topRight" activeCell="K1" sqref="K1"/>
      <selection pane="bottomLeft" activeCell="A3" sqref="A3"/>
      <selection pane="bottomRight"/>
    </sheetView>
  </sheetViews>
  <sheetFormatPr defaultColWidth="14.42578125" defaultRowHeight="15" customHeight="1"/>
  <cols>
    <col min="1" max="1" width="13.28515625" style="31" customWidth="1"/>
    <col min="2" max="2" width="14.28515625" style="31" customWidth="1"/>
    <col min="3" max="3" width="11.140625" style="31" customWidth="1"/>
    <col min="4" max="4" width="15.85546875" style="31" customWidth="1"/>
    <col min="5" max="5" width="24.140625" style="31" customWidth="1"/>
    <col min="6" max="9" width="11.140625" style="31" customWidth="1"/>
    <col min="10" max="16" width="15.28515625" style="31" customWidth="1"/>
    <col min="17" max="23" width="11.140625" style="31" customWidth="1"/>
    <col min="24" max="26" width="12.5703125" style="31" customWidth="1"/>
    <col min="27" max="30" width="14.7109375" style="31" customWidth="1"/>
    <col min="31" max="47" width="12.5703125" style="31" customWidth="1"/>
    <col min="48" max="48" width="11.140625" style="31" customWidth="1"/>
    <col min="49" max="16384" width="14.42578125" style="31"/>
  </cols>
  <sheetData>
    <row r="1" spans="1:48" ht="14.25" customHeight="1">
      <c r="A1" s="32"/>
      <c r="B1" s="32" t="s">
        <v>77</v>
      </c>
      <c r="C1" s="32"/>
      <c r="D1" s="32"/>
      <c r="E1" s="32"/>
      <c r="F1" s="32"/>
      <c r="G1" s="32"/>
      <c r="H1" s="32"/>
      <c r="I1" s="32"/>
      <c r="J1" s="32"/>
      <c r="K1" s="32" t="s">
        <v>78</v>
      </c>
      <c r="L1" s="32"/>
      <c r="M1" s="32"/>
      <c r="N1" s="32"/>
      <c r="O1" s="32"/>
      <c r="P1" s="32"/>
      <c r="Q1" s="32" t="s">
        <v>79</v>
      </c>
      <c r="R1" s="32"/>
      <c r="S1" s="32"/>
      <c r="T1" s="32"/>
      <c r="U1" s="32"/>
      <c r="V1" s="32"/>
      <c r="W1" s="32"/>
      <c r="X1" s="32" t="s">
        <v>80</v>
      </c>
      <c r="Y1" s="32"/>
      <c r="Z1" s="32"/>
      <c r="AA1" s="32"/>
      <c r="AB1" s="32"/>
      <c r="AC1" s="32"/>
      <c r="AD1" s="32"/>
      <c r="AE1" s="32" t="s">
        <v>81</v>
      </c>
      <c r="AF1" s="32"/>
      <c r="AG1" s="32"/>
      <c r="AH1" s="32"/>
      <c r="AI1" s="32"/>
      <c r="AJ1" s="32"/>
      <c r="AK1" s="32"/>
      <c r="AL1" s="32" t="s">
        <v>82</v>
      </c>
      <c r="AM1" s="32"/>
      <c r="AN1" s="32"/>
      <c r="AO1" s="32"/>
      <c r="AP1" s="32"/>
      <c r="AQ1" s="32"/>
      <c r="AR1" s="32"/>
      <c r="AS1" s="32"/>
      <c r="AT1" s="32"/>
      <c r="AU1" s="32"/>
      <c r="AV1" s="32"/>
    </row>
    <row r="2" spans="1:48" ht="14.25" customHeight="1">
      <c r="A2" s="33" t="s">
        <v>0</v>
      </c>
      <c r="B2" s="34" t="s">
        <v>1</v>
      </c>
      <c r="C2" s="34" t="s">
        <v>83</v>
      </c>
      <c r="D2" s="34" t="s">
        <v>84</v>
      </c>
      <c r="E2" s="34" t="s">
        <v>85</v>
      </c>
      <c r="F2" s="34" t="s">
        <v>11</v>
      </c>
      <c r="G2" s="34" t="s">
        <v>86</v>
      </c>
      <c r="H2" s="34" t="s">
        <v>87</v>
      </c>
      <c r="I2" s="34" t="s">
        <v>88</v>
      </c>
      <c r="J2" s="34" t="s">
        <v>89</v>
      </c>
      <c r="K2" s="34" t="s">
        <v>90</v>
      </c>
      <c r="L2" s="34" t="s">
        <v>91</v>
      </c>
      <c r="M2" s="34" t="s">
        <v>92</v>
      </c>
      <c r="N2" s="34" t="s">
        <v>93</v>
      </c>
      <c r="O2" s="32" t="s">
        <v>138</v>
      </c>
      <c r="P2" s="34" t="s">
        <v>94</v>
      </c>
      <c r="Q2" s="34" t="s">
        <v>95</v>
      </c>
      <c r="R2" s="34" t="s">
        <v>235</v>
      </c>
      <c r="S2" s="34" t="s">
        <v>97</v>
      </c>
      <c r="T2" s="34" t="s">
        <v>98</v>
      </c>
      <c r="U2" s="34" t="s">
        <v>139</v>
      </c>
      <c r="V2" s="34" t="s">
        <v>99</v>
      </c>
      <c r="W2" s="34" t="s">
        <v>100</v>
      </c>
      <c r="X2" s="34" t="s">
        <v>101</v>
      </c>
      <c r="Y2" s="34" t="s">
        <v>102</v>
      </c>
      <c r="Z2" s="34" t="s">
        <v>103</v>
      </c>
      <c r="AA2" s="34" t="s">
        <v>104</v>
      </c>
      <c r="AB2" s="34" t="s">
        <v>105</v>
      </c>
      <c r="AC2" s="34" t="s">
        <v>106</v>
      </c>
      <c r="AD2" s="34" t="s">
        <v>107</v>
      </c>
      <c r="AE2" s="34" t="s">
        <v>108</v>
      </c>
      <c r="AF2" s="34" t="s">
        <v>109</v>
      </c>
      <c r="AG2" s="34" t="s">
        <v>110</v>
      </c>
      <c r="AH2" s="34" t="s">
        <v>111</v>
      </c>
      <c r="AI2" s="34" t="s">
        <v>112</v>
      </c>
      <c r="AJ2" s="34" t="s">
        <v>113</v>
      </c>
      <c r="AK2" s="34" t="s">
        <v>114</v>
      </c>
      <c r="AL2" s="34" t="s">
        <v>115</v>
      </c>
      <c r="AM2" s="34" t="s">
        <v>116</v>
      </c>
      <c r="AN2" s="34" t="s">
        <v>117</v>
      </c>
      <c r="AO2" s="34" t="s">
        <v>118</v>
      </c>
      <c r="AP2" s="34" t="s">
        <v>119</v>
      </c>
      <c r="AQ2" s="34" t="s">
        <v>120</v>
      </c>
      <c r="AR2" s="34" t="s">
        <v>121</v>
      </c>
      <c r="AS2" s="34" t="s">
        <v>122</v>
      </c>
      <c r="AT2" s="34" t="s">
        <v>123</v>
      </c>
      <c r="AU2" s="34" t="s">
        <v>124</v>
      </c>
      <c r="AV2" s="34"/>
    </row>
    <row r="3" spans="1:48" ht="14.25" customHeight="1">
      <c r="A3" s="33" t="s">
        <v>16</v>
      </c>
      <c r="B3" s="35"/>
      <c r="C3" s="36"/>
      <c r="D3" s="36"/>
      <c r="E3" s="32"/>
      <c r="F3" s="32"/>
      <c r="G3" s="36"/>
      <c r="H3" s="36"/>
      <c r="I3" s="36"/>
      <c r="J3" s="36"/>
      <c r="K3" s="36"/>
      <c r="L3" s="36"/>
      <c r="M3" s="36"/>
      <c r="N3" s="36"/>
      <c r="O3" s="36"/>
      <c r="P3" s="36"/>
      <c r="Q3" s="37"/>
      <c r="R3" s="37"/>
      <c r="S3" s="37"/>
      <c r="T3" s="37"/>
      <c r="U3" s="37"/>
      <c r="V3" s="37"/>
      <c r="W3" s="38"/>
      <c r="X3" s="39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2"/>
    </row>
    <row r="4" spans="1:48" ht="14.25" customHeight="1">
      <c r="A4" s="33" t="s">
        <v>17</v>
      </c>
      <c r="B4" s="35"/>
      <c r="C4" s="36"/>
      <c r="D4" s="36"/>
      <c r="E4" s="32"/>
      <c r="F4" s="32"/>
      <c r="G4" s="36"/>
      <c r="H4" s="36"/>
      <c r="I4" s="36"/>
      <c r="J4" s="36"/>
      <c r="K4" s="36"/>
      <c r="L4" s="36"/>
      <c r="M4" s="36"/>
      <c r="N4" s="36"/>
      <c r="O4" s="36"/>
      <c r="P4" s="36"/>
      <c r="Q4" s="37"/>
      <c r="R4" s="37"/>
      <c r="S4" s="37"/>
      <c r="T4" s="37"/>
      <c r="U4" s="37"/>
      <c r="V4" s="37"/>
      <c r="W4" s="38"/>
      <c r="X4" s="39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2"/>
    </row>
    <row r="5" spans="1:48" ht="14.25" customHeight="1">
      <c r="A5" s="33" t="s">
        <v>18</v>
      </c>
      <c r="B5" s="35"/>
      <c r="C5" s="36"/>
      <c r="D5" s="36"/>
      <c r="E5" s="32"/>
      <c r="F5" s="32"/>
      <c r="G5" s="36"/>
      <c r="H5" s="36"/>
      <c r="I5" s="36"/>
      <c r="J5" s="36"/>
      <c r="K5" s="36"/>
      <c r="L5" s="36"/>
      <c r="M5" s="36"/>
      <c r="N5" s="36"/>
      <c r="O5" s="36"/>
      <c r="P5" s="36"/>
      <c r="Q5" s="37"/>
      <c r="R5" s="37"/>
      <c r="S5" s="37"/>
      <c r="T5" s="37"/>
      <c r="U5" s="37"/>
      <c r="V5" s="37"/>
      <c r="W5" s="38"/>
      <c r="X5" s="39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2"/>
    </row>
    <row r="6" spans="1:48" ht="14.25" customHeight="1">
      <c r="A6" s="33" t="s">
        <v>19</v>
      </c>
      <c r="B6" s="35"/>
      <c r="C6" s="36"/>
      <c r="D6" s="36"/>
      <c r="E6" s="32"/>
      <c r="F6" s="32"/>
      <c r="G6" s="36"/>
      <c r="H6" s="36"/>
      <c r="I6" s="36"/>
      <c r="J6" s="36"/>
      <c r="K6" s="36"/>
      <c r="L6" s="36"/>
      <c r="M6" s="36"/>
      <c r="N6" s="36"/>
      <c r="O6" s="36"/>
      <c r="P6" s="36"/>
      <c r="Q6" s="37"/>
      <c r="R6" s="37"/>
      <c r="S6" s="37"/>
      <c r="T6" s="37"/>
      <c r="U6" s="37"/>
      <c r="V6" s="37"/>
      <c r="W6" s="38"/>
      <c r="X6" s="39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2"/>
    </row>
    <row r="7" spans="1:48" ht="14.25" customHeight="1">
      <c r="A7" s="33" t="s">
        <v>20</v>
      </c>
      <c r="B7" s="35">
        <v>45210</v>
      </c>
      <c r="C7" s="36">
        <v>2</v>
      </c>
      <c r="D7" s="32" t="s">
        <v>26</v>
      </c>
      <c r="E7" s="32" t="s">
        <v>125</v>
      </c>
      <c r="F7" s="32" t="s">
        <v>85</v>
      </c>
      <c r="G7" s="36">
        <v>5</v>
      </c>
      <c r="H7" s="36">
        <v>1</v>
      </c>
      <c r="I7" s="36" t="s">
        <v>126</v>
      </c>
      <c r="J7" s="36">
        <v>1</v>
      </c>
      <c r="K7" s="37" t="s">
        <v>128</v>
      </c>
      <c r="L7" s="37" t="s">
        <v>128</v>
      </c>
      <c r="M7" s="37" t="s">
        <v>128</v>
      </c>
      <c r="N7" s="37" t="s">
        <v>128</v>
      </c>
      <c r="O7" s="37" t="s">
        <v>128</v>
      </c>
      <c r="P7" s="37" t="s">
        <v>128</v>
      </c>
      <c r="Q7" s="37">
        <v>24.9</v>
      </c>
      <c r="R7" s="37">
        <v>8.5</v>
      </c>
      <c r="S7" s="36" t="s">
        <v>126</v>
      </c>
      <c r="T7" s="37">
        <v>134</v>
      </c>
      <c r="U7" s="40">
        <v>6.85</v>
      </c>
      <c r="V7" s="40">
        <v>6.33</v>
      </c>
      <c r="W7" s="36" t="s">
        <v>126</v>
      </c>
      <c r="X7" s="40">
        <v>107.07</v>
      </c>
      <c r="Y7" s="41">
        <v>0</v>
      </c>
      <c r="Z7" s="37">
        <f>AVERAGE(1,2)</f>
        <v>1.5</v>
      </c>
      <c r="AA7" s="37">
        <v>16</v>
      </c>
      <c r="AB7" s="37">
        <f t="shared" ref="AB7:AB9" si="0">AVERAGE(15,16,10)</f>
        <v>13.666666666666666</v>
      </c>
      <c r="AC7" s="37">
        <f t="shared" ref="AC7:AC9" si="1">AVERAGE(16,16,16,16)</f>
        <v>16</v>
      </c>
      <c r="AD7" s="40">
        <v>3.64</v>
      </c>
      <c r="AE7" s="37">
        <f t="shared" ref="AE7:AE12" si="2">AVERAGE(100,100,100,100)</f>
        <v>100</v>
      </c>
      <c r="AF7" s="37">
        <f t="shared" ref="AF7:AK7" si="3">AVERAGE(0,0,0,0)</f>
        <v>0</v>
      </c>
      <c r="AG7" s="37">
        <f t="shared" si="3"/>
        <v>0</v>
      </c>
      <c r="AH7" s="37">
        <f t="shared" si="3"/>
        <v>0</v>
      </c>
      <c r="AI7" s="37">
        <f t="shared" si="3"/>
        <v>0</v>
      </c>
      <c r="AJ7" s="37">
        <f t="shared" si="3"/>
        <v>0</v>
      </c>
      <c r="AK7" s="37">
        <f t="shared" si="3"/>
        <v>0</v>
      </c>
      <c r="AL7" s="37">
        <f t="shared" ref="AL7:AL9" si="4">AVERAGE(5,5,5,5)</f>
        <v>5</v>
      </c>
      <c r="AM7" s="37">
        <f t="shared" ref="AM7:AM9" si="5">AVERAGE(0,0,0,0)</f>
        <v>0</v>
      </c>
      <c r="AN7" s="37">
        <f t="shared" ref="AN7:AN9" si="6">AVERAGE(5,5,5,5)</f>
        <v>5</v>
      </c>
      <c r="AO7" s="37">
        <f t="shared" ref="AO7:AO9" si="7">AVERAGE(90,90,90,90)</f>
        <v>90</v>
      </c>
      <c r="AP7" s="37">
        <f t="shared" ref="AP7:AP9" si="8">AVERAGE(10,10,10,10)</f>
        <v>10</v>
      </c>
      <c r="AQ7" s="37">
        <f t="shared" ref="AQ7:AQ12" si="9">AVERAGE(0,0,0,0)</f>
        <v>0</v>
      </c>
      <c r="AR7" s="37">
        <f t="shared" ref="AR7:AR9" si="10">AVERAGE(5,5,5,5)</f>
        <v>5</v>
      </c>
      <c r="AS7" s="37">
        <f t="shared" ref="AS7:AS9" si="11">AVERAGE(0,0,0,0)</f>
        <v>0</v>
      </c>
      <c r="AT7" s="37">
        <f t="shared" ref="AT7:AT9" si="12">AVERAGE(20,20,20,20)</f>
        <v>20</v>
      </c>
      <c r="AU7" s="37">
        <f t="shared" ref="AU7:AU9" si="13">AVERAGE(10,10,10,10)</f>
        <v>10</v>
      </c>
      <c r="AV7" s="32"/>
    </row>
    <row r="8" spans="1:48" ht="14.25" customHeight="1">
      <c r="A8" s="33" t="s">
        <v>20</v>
      </c>
      <c r="B8" s="35">
        <v>45210</v>
      </c>
      <c r="C8" s="36">
        <v>2</v>
      </c>
      <c r="D8" s="32" t="s">
        <v>26</v>
      </c>
      <c r="E8" s="32" t="s">
        <v>125</v>
      </c>
      <c r="F8" s="32" t="s">
        <v>85</v>
      </c>
      <c r="G8" s="36">
        <v>5</v>
      </c>
      <c r="H8" s="36">
        <v>1</v>
      </c>
      <c r="I8" s="36" t="s">
        <v>126</v>
      </c>
      <c r="J8" s="36">
        <v>2</v>
      </c>
      <c r="K8" s="37" t="s">
        <v>128</v>
      </c>
      <c r="L8" s="37" t="s">
        <v>128</v>
      </c>
      <c r="M8" s="37" t="s">
        <v>128</v>
      </c>
      <c r="N8" s="37" t="s">
        <v>128</v>
      </c>
      <c r="O8" s="37" t="s">
        <v>128</v>
      </c>
      <c r="P8" s="37" t="s">
        <v>128</v>
      </c>
      <c r="Q8" s="37">
        <v>25.1</v>
      </c>
      <c r="R8" s="37">
        <v>8.1</v>
      </c>
      <c r="S8" s="36" t="s">
        <v>126</v>
      </c>
      <c r="T8" s="37">
        <v>164.4</v>
      </c>
      <c r="U8" s="40">
        <v>10.7</v>
      </c>
      <c r="V8" s="40">
        <v>7.46</v>
      </c>
      <c r="W8" s="36" t="s">
        <v>126</v>
      </c>
      <c r="X8" s="40">
        <v>107.07</v>
      </c>
      <c r="Y8" s="41">
        <v>0</v>
      </c>
      <c r="Z8" s="37">
        <f t="shared" ref="Z8:Z9" si="14">AVERAGE(1,1)</f>
        <v>1</v>
      </c>
      <c r="AA8" s="37">
        <v>16</v>
      </c>
      <c r="AB8" s="37">
        <f t="shared" si="0"/>
        <v>13.666666666666666</v>
      </c>
      <c r="AC8" s="37">
        <f t="shared" si="1"/>
        <v>16</v>
      </c>
      <c r="AD8" s="40">
        <v>3.64</v>
      </c>
      <c r="AE8" s="37">
        <f t="shared" si="2"/>
        <v>100</v>
      </c>
      <c r="AF8" s="37">
        <f t="shared" ref="AF8:AK8" si="15">AVERAGE(0,0,0,0)</f>
        <v>0</v>
      </c>
      <c r="AG8" s="37">
        <f t="shared" si="15"/>
        <v>0</v>
      </c>
      <c r="AH8" s="37">
        <f t="shared" si="15"/>
        <v>0</v>
      </c>
      <c r="AI8" s="37">
        <f t="shared" si="15"/>
        <v>0</v>
      </c>
      <c r="AJ8" s="37">
        <f t="shared" si="15"/>
        <v>0</v>
      </c>
      <c r="AK8" s="37">
        <f t="shared" si="15"/>
        <v>0</v>
      </c>
      <c r="AL8" s="37">
        <f t="shared" si="4"/>
        <v>5</v>
      </c>
      <c r="AM8" s="37">
        <f t="shared" si="5"/>
        <v>0</v>
      </c>
      <c r="AN8" s="37">
        <f t="shared" si="6"/>
        <v>5</v>
      </c>
      <c r="AO8" s="37">
        <f t="shared" si="7"/>
        <v>90</v>
      </c>
      <c r="AP8" s="37">
        <f t="shared" si="8"/>
        <v>10</v>
      </c>
      <c r="AQ8" s="37">
        <f t="shared" si="9"/>
        <v>0</v>
      </c>
      <c r="AR8" s="37">
        <f t="shared" si="10"/>
        <v>5</v>
      </c>
      <c r="AS8" s="37">
        <f t="shared" si="11"/>
        <v>0</v>
      </c>
      <c r="AT8" s="37">
        <f t="shared" si="12"/>
        <v>20</v>
      </c>
      <c r="AU8" s="37">
        <f t="shared" si="13"/>
        <v>10</v>
      </c>
      <c r="AV8" s="32"/>
    </row>
    <row r="9" spans="1:48" ht="14.25" customHeight="1">
      <c r="A9" s="33" t="s">
        <v>20</v>
      </c>
      <c r="B9" s="35">
        <v>45210</v>
      </c>
      <c r="C9" s="36">
        <v>2</v>
      </c>
      <c r="D9" s="32" t="s">
        <v>26</v>
      </c>
      <c r="E9" s="32" t="s">
        <v>125</v>
      </c>
      <c r="F9" s="32" t="s">
        <v>85</v>
      </c>
      <c r="G9" s="36">
        <v>5</v>
      </c>
      <c r="H9" s="36">
        <v>1</v>
      </c>
      <c r="I9" s="36" t="s">
        <v>126</v>
      </c>
      <c r="J9" s="36">
        <v>3</v>
      </c>
      <c r="K9" s="37" t="s">
        <v>128</v>
      </c>
      <c r="L9" s="37" t="s">
        <v>128</v>
      </c>
      <c r="M9" s="37" t="s">
        <v>128</v>
      </c>
      <c r="N9" s="37" t="s">
        <v>128</v>
      </c>
      <c r="O9" s="37" t="s">
        <v>128</v>
      </c>
      <c r="P9" s="37" t="s">
        <v>128</v>
      </c>
      <c r="Q9" s="37">
        <v>27.3</v>
      </c>
      <c r="R9" s="37">
        <v>7.8</v>
      </c>
      <c r="S9" s="36" t="s">
        <v>126</v>
      </c>
      <c r="T9" s="37">
        <v>140.9</v>
      </c>
      <c r="U9" s="40">
        <v>4.62</v>
      </c>
      <c r="V9" s="40">
        <v>7.15</v>
      </c>
      <c r="W9" s="36" t="s">
        <v>126</v>
      </c>
      <c r="X9" s="40">
        <v>107.07</v>
      </c>
      <c r="Y9" s="41">
        <v>0</v>
      </c>
      <c r="Z9" s="37">
        <f t="shared" si="14"/>
        <v>1</v>
      </c>
      <c r="AA9" s="37">
        <v>16</v>
      </c>
      <c r="AB9" s="37">
        <f t="shared" si="0"/>
        <v>13.666666666666666</v>
      </c>
      <c r="AC9" s="37">
        <f t="shared" si="1"/>
        <v>16</v>
      </c>
      <c r="AD9" s="40">
        <v>3.64</v>
      </c>
      <c r="AE9" s="37">
        <f t="shared" si="2"/>
        <v>100</v>
      </c>
      <c r="AF9" s="37">
        <f t="shared" ref="AF9:AK9" si="16">AVERAGE(0,0,0,0)</f>
        <v>0</v>
      </c>
      <c r="AG9" s="37">
        <f t="shared" si="16"/>
        <v>0</v>
      </c>
      <c r="AH9" s="37">
        <f t="shared" si="16"/>
        <v>0</v>
      </c>
      <c r="AI9" s="37">
        <f t="shared" si="16"/>
        <v>0</v>
      </c>
      <c r="AJ9" s="37">
        <f t="shared" si="16"/>
        <v>0</v>
      </c>
      <c r="AK9" s="37">
        <f t="shared" si="16"/>
        <v>0</v>
      </c>
      <c r="AL9" s="37">
        <f t="shared" si="4"/>
        <v>5</v>
      </c>
      <c r="AM9" s="37">
        <f t="shared" si="5"/>
        <v>0</v>
      </c>
      <c r="AN9" s="37">
        <f t="shared" si="6"/>
        <v>5</v>
      </c>
      <c r="AO9" s="37">
        <f t="shared" si="7"/>
        <v>90</v>
      </c>
      <c r="AP9" s="37">
        <f t="shared" si="8"/>
        <v>10</v>
      </c>
      <c r="AQ9" s="37">
        <f t="shared" si="9"/>
        <v>0</v>
      </c>
      <c r="AR9" s="37">
        <f t="shared" si="10"/>
        <v>5</v>
      </c>
      <c r="AS9" s="37">
        <f t="shared" si="11"/>
        <v>0</v>
      </c>
      <c r="AT9" s="37">
        <f t="shared" si="12"/>
        <v>20</v>
      </c>
      <c r="AU9" s="37">
        <f t="shared" si="13"/>
        <v>10</v>
      </c>
      <c r="AV9" s="32"/>
    </row>
    <row r="10" spans="1:48" ht="14.25" customHeight="1">
      <c r="A10" s="33" t="s">
        <v>27</v>
      </c>
      <c r="B10" s="35">
        <v>45210</v>
      </c>
      <c r="C10" s="36">
        <v>2</v>
      </c>
      <c r="D10" s="32" t="s">
        <v>26</v>
      </c>
      <c r="E10" s="32" t="s">
        <v>125</v>
      </c>
      <c r="F10" s="32" t="s">
        <v>85</v>
      </c>
      <c r="G10" s="36">
        <v>6</v>
      </c>
      <c r="H10" s="36">
        <v>1</v>
      </c>
      <c r="I10" s="36" t="s">
        <v>126</v>
      </c>
      <c r="J10" s="36">
        <v>1</v>
      </c>
      <c r="K10" s="37" t="s">
        <v>128</v>
      </c>
      <c r="L10" s="37" t="s">
        <v>128</v>
      </c>
      <c r="M10" s="37" t="s">
        <v>128</v>
      </c>
      <c r="N10" s="37" t="s">
        <v>128</v>
      </c>
      <c r="O10" s="37" t="s">
        <v>128</v>
      </c>
      <c r="P10" s="37" t="s">
        <v>128</v>
      </c>
      <c r="Q10" s="37">
        <v>25.3</v>
      </c>
      <c r="R10" s="37">
        <v>7.8</v>
      </c>
      <c r="S10" s="36" t="s">
        <v>126</v>
      </c>
      <c r="T10" s="37">
        <v>154.1</v>
      </c>
      <c r="U10" s="40">
        <v>2.14</v>
      </c>
      <c r="V10" s="40">
        <v>6.83</v>
      </c>
      <c r="W10" s="36" t="s">
        <v>126</v>
      </c>
      <c r="X10" s="40">
        <v>112.84</v>
      </c>
      <c r="Y10" s="41">
        <f t="shared" ref="Y10:Y12" si="17">1/(AVERAGE(36.96,23.3,24.92))</f>
        <v>3.521953510213665E-2</v>
      </c>
      <c r="Z10" s="37">
        <f t="shared" ref="Z10:Z13" si="18">AVERAGE(2,3)</f>
        <v>2.5</v>
      </c>
      <c r="AA10" s="37">
        <v>31</v>
      </c>
      <c r="AB10" s="37">
        <f t="shared" ref="AB10:AB11" si="19">AVERAGE(15,31,15)</f>
        <v>20.333333333333332</v>
      </c>
      <c r="AC10" s="37">
        <f t="shared" ref="AC10:AC12" si="20">AVERAGE(30,30,30,30)</f>
        <v>30</v>
      </c>
      <c r="AD10" s="40">
        <v>4.4000000000000004</v>
      </c>
      <c r="AE10" s="37">
        <f t="shared" si="2"/>
        <v>100</v>
      </c>
      <c r="AF10" s="37">
        <f t="shared" ref="AF10:AK10" si="21">AVERAGE(0,0,0,0)</f>
        <v>0</v>
      </c>
      <c r="AG10" s="37">
        <f t="shared" si="21"/>
        <v>0</v>
      </c>
      <c r="AH10" s="37">
        <f t="shared" si="21"/>
        <v>0</v>
      </c>
      <c r="AI10" s="37">
        <f t="shared" si="21"/>
        <v>0</v>
      </c>
      <c r="AJ10" s="37">
        <f t="shared" si="21"/>
        <v>0</v>
      </c>
      <c r="AK10" s="37">
        <f t="shared" si="21"/>
        <v>0</v>
      </c>
      <c r="AL10" s="37">
        <f t="shared" ref="AL10:AL11" si="22">AVERAGE(30,30,30,30)</f>
        <v>30</v>
      </c>
      <c r="AM10" s="37">
        <f t="shared" ref="AM10:AN10" si="23">AVERAGE(5,5,5,5)</f>
        <v>5</v>
      </c>
      <c r="AN10" s="37">
        <f t="shared" si="23"/>
        <v>5</v>
      </c>
      <c r="AO10" s="37">
        <f>AVERAGE(80,80,80,80)</f>
        <v>80</v>
      </c>
      <c r="AP10" s="37">
        <f>AVERAGE(5,5,5,5)</f>
        <v>5</v>
      </c>
      <c r="AQ10" s="37">
        <f t="shared" si="9"/>
        <v>0</v>
      </c>
      <c r="AR10" s="37">
        <f>AVERAGE(0,0,0,0)</f>
        <v>0</v>
      </c>
      <c r="AS10" s="37">
        <f>AVERAGE(5,5,5,5)</f>
        <v>5</v>
      </c>
      <c r="AT10" s="37">
        <f>AVERAGE(0,0,0,0)</f>
        <v>0</v>
      </c>
      <c r="AU10" s="37">
        <f t="shared" ref="AU10:AU12" si="24">AVERAGE(5,5,5,5)</f>
        <v>5</v>
      </c>
      <c r="AV10" s="32"/>
    </row>
    <row r="11" spans="1:48" ht="14.25" customHeight="1">
      <c r="A11" s="33" t="s">
        <v>27</v>
      </c>
      <c r="B11" s="35">
        <v>45210</v>
      </c>
      <c r="C11" s="36">
        <v>2</v>
      </c>
      <c r="D11" s="32" t="s">
        <v>26</v>
      </c>
      <c r="E11" s="32" t="s">
        <v>125</v>
      </c>
      <c r="F11" s="32" t="s">
        <v>85</v>
      </c>
      <c r="G11" s="36">
        <v>6</v>
      </c>
      <c r="H11" s="36">
        <v>1</v>
      </c>
      <c r="I11" s="36" t="s">
        <v>126</v>
      </c>
      <c r="J11" s="36">
        <v>2</v>
      </c>
      <c r="K11" s="37" t="s">
        <v>128</v>
      </c>
      <c r="L11" s="37" t="s">
        <v>128</v>
      </c>
      <c r="M11" s="37" t="s">
        <v>128</v>
      </c>
      <c r="N11" s="37" t="s">
        <v>128</v>
      </c>
      <c r="O11" s="37" t="s">
        <v>128</v>
      </c>
      <c r="P11" s="37" t="s">
        <v>128</v>
      </c>
      <c r="Q11" s="37">
        <v>27.5</v>
      </c>
      <c r="R11" s="37">
        <v>7.2</v>
      </c>
      <c r="S11" s="36" t="s">
        <v>126</v>
      </c>
      <c r="T11" s="37">
        <v>156.80000000000001</v>
      </c>
      <c r="U11" s="40">
        <v>2.12</v>
      </c>
      <c r="V11" s="40">
        <v>7.73</v>
      </c>
      <c r="W11" s="36" t="s">
        <v>126</v>
      </c>
      <c r="X11" s="40">
        <v>112.84</v>
      </c>
      <c r="Y11" s="41">
        <f t="shared" si="17"/>
        <v>3.521953510213665E-2</v>
      </c>
      <c r="Z11" s="37">
        <f t="shared" si="18"/>
        <v>2.5</v>
      </c>
      <c r="AA11" s="37">
        <v>31</v>
      </c>
      <c r="AB11" s="37">
        <f t="shared" si="19"/>
        <v>20.333333333333332</v>
      </c>
      <c r="AC11" s="37">
        <f t="shared" si="20"/>
        <v>30</v>
      </c>
      <c r="AD11" s="40">
        <v>4.4000000000000004</v>
      </c>
      <c r="AE11" s="37">
        <f t="shared" si="2"/>
        <v>100</v>
      </c>
      <c r="AF11" s="37">
        <f t="shared" ref="AF11:AK11" si="25">AVERAGE(0,0,0,0)</f>
        <v>0</v>
      </c>
      <c r="AG11" s="37">
        <f t="shared" si="25"/>
        <v>0</v>
      </c>
      <c r="AH11" s="37">
        <f t="shared" si="25"/>
        <v>0</v>
      </c>
      <c r="AI11" s="37">
        <f t="shared" si="25"/>
        <v>0</v>
      </c>
      <c r="AJ11" s="37">
        <f t="shared" si="25"/>
        <v>0</v>
      </c>
      <c r="AK11" s="37">
        <f t="shared" si="25"/>
        <v>0</v>
      </c>
      <c r="AL11" s="37">
        <f t="shared" si="22"/>
        <v>30</v>
      </c>
      <c r="AM11" s="37">
        <f t="shared" ref="AM11:AM13" si="26">AVERAGE(5,5,5,5)</f>
        <v>5</v>
      </c>
      <c r="AN11" s="37">
        <f>AVERAGE(15,15,15,15)</f>
        <v>15</v>
      </c>
      <c r="AO11" s="37">
        <f>AVERAGE(85,85,85,85)</f>
        <v>85</v>
      </c>
      <c r="AP11" s="37">
        <f>AVERAGE(1,1,1,1)</f>
        <v>1</v>
      </c>
      <c r="AQ11" s="37">
        <f t="shared" si="9"/>
        <v>0</v>
      </c>
      <c r="AR11" s="37">
        <f>AVERAGE(1,1,1,1)</f>
        <v>1</v>
      </c>
      <c r="AS11" s="37">
        <f>AVERAGE(15,15,15,15)</f>
        <v>15</v>
      </c>
      <c r="AT11" s="37">
        <f>AVERAGE(1,1,1,1)</f>
        <v>1</v>
      </c>
      <c r="AU11" s="37">
        <f t="shared" si="24"/>
        <v>5</v>
      </c>
      <c r="AV11" s="32"/>
    </row>
    <row r="12" spans="1:48" ht="14.25" customHeight="1">
      <c r="A12" s="33" t="s">
        <v>27</v>
      </c>
      <c r="B12" s="35">
        <v>45210</v>
      </c>
      <c r="C12" s="36">
        <v>2</v>
      </c>
      <c r="D12" s="32" t="s">
        <v>26</v>
      </c>
      <c r="E12" s="32" t="s">
        <v>125</v>
      </c>
      <c r="F12" s="32" t="s">
        <v>85</v>
      </c>
      <c r="G12" s="36">
        <v>6</v>
      </c>
      <c r="H12" s="36">
        <v>1</v>
      </c>
      <c r="I12" s="36" t="s">
        <v>126</v>
      </c>
      <c r="J12" s="36">
        <v>3</v>
      </c>
      <c r="K12" s="37" t="s">
        <v>128</v>
      </c>
      <c r="L12" s="37" t="s">
        <v>128</v>
      </c>
      <c r="M12" s="37" t="s">
        <v>128</v>
      </c>
      <c r="N12" s="37" t="s">
        <v>128</v>
      </c>
      <c r="O12" s="37" t="s">
        <v>128</v>
      </c>
      <c r="P12" s="37" t="s">
        <v>128</v>
      </c>
      <c r="Q12" s="37">
        <v>26.8</v>
      </c>
      <c r="R12" s="37">
        <v>7.6</v>
      </c>
      <c r="S12" s="36" t="s">
        <v>126</v>
      </c>
      <c r="T12" s="37">
        <v>134.1</v>
      </c>
      <c r="U12" s="40">
        <v>14.1</v>
      </c>
      <c r="V12" s="40">
        <v>5.87</v>
      </c>
      <c r="W12" s="36" t="s">
        <v>126</v>
      </c>
      <c r="X12" s="40">
        <v>112.84</v>
      </c>
      <c r="Y12" s="41">
        <f t="shared" si="17"/>
        <v>3.521953510213665E-2</v>
      </c>
      <c r="Z12" s="37">
        <f t="shared" si="18"/>
        <v>2.5</v>
      </c>
      <c r="AA12" s="37">
        <v>29</v>
      </c>
      <c r="AB12" s="37">
        <f>AVERAGE(36,29,20)</f>
        <v>28.333333333333332</v>
      </c>
      <c r="AC12" s="37">
        <f t="shared" si="20"/>
        <v>30</v>
      </c>
      <c r="AD12" s="40">
        <v>2.2999999999999998</v>
      </c>
      <c r="AE12" s="37">
        <f t="shared" si="2"/>
        <v>100</v>
      </c>
      <c r="AF12" s="37">
        <f t="shared" ref="AF12:AL12" si="27">AVERAGE(0,0,0,0)</f>
        <v>0</v>
      </c>
      <c r="AG12" s="37">
        <f t="shared" si="27"/>
        <v>0</v>
      </c>
      <c r="AH12" s="37">
        <f t="shared" si="27"/>
        <v>0</v>
      </c>
      <c r="AI12" s="37">
        <f t="shared" si="27"/>
        <v>0</v>
      </c>
      <c r="AJ12" s="37">
        <f t="shared" si="27"/>
        <v>0</v>
      </c>
      <c r="AK12" s="37">
        <f t="shared" si="27"/>
        <v>0</v>
      </c>
      <c r="AL12" s="37">
        <f t="shared" si="27"/>
        <v>0</v>
      </c>
      <c r="AM12" s="37">
        <f t="shared" si="26"/>
        <v>5</v>
      </c>
      <c r="AN12" s="37">
        <f>AVERAGE(5,5,5,5)</f>
        <v>5</v>
      </c>
      <c r="AO12" s="37">
        <f>AVERAGE(80,80,80,80)</f>
        <v>80</v>
      </c>
      <c r="AP12" s="37">
        <f>AVERAGE(5,5,5,5)</f>
        <v>5</v>
      </c>
      <c r="AQ12" s="37">
        <f t="shared" si="9"/>
        <v>0</v>
      </c>
      <c r="AR12" s="37">
        <f>AVERAGE(0,0,0,0)</f>
        <v>0</v>
      </c>
      <c r="AS12" s="37">
        <f>AVERAGE(5,5,5,5)</f>
        <v>5</v>
      </c>
      <c r="AT12" s="37">
        <f>AVERAGE(0,0,0,0)</f>
        <v>0</v>
      </c>
      <c r="AU12" s="37">
        <f t="shared" si="24"/>
        <v>5</v>
      </c>
      <c r="AV12" s="32"/>
    </row>
    <row r="13" spans="1:48" ht="14.25" customHeight="1">
      <c r="A13" s="33" t="s">
        <v>31</v>
      </c>
      <c r="B13" s="35">
        <v>45210</v>
      </c>
      <c r="C13" s="36">
        <v>2</v>
      </c>
      <c r="D13" s="32" t="s">
        <v>26</v>
      </c>
      <c r="E13" s="32" t="s">
        <v>125</v>
      </c>
      <c r="F13" s="32" t="s">
        <v>85</v>
      </c>
      <c r="G13" s="36">
        <v>7</v>
      </c>
      <c r="H13" s="36">
        <v>1</v>
      </c>
      <c r="I13" s="36" t="s">
        <v>126</v>
      </c>
      <c r="J13" s="36">
        <v>1</v>
      </c>
      <c r="K13" s="37" t="s">
        <v>128</v>
      </c>
      <c r="L13" s="37" t="s">
        <v>128</v>
      </c>
      <c r="M13" s="37" t="s">
        <v>128</v>
      </c>
      <c r="N13" s="37" t="s">
        <v>128</v>
      </c>
      <c r="O13" s="37" t="s">
        <v>128</v>
      </c>
      <c r="P13" s="37" t="s">
        <v>128</v>
      </c>
      <c r="Q13" s="37">
        <v>24.9</v>
      </c>
      <c r="R13" s="37">
        <v>7.7</v>
      </c>
      <c r="S13" s="36" t="s">
        <v>126</v>
      </c>
      <c r="T13" s="37">
        <v>98.28</v>
      </c>
      <c r="U13" s="42">
        <v>1.51</v>
      </c>
      <c r="V13" s="40">
        <v>5.76</v>
      </c>
      <c r="W13" s="36" t="s">
        <v>126</v>
      </c>
      <c r="X13" s="40">
        <v>89.046999999999997</v>
      </c>
      <c r="Y13" s="41">
        <f>1/(AVERAGE(39.91,50.26))</f>
        <v>2.218032605079295E-2</v>
      </c>
      <c r="Z13" s="37">
        <f t="shared" si="18"/>
        <v>2.5</v>
      </c>
      <c r="AA13" s="37">
        <v>22</v>
      </c>
      <c r="AB13" s="37">
        <f>AVERAGE(11,22,15)</f>
        <v>16</v>
      </c>
      <c r="AC13" s="37">
        <f>AVERAGE(42,42,42,42)</f>
        <v>42</v>
      </c>
      <c r="AD13" s="40">
        <v>2.1</v>
      </c>
      <c r="AE13" s="37">
        <f t="shared" ref="AE13:AE15" si="28">AVERAGE(90,90,90,90)</f>
        <v>90</v>
      </c>
      <c r="AF13" s="37">
        <f t="shared" ref="AF13:AF15" si="29">AVERAGE(10,10,10,10)</f>
        <v>10</v>
      </c>
      <c r="AG13" s="37">
        <f t="shared" ref="AG13:AL13" si="30">AVERAGE(0,0,0,0)</f>
        <v>0</v>
      </c>
      <c r="AH13" s="37">
        <f t="shared" si="30"/>
        <v>0</v>
      </c>
      <c r="AI13" s="37">
        <f t="shared" si="30"/>
        <v>0</v>
      </c>
      <c r="AJ13" s="37">
        <f t="shared" si="30"/>
        <v>0</v>
      </c>
      <c r="AK13" s="37">
        <f t="shared" si="30"/>
        <v>0</v>
      </c>
      <c r="AL13" s="37">
        <f t="shared" si="30"/>
        <v>0</v>
      </c>
      <c r="AM13" s="37">
        <f t="shared" si="26"/>
        <v>5</v>
      </c>
      <c r="AN13" s="37">
        <f>AVERAGE(0,0,0,0)</f>
        <v>0</v>
      </c>
      <c r="AO13" s="37">
        <f>AVERAGE(90,90,90,90)</f>
        <v>90</v>
      </c>
      <c r="AP13" s="37">
        <f>AVERAGE(30,30,30,30)</f>
        <v>30</v>
      </c>
      <c r="AQ13" s="37">
        <f t="shared" ref="AQ13:AR13" si="31">AVERAGE(1,1,1,1)</f>
        <v>1</v>
      </c>
      <c r="AR13" s="37">
        <f t="shared" si="31"/>
        <v>1</v>
      </c>
      <c r="AS13" s="37">
        <f>AVERAGE(15,15,15,15)</f>
        <v>15</v>
      </c>
      <c r="AT13" s="37">
        <f>AVERAGE(5,5,5,5)</f>
        <v>5</v>
      </c>
      <c r="AU13" s="37">
        <f>AVERAGE(10,10,10,10)</f>
        <v>10</v>
      </c>
      <c r="AV13" s="32"/>
    </row>
    <row r="14" spans="1:48" ht="14.25" customHeight="1">
      <c r="A14" s="33" t="s">
        <v>31</v>
      </c>
      <c r="B14" s="35">
        <v>45210</v>
      </c>
      <c r="C14" s="36">
        <v>2</v>
      </c>
      <c r="D14" s="32" t="s">
        <v>26</v>
      </c>
      <c r="E14" s="32" t="s">
        <v>125</v>
      </c>
      <c r="F14" s="32" t="s">
        <v>85</v>
      </c>
      <c r="G14" s="36">
        <v>7</v>
      </c>
      <c r="H14" s="36">
        <v>1</v>
      </c>
      <c r="I14" s="36" t="s">
        <v>126</v>
      </c>
      <c r="J14" s="36">
        <v>2</v>
      </c>
      <c r="K14" s="37" t="s">
        <v>128</v>
      </c>
      <c r="L14" s="37" t="s">
        <v>128</v>
      </c>
      <c r="M14" s="37" t="s">
        <v>128</v>
      </c>
      <c r="N14" s="37" t="s">
        <v>128</v>
      </c>
      <c r="O14" s="37" t="s">
        <v>128</v>
      </c>
      <c r="P14" s="37" t="s">
        <v>128</v>
      </c>
      <c r="Q14" s="37">
        <v>25.3</v>
      </c>
      <c r="R14" s="37">
        <v>7.9</v>
      </c>
      <c r="S14" s="36" t="s">
        <v>126</v>
      </c>
      <c r="T14" s="37">
        <v>160.19999999999999</v>
      </c>
      <c r="U14" s="40">
        <v>9.25</v>
      </c>
      <c r="V14" s="40">
        <v>6.05</v>
      </c>
      <c r="W14" s="36" t="s">
        <v>126</v>
      </c>
      <c r="X14" s="40">
        <v>89.046999999999997</v>
      </c>
      <c r="Y14" s="41">
        <f>1/(AVERAGE(10.23,10.75,8.77,9.38,8.2,8.77,8.46))</f>
        <v>0.10842627013630732</v>
      </c>
      <c r="Z14" s="37">
        <f>AVERAGE(1,2)</f>
        <v>1.5</v>
      </c>
      <c r="AA14" s="37">
        <v>20</v>
      </c>
      <c r="AB14" s="37">
        <f>AVERAGE(25,20,16)</f>
        <v>20.333333333333332</v>
      </c>
      <c r="AC14" s="37">
        <f>AVERAGE(29,29,29,29)</f>
        <v>29</v>
      </c>
      <c r="AD14" s="40">
        <v>1.1399999999999999</v>
      </c>
      <c r="AE14" s="37">
        <f t="shared" si="28"/>
        <v>90</v>
      </c>
      <c r="AF14" s="37">
        <f t="shared" si="29"/>
        <v>10</v>
      </c>
      <c r="AG14" s="37">
        <f t="shared" ref="AG14:AN14" si="32">AVERAGE(0,0,0,0)</f>
        <v>0</v>
      </c>
      <c r="AH14" s="37">
        <f t="shared" si="32"/>
        <v>0</v>
      </c>
      <c r="AI14" s="37">
        <f t="shared" si="32"/>
        <v>0</v>
      </c>
      <c r="AJ14" s="37">
        <f t="shared" si="32"/>
        <v>0</v>
      </c>
      <c r="AK14" s="37">
        <f t="shared" si="32"/>
        <v>0</v>
      </c>
      <c r="AL14" s="37">
        <f t="shared" si="32"/>
        <v>0</v>
      </c>
      <c r="AM14" s="37">
        <f t="shared" si="32"/>
        <v>0</v>
      </c>
      <c r="AN14" s="37">
        <f t="shared" si="32"/>
        <v>0</v>
      </c>
      <c r="AO14" s="37">
        <f>AVERAGE(85,85,85,85)</f>
        <v>85</v>
      </c>
      <c r="AP14" s="37">
        <f>AVERAGE(5,5,5,5)</f>
        <v>5</v>
      </c>
      <c r="AQ14" s="37">
        <f>AVERAGE(20,20,20,20)</f>
        <v>20</v>
      </c>
      <c r="AR14" s="37">
        <f>AVERAGE(1,1,1,1)</f>
        <v>1</v>
      </c>
      <c r="AS14" s="37">
        <f t="shared" ref="AS14:AT14" si="33">AVERAGE(10,10,10,10)</f>
        <v>10</v>
      </c>
      <c r="AT14" s="37">
        <f t="shared" si="33"/>
        <v>10</v>
      </c>
      <c r="AU14" s="37">
        <f>AVERAGE(1,1,1,1)</f>
        <v>1</v>
      </c>
      <c r="AV14" s="32"/>
    </row>
    <row r="15" spans="1:48" ht="14.25" customHeight="1">
      <c r="A15" s="33" t="s">
        <v>31</v>
      </c>
      <c r="B15" s="35">
        <v>45210</v>
      </c>
      <c r="C15" s="36">
        <v>2</v>
      </c>
      <c r="D15" s="32" t="s">
        <v>26</v>
      </c>
      <c r="E15" s="32" t="s">
        <v>125</v>
      </c>
      <c r="F15" s="32" t="s">
        <v>85</v>
      </c>
      <c r="G15" s="36">
        <v>7</v>
      </c>
      <c r="H15" s="36">
        <v>1</v>
      </c>
      <c r="I15" s="36" t="s">
        <v>126</v>
      </c>
      <c r="J15" s="36">
        <v>3</v>
      </c>
      <c r="K15" s="37" t="s">
        <v>128</v>
      </c>
      <c r="L15" s="37" t="s">
        <v>128</v>
      </c>
      <c r="M15" s="37" t="s">
        <v>128</v>
      </c>
      <c r="N15" s="37" t="s">
        <v>128</v>
      </c>
      <c r="O15" s="37" t="s">
        <v>128</v>
      </c>
      <c r="P15" s="37" t="s">
        <v>128</v>
      </c>
      <c r="Q15" s="37">
        <v>25.5</v>
      </c>
      <c r="R15" s="37">
        <v>8</v>
      </c>
      <c r="S15" s="36" t="s">
        <v>126</v>
      </c>
      <c r="T15" s="37">
        <v>128.5</v>
      </c>
      <c r="U15" s="40">
        <v>2.52</v>
      </c>
      <c r="V15" s="40">
        <v>4.55</v>
      </c>
      <c r="W15" s="36" t="s">
        <v>126</v>
      </c>
      <c r="X15" s="40">
        <v>89.046999999999997</v>
      </c>
      <c r="Y15" s="41">
        <f>1/(AVERAGE(10.59,13,13.52,13.42,10.82,7.62,11.28))</f>
        <v>8.7227414330218078E-2</v>
      </c>
      <c r="Z15" s="37">
        <f>AVERAGE(2,3)</f>
        <v>2.5</v>
      </c>
      <c r="AA15" s="37">
        <v>26</v>
      </c>
      <c r="AB15" s="37">
        <f>AVERAGE(21,26,21)</f>
        <v>22.666666666666668</v>
      </c>
      <c r="AC15" s="37">
        <f>AVERAGE(15,15,15,15)</f>
        <v>15</v>
      </c>
      <c r="AD15" s="40">
        <v>1.8</v>
      </c>
      <c r="AE15" s="37">
        <f t="shared" si="28"/>
        <v>90</v>
      </c>
      <c r="AF15" s="37">
        <f t="shared" si="29"/>
        <v>10</v>
      </c>
      <c r="AG15" s="37">
        <f t="shared" ref="AG15:AL15" si="34">AVERAGE(0,0,0,0)</f>
        <v>0</v>
      </c>
      <c r="AH15" s="37">
        <f t="shared" si="34"/>
        <v>0</v>
      </c>
      <c r="AI15" s="37">
        <f t="shared" si="34"/>
        <v>0</v>
      </c>
      <c r="AJ15" s="37">
        <f t="shared" si="34"/>
        <v>0</v>
      </c>
      <c r="AK15" s="37">
        <f t="shared" si="34"/>
        <v>0</v>
      </c>
      <c r="AL15" s="37">
        <f t="shared" si="34"/>
        <v>0</v>
      </c>
      <c r="AM15" s="37">
        <f>AVERAGE(1,1,1,1)</f>
        <v>1</v>
      </c>
      <c r="AN15" s="37">
        <f>AVERAGE(10,10,10,10)</f>
        <v>10</v>
      </c>
      <c r="AO15" s="37">
        <f>AVERAGE(80,80,80,80)</f>
        <v>80</v>
      </c>
      <c r="AP15" s="37">
        <f>AVERAGE(25,25,25,25)</f>
        <v>25</v>
      </c>
      <c r="AQ15" s="37">
        <f t="shared" ref="AQ15:AT15" si="35">AVERAGE(5,5,5,5)</f>
        <v>5</v>
      </c>
      <c r="AR15" s="37">
        <f t="shared" si="35"/>
        <v>5</v>
      </c>
      <c r="AS15" s="37">
        <f t="shared" si="35"/>
        <v>5</v>
      </c>
      <c r="AT15" s="37">
        <f t="shared" si="35"/>
        <v>5</v>
      </c>
      <c r="AU15" s="37">
        <f>AVERAGE(0,0,0,0)</f>
        <v>0</v>
      </c>
      <c r="AV15" s="32"/>
    </row>
    <row r="16" spans="1:48" ht="14.25" customHeight="1">
      <c r="A16" s="33" t="s">
        <v>33</v>
      </c>
      <c r="B16" s="35">
        <v>45168</v>
      </c>
      <c r="C16" s="36">
        <v>1</v>
      </c>
      <c r="D16" s="35" t="s">
        <v>26</v>
      </c>
      <c r="E16" s="32" t="s">
        <v>125</v>
      </c>
      <c r="F16" s="32" t="s">
        <v>85</v>
      </c>
      <c r="G16" s="36">
        <v>8</v>
      </c>
      <c r="H16" s="36">
        <v>4</v>
      </c>
      <c r="I16" s="36" t="s">
        <v>126</v>
      </c>
      <c r="J16" s="36">
        <v>1</v>
      </c>
      <c r="K16" s="37" t="s">
        <v>129</v>
      </c>
      <c r="L16" s="37" t="s">
        <v>129</v>
      </c>
      <c r="M16" s="37" t="s">
        <v>129</v>
      </c>
      <c r="N16" s="37" t="s">
        <v>129</v>
      </c>
      <c r="O16" s="37" t="s">
        <v>129</v>
      </c>
      <c r="P16" s="37" t="s">
        <v>129</v>
      </c>
      <c r="Q16" s="37">
        <v>28.5</v>
      </c>
      <c r="R16" s="37">
        <v>8.4</v>
      </c>
      <c r="S16" s="36" t="s">
        <v>126</v>
      </c>
      <c r="T16" s="37">
        <v>161.30000000000001</v>
      </c>
      <c r="U16" s="40">
        <v>6.26</v>
      </c>
      <c r="V16" s="40">
        <v>6</v>
      </c>
      <c r="W16" s="36" t="s">
        <v>126</v>
      </c>
      <c r="X16" s="40">
        <v>89.058999999999997</v>
      </c>
      <c r="Y16" s="41">
        <v>0</v>
      </c>
      <c r="Z16" s="37">
        <f t="shared" ref="Z16:Z18" si="36">AVERAGE(2,2)</f>
        <v>2</v>
      </c>
      <c r="AA16" s="43">
        <v>56</v>
      </c>
      <c r="AB16" s="37">
        <f t="shared" ref="AB16:AB17" si="37">AVERAGE(49,56,49)</f>
        <v>51.333333333333336</v>
      </c>
      <c r="AC16" s="37">
        <f>AVERAGE(49,49,49,49)</f>
        <v>49</v>
      </c>
      <c r="AD16" s="40">
        <v>14.6</v>
      </c>
      <c r="AE16" s="37">
        <f t="shared" ref="AE16:AE17" si="38">AVERAGE(80,80,80,80)</f>
        <v>80</v>
      </c>
      <c r="AF16" s="37">
        <f t="shared" ref="AF16:AF17" si="39">AVERAGE(20,20,20,20)</f>
        <v>20</v>
      </c>
      <c r="AG16" s="37">
        <f t="shared" ref="AG16:AK16" si="40">AVERAGE(0,0,0,0)</f>
        <v>0</v>
      </c>
      <c r="AH16" s="37">
        <f t="shared" si="40"/>
        <v>0</v>
      </c>
      <c r="AI16" s="37">
        <f t="shared" si="40"/>
        <v>0</v>
      </c>
      <c r="AJ16" s="37">
        <f t="shared" si="40"/>
        <v>0</v>
      </c>
      <c r="AK16" s="37">
        <f t="shared" si="40"/>
        <v>0</v>
      </c>
      <c r="AL16" s="37">
        <f>AVERAGE(60,60,60,60)</f>
        <v>60</v>
      </c>
      <c r="AM16" s="37">
        <f>AVERAGE(50,50,50,50)</f>
        <v>50</v>
      </c>
      <c r="AN16" s="37">
        <f>AVERAGE(0,0,0,0)</f>
        <v>0</v>
      </c>
      <c r="AO16" s="37">
        <f t="shared" ref="AO16:AP16" si="41">AVERAGE(30,30,30,30)</f>
        <v>30</v>
      </c>
      <c r="AP16" s="37">
        <f t="shared" si="41"/>
        <v>30</v>
      </c>
      <c r="AQ16" s="37">
        <f t="shared" ref="AQ16:AQ17" si="42">AVERAGE(0,0,0,0)</f>
        <v>0</v>
      </c>
      <c r="AR16" s="37">
        <f>AVERAGE(15,15,15,15)</f>
        <v>15</v>
      </c>
      <c r="AS16" s="37">
        <f t="shared" ref="AS16:AS17" si="43">AVERAGE(0,0,0,0)</f>
        <v>0</v>
      </c>
      <c r="AT16" s="37">
        <f>AVERAGE(10,10,10,10)</f>
        <v>10</v>
      </c>
      <c r="AU16" s="37">
        <f t="shared" ref="AU16:AU17" si="44">AVERAGE(20,20,20,20)</f>
        <v>20</v>
      </c>
      <c r="AV16" s="37"/>
    </row>
    <row r="17" spans="1:48" ht="14.25" customHeight="1">
      <c r="A17" s="33" t="s">
        <v>33</v>
      </c>
      <c r="B17" s="35">
        <v>45168</v>
      </c>
      <c r="C17" s="36">
        <v>1</v>
      </c>
      <c r="D17" s="35" t="s">
        <v>26</v>
      </c>
      <c r="E17" s="32" t="s">
        <v>125</v>
      </c>
      <c r="F17" s="32" t="s">
        <v>85</v>
      </c>
      <c r="G17" s="36">
        <v>8</v>
      </c>
      <c r="H17" s="36">
        <v>4</v>
      </c>
      <c r="I17" s="36" t="s">
        <v>126</v>
      </c>
      <c r="J17" s="36">
        <v>2</v>
      </c>
      <c r="K17" s="37" t="s">
        <v>129</v>
      </c>
      <c r="L17" s="37" t="s">
        <v>129</v>
      </c>
      <c r="M17" s="37" t="s">
        <v>129</v>
      </c>
      <c r="N17" s="37" t="s">
        <v>129</v>
      </c>
      <c r="O17" s="37" t="s">
        <v>129</v>
      </c>
      <c r="P17" s="37" t="s">
        <v>129</v>
      </c>
      <c r="Q17" s="37">
        <v>27.8</v>
      </c>
      <c r="R17" s="37">
        <v>7.7</v>
      </c>
      <c r="S17" s="36" t="s">
        <v>126</v>
      </c>
      <c r="T17" s="32">
        <v>161.80000000000001</v>
      </c>
      <c r="U17" s="40">
        <v>6.8</v>
      </c>
      <c r="V17" s="40">
        <v>5.93</v>
      </c>
      <c r="W17" s="36" t="s">
        <v>126</v>
      </c>
      <c r="X17" s="40">
        <v>89.058999999999997</v>
      </c>
      <c r="Y17" s="41">
        <v>0</v>
      </c>
      <c r="Z17" s="37">
        <f t="shared" si="36"/>
        <v>2</v>
      </c>
      <c r="AA17" s="37">
        <v>56</v>
      </c>
      <c r="AB17" s="37">
        <f t="shared" si="37"/>
        <v>51.333333333333336</v>
      </c>
      <c r="AC17" s="37">
        <f>AVERAGE(87,87,87,87)</f>
        <v>87</v>
      </c>
      <c r="AD17" s="40">
        <v>14.6</v>
      </c>
      <c r="AE17" s="37">
        <f t="shared" si="38"/>
        <v>80</v>
      </c>
      <c r="AF17" s="37">
        <f t="shared" si="39"/>
        <v>20</v>
      </c>
      <c r="AG17" s="37">
        <f t="shared" ref="AG17:AK17" si="45">AVERAGE(0,0,0,0)</f>
        <v>0</v>
      </c>
      <c r="AH17" s="37">
        <f t="shared" si="45"/>
        <v>0</v>
      </c>
      <c r="AI17" s="37">
        <f t="shared" si="45"/>
        <v>0</v>
      </c>
      <c r="AJ17" s="43">
        <f t="shared" si="45"/>
        <v>0</v>
      </c>
      <c r="AK17" s="37">
        <f t="shared" si="45"/>
        <v>0</v>
      </c>
      <c r="AL17" s="37">
        <f>AVERAGE(25,25,25,25)</f>
        <v>25</v>
      </c>
      <c r="AM17" s="37">
        <f>AVERAGE(20,20,20,20)</f>
        <v>20</v>
      </c>
      <c r="AN17" s="37">
        <f t="shared" ref="AN17:AN18" si="46">AVERAGE(5,5,5,5)</f>
        <v>5</v>
      </c>
      <c r="AO17" s="37">
        <f t="shared" ref="AO17:AO18" si="47">AVERAGE(30,30,30,30)</f>
        <v>30</v>
      </c>
      <c r="AP17" s="37">
        <f>AVERAGE(20,20,20,20)</f>
        <v>20</v>
      </c>
      <c r="AQ17" s="37">
        <f t="shared" si="42"/>
        <v>0</v>
      </c>
      <c r="AR17" s="37">
        <f>AVERAGE(20,20,20,20)</f>
        <v>20</v>
      </c>
      <c r="AS17" s="37">
        <f t="shared" si="43"/>
        <v>0</v>
      </c>
      <c r="AT17" s="37">
        <f>AVERAGE(15,15,15,15)</f>
        <v>15</v>
      </c>
      <c r="AU17" s="37">
        <f t="shared" si="44"/>
        <v>20</v>
      </c>
      <c r="AV17" s="32"/>
    </row>
    <row r="18" spans="1:48" ht="14.25" customHeight="1">
      <c r="A18" s="33" t="s">
        <v>33</v>
      </c>
      <c r="B18" s="35">
        <v>45168</v>
      </c>
      <c r="C18" s="36">
        <v>1</v>
      </c>
      <c r="D18" s="32" t="s">
        <v>26</v>
      </c>
      <c r="E18" s="32" t="s">
        <v>125</v>
      </c>
      <c r="F18" s="32" t="s">
        <v>85</v>
      </c>
      <c r="G18" s="36">
        <v>8</v>
      </c>
      <c r="H18" s="36">
        <v>4</v>
      </c>
      <c r="I18" s="36" t="s">
        <v>126</v>
      </c>
      <c r="J18" s="36">
        <v>3</v>
      </c>
      <c r="K18" s="37" t="s">
        <v>129</v>
      </c>
      <c r="L18" s="37" t="s">
        <v>129</v>
      </c>
      <c r="M18" s="37" t="s">
        <v>129</v>
      </c>
      <c r="N18" s="37" t="s">
        <v>129</v>
      </c>
      <c r="O18" s="37" t="s">
        <v>129</v>
      </c>
      <c r="P18" s="37" t="s">
        <v>129</v>
      </c>
      <c r="Q18" s="43">
        <v>27</v>
      </c>
      <c r="R18" s="37">
        <v>6.5</v>
      </c>
      <c r="S18" s="36" t="s">
        <v>126</v>
      </c>
      <c r="T18" s="32">
        <v>158.80000000000001</v>
      </c>
      <c r="U18" s="40">
        <v>6.13</v>
      </c>
      <c r="V18" s="40">
        <v>5.87</v>
      </c>
      <c r="W18" s="36" t="s">
        <v>126</v>
      </c>
      <c r="X18" s="40">
        <v>89.058999999999997</v>
      </c>
      <c r="Y18" s="41">
        <f>1/(AVERAGE(9,9,10,8,9,8,8))</f>
        <v>0.11475409836065575</v>
      </c>
      <c r="Z18" s="37">
        <f t="shared" si="36"/>
        <v>2</v>
      </c>
      <c r="AA18" s="37">
        <v>38</v>
      </c>
      <c r="AB18" s="37">
        <f>AVERAGE(26,38,26)</f>
        <v>30</v>
      </c>
      <c r="AC18" s="37">
        <f>AVERAGE(24,24,20,20)</f>
        <v>22</v>
      </c>
      <c r="AD18" s="40">
        <v>2.0499999999999998</v>
      </c>
      <c r="AE18" s="37">
        <f>AVERAGE(20,20,20,20)</f>
        <v>20</v>
      </c>
      <c r="AF18" s="37">
        <f>AVERAGE(80,80,80,80)</f>
        <v>80</v>
      </c>
      <c r="AG18" s="37">
        <f t="shared" ref="AG18:AK18" si="48">AVERAGE(0,0,0,0)</f>
        <v>0</v>
      </c>
      <c r="AH18" s="37">
        <f t="shared" si="48"/>
        <v>0</v>
      </c>
      <c r="AI18" s="37">
        <f t="shared" si="48"/>
        <v>0</v>
      </c>
      <c r="AJ18" s="37">
        <f t="shared" si="48"/>
        <v>0</v>
      </c>
      <c r="AK18" s="37">
        <f t="shared" si="48"/>
        <v>0</v>
      </c>
      <c r="AL18" s="37">
        <f>AVERAGE(15,15,30,30)</f>
        <v>22.5</v>
      </c>
      <c r="AM18" s="37">
        <f>AVERAGE(15,15,80,80)</f>
        <v>47.5</v>
      </c>
      <c r="AN18" s="37">
        <f t="shared" si="46"/>
        <v>5</v>
      </c>
      <c r="AO18" s="37">
        <f t="shared" si="47"/>
        <v>30</v>
      </c>
      <c r="AP18" s="37">
        <f t="shared" ref="AP18:AP19" si="49">AVERAGE(30,30,30,30)</f>
        <v>30</v>
      </c>
      <c r="AQ18" s="37">
        <f>AVERAGE(50,50,50,50)</f>
        <v>50</v>
      </c>
      <c r="AR18" s="37">
        <f t="shared" ref="AR18:AS18" si="50">AVERAGE(0,0,0,0)</f>
        <v>0</v>
      </c>
      <c r="AS18" s="37">
        <f t="shared" si="50"/>
        <v>0</v>
      </c>
      <c r="AT18" s="37">
        <f>AVERAGE(10,10,10,10)</f>
        <v>10</v>
      </c>
      <c r="AU18" s="37">
        <f>AVERAGE(5,5,5,5)</f>
        <v>5</v>
      </c>
      <c r="AV18" s="32"/>
    </row>
    <row r="19" spans="1:48" ht="14.25" customHeight="1">
      <c r="A19" s="33" t="s">
        <v>39</v>
      </c>
      <c r="B19" s="35">
        <v>45168</v>
      </c>
      <c r="C19" s="36">
        <v>1</v>
      </c>
      <c r="D19" s="32" t="s">
        <v>26</v>
      </c>
      <c r="E19" s="32" t="s">
        <v>125</v>
      </c>
      <c r="F19" s="32" t="s">
        <v>85</v>
      </c>
      <c r="G19" s="36">
        <v>9</v>
      </c>
      <c r="H19" s="36">
        <v>3</v>
      </c>
      <c r="I19" s="36" t="s">
        <v>126</v>
      </c>
      <c r="J19" s="36">
        <v>1</v>
      </c>
      <c r="K19" s="37" t="s">
        <v>129</v>
      </c>
      <c r="L19" s="37" t="s">
        <v>129</v>
      </c>
      <c r="M19" s="37" t="s">
        <v>129</v>
      </c>
      <c r="N19" s="37" t="s">
        <v>129</v>
      </c>
      <c r="O19" s="37" t="s">
        <v>129</v>
      </c>
      <c r="P19" s="37" t="s">
        <v>129</v>
      </c>
      <c r="Q19" s="37">
        <v>27.3</v>
      </c>
      <c r="R19" s="37">
        <v>7.9</v>
      </c>
      <c r="S19" s="36" t="s">
        <v>126</v>
      </c>
      <c r="T19" s="32">
        <v>165.5</v>
      </c>
      <c r="U19" s="40">
        <v>17.2</v>
      </c>
      <c r="V19" s="40">
        <v>6.59</v>
      </c>
      <c r="W19" s="36" t="s">
        <v>126</v>
      </c>
      <c r="X19" s="40">
        <v>71.022999999999996</v>
      </c>
      <c r="Y19" s="41">
        <f>1/(AVERAGE(4,4,3,3,3,4,4))</f>
        <v>0.27999999999999997</v>
      </c>
      <c r="Z19" s="37">
        <f t="shared" ref="Z19:Z20" si="51">AVERAGE(3,3)</f>
        <v>3</v>
      </c>
      <c r="AA19" s="37">
        <v>21</v>
      </c>
      <c r="AB19" s="43">
        <f>AVERAGE(16,21,10)</f>
        <v>15.666666666666666</v>
      </c>
      <c r="AC19" s="37">
        <f t="shared" ref="AC19:AC21" si="52">AVERAGE(20,20,20,20)</f>
        <v>20</v>
      </c>
      <c r="AD19" s="42">
        <v>0.81</v>
      </c>
      <c r="AE19" s="37">
        <f>AVERAGE(80,80,80,80)</f>
        <v>80</v>
      </c>
      <c r="AF19" s="37">
        <f>AVERAGE(20,20,20,20)</f>
        <v>20</v>
      </c>
      <c r="AG19" s="37">
        <f t="shared" ref="AG19:AM19" si="53">AVERAGE(0,0,0,0)</f>
        <v>0</v>
      </c>
      <c r="AH19" s="37">
        <f t="shared" si="53"/>
        <v>0</v>
      </c>
      <c r="AI19" s="37">
        <f t="shared" si="53"/>
        <v>0</v>
      </c>
      <c r="AJ19" s="37">
        <f t="shared" si="53"/>
        <v>0</v>
      </c>
      <c r="AK19" s="37">
        <f t="shared" si="53"/>
        <v>0</v>
      </c>
      <c r="AL19" s="37">
        <f t="shared" si="53"/>
        <v>0</v>
      </c>
      <c r="AM19" s="37">
        <f t="shared" si="53"/>
        <v>0</v>
      </c>
      <c r="AN19" s="37">
        <f>AVERAGE(10,10,10,10)</f>
        <v>10</v>
      </c>
      <c r="AO19" s="37">
        <f>AVERAGE(80,80,80,80)</f>
        <v>80</v>
      </c>
      <c r="AP19" s="37">
        <f t="shared" si="49"/>
        <v>30</v>
      </c>
      <c r="AQ19" s="37">
        <f t="shared" ref="AQ19:AR19" si="54">AVERAGE(0,0,0,0)</f>
        <v>0</v>
      </c>
      <c r="AR19" s="37">
        <f t="shared" si="54"/>
        <v>0</v>
      </c>
      <c r="AS19" s="37">
        <f>AVERAGE(50,50,50,50)</f>
        <v>50</v>
      </c>
      <c r="AT19" s="37">
        <f t="shared" ref="AT19:AT20" si="55">AVERAGE(0,0,0,0)</f>
        <v>0</v>
      </c>
      <c r="AU19" s="37">
        <f>AVERAGE(1,1,1,1)</f>
        <v>1</v>
      </c>
      <c r="AV19" s="32"/>
    </row>
    <row r="20" spans="1:48" ht="14.25" customHeight="1">
      <c r="A20" s="33" t="s">
        <v>39</v>
      </c>
      <c r="B20" s="35">
        <v>45168</v>
      </c>
      <c r="C20" s="36">
        <v>1</v>
      </c>
      <c r="D20" s="32" t="s">
        <v>26</v>
      </c>
      <c r="E20" s="32" t="s">
        <v>125</v>
      </c>
      <c r="F20" s="32" t="s">
        <v>85</v>
      </c>
      <c r="G20" s="36">
        <v>9</v>
      </c>
      <c r="H20" s="36">
        <v>3</v>
      </c>
      <c r="I20" s="36" t="s">
        <v>126</v>
      </c>
      <c r="J20" s="36">
        <v>2</v>
      </c>
      <c r="K20" s="37" t="s">
        <v>129</v>
      </c>
      <c r="L20" s="37" t="s">
        <v>129</v>
      </c>
      <c r="M20" s="37" t="s">
        <v>129</v>
      </c>
      <c r="N20" s="37" t="s">
        <v>129</v>
      </c>
      <c r="O20" s="37" t="s">
        <v>129</v>
      </c>
      <c r="P20" s="37" t="s">
        <v>129</v>
      </c>
      <c r="Q20" s="37">
        <v>26.9</v>
      </c>
      <c r="R20" s="37">
        <v>7.8</v>
      </c>
      <c r="S20" s="36" t="s">
        <v>126</v>
      </c>
      <c r="T20" s="32">
        <v>163.19999999999999</v>
      </c>
      <c r="U20" s="40">
        <v>17.7</v>
      </c>
      <c r="V20" s="40">
        <v>6.59</v>
      </c>
      <c r="W20" s="36" t="s">
        <v>126</v>
      </c>
      <c r="X20" s="40">
        <v>71.022999999999996</v>
      </c>
      <c r="Y20" s="41">
        <f>1/(AVERAGE(7,4,3,3,3,3,5))</f>
        <v>0.25</v>
      </c>
      <c r="Z20" s="37">
        <f t="shared" si="51"/>
        <v>3</v>
      </c>
      <c r="AA20" s="37">
        <v>22</v>
      </c>
      <c r="AB20" s="43">
        <f>AVERAGE(11,22,12)</f>
        <v>15</v>
      </c>
      <c r="AC20" s="37">
        <f t="shared" si="52"/>
        <v>20</v>
      </c>
      <c r="AD20" s="42">
        <v>1.6</v>
      </c>
      <c r="AE20" s="37">
        <f>AVERAGE(60,60,60,60)</f>
        <v>60</v>
      </c>
      <c r="AF20" s="37">
        <f>AVERAGE(40,40,40,40)</f>
        <v>40</v>
      </c>
      <c r="AG20" s="37">
        <f t="shared" ref="AG20:AM20" si="56">AVERAGE(0,0,0,0)</f>
        <v>0</v>
      </c>
      <c r="AH20" s="37">
        <f t="shared" si="56"/>
        <v>0</v>
      </c>
      <c r="AI20" s="37">
        <f t="shared" si="56"/>
        <v>0</v>
      </c>
      <c r="AJ20" s="37">
        <f t="shared" si="56"/>
        <v>0</v>
      </c>
      <c r="AK20" s="37">
        <f t="shared" si="56"/>
        <v>0</v>
      </c>
      <c r="AL20" s="37">
        <f t="shared" si="56"/>
        <v>0</v>
      </c>
      <c r="AM20" s="37">
        <f t="shared" si="56"/>
        <v>0</v>
      </c>
      <c r="AN20" s="37">
        <f t="shared" ref="AN20:AN21" si="57">AVERAGE(20,20,20,20)</f>
        <v>20</v>
      </c>
      <c r="AO20" s="37">
        <f>AVERAGE(70,70,70,70)</f>
        <v>70</v>
      </c>
      <c r="AP20" s="37">
        <f>AVERAGE(1,1,1,1)</f>
        <v>1</v>
      </c>
      <c r="AQ20" s="37">
        <f t="shared" ref="AQ20:AR20" si="58">AVERAGE(0,0,0,0)</f>
        <v>0</v>
      </c>
      <c r="AR20" s="37">
        <f t="shared" si="58"/>
        <v>0</v>
      </c>
      <c r="AS20" s="37">
        <f t="shared" ref="AS20:AS21" si="59">AVERAGE(90,90,90,90)</f>
        <v>90</v>
      </c>
      <c r="AT20" s="37">
        <f t="shared" si="55"/>
        <v>0</v>
      </c>
      <c r="AU20" s="37">
        <f>AVERAGE(10,10,10,10)</f>
        <v>10</v>
      </c>
      <c r="AV20" s="37"/>
    </row>
    <row r="21" spans="1:48" ht="14.25" customHeight="1">
      <c r="A21" s="33" t="s">
        <v>39</v>
      </c>
      <c r="B21" s="35">
        <v>45168</v>
      </c>
      <c r="C21" s="36">
        <v>1</v>
      </c>
      <c r="D21" s="32" t="s">
        <v>26</v>
      </c>
      <c r="E21" s="32" t="s">
        <v>125</v>
      </c>
      <c r="F21" s="32" t="s">
        <v>85</v>
      </c>
      <c r="G21" s="36">
        <v>9</v>
      </c>
      <c r="H21" s="36">
        <v>3</v>
      </c>
      <c r="I21" s="36" t="s">
        <v>126</v>
      </c>
      <c r="J21" s="36">
        <v>3</v>
      </c>
      <c r="K21" s="37" t="s">
        <v>129</v>
      </c>
      <c r="L21" s="37" t="s">
        <v>129</v>
      </c>
      <c r="M21" s="37" t="s">
        <v>129</v>
      </c>
      <c r="N21" s="37" t="s">
        <v>129</v>
      </c>
      <c r="O21" s="37" t="s">
        <v>129</v>
      </c>
      <c r="P21" s="37" t="s">
        <v>129</v>
      </c>
      <c r="Q21" s="37">
        <v>26.6</v>
      </c>
      <c r="R21" s="37">
        <v>7.9</v>
      </c>
      <c r="S21" s="36" t="s">
        <v>126</v>
      </c>
      <c r="T21" s="32">
        <v>161.19999999999999</v>
      </c>
      <c r="U21" s="40">
        <v>17.5</v>
      </c>
      <c r="V21" s="40">
        <v>6.59</v>
      </c>
      <c r="W21" s="36" t="s">
        <v>126</v>
      </c>
      <c r="X21" s="40">
        <v>71.022999999999996</v>
      </c>
      <c r="Y21" s="41">
        <f>1/(AVERAGE(9,2,2,2,2,2,2,2))</f>
        <v>0.34782608695652173</v>
      </c>
      <c r="Z21" s="37">
        <f>AVERAGE(2,2)</f>
        <v>2</v>
      </c>
      <c r="AA21" s="37">
        <v>20</v>
      </c>
      <c r="AB21" s="43">
        <f>AVERAGE(20,20,19)</f>
        <v>19.666666666666668</v>
      </c>
      <c r="AC21" s="37">
        <f t="shared" si="52"/>
        <v>20</v>
      </c>
      <c r="AD21" s="42">
        <v>1.33</v>
      </c>
      <c r="AE21" s="37">
        <f>AVERAGE(70,70,70,70)</f>
        <v>70</v>
      </c>
      <c r="AF21" s="37">
        <f>AVERAGE(30,30,30,30)</f>
        <v>30</v>
      </c>
      <c r="AG21" s="37">
        <f t="shared" ref="AG21:AM21" si="60">AVERAGE(0,0,0,0)</f>
        <v>0</v>
      </c>
      <c r="AH21" s="37">
        <f t="shared" si="60"/>
        <v>0</v>
      </c>
      <c r="AI21" s="37">
        <f t="shared" si="60"/>
        <v>0</v>
      </c>
      <c r="AJ21" s="37">
        <f t="shared" si="60"/>
        <v>0</v>
      </c>
      <c r="AK21" s="37">
        <f t="shared" si="60"/>
        <v>0</v>
      </c>
      <c r="AL21" s="37">
        <f t="shared" si="60"/>
        <v>0</v>
      </c>
      <c r="AM21" s="37">
        <f t="shared" si="60"/>
        <v>0</v>
      </c>
      <c r="AN21" s="37">
        <f t="shared" si="57"/>
        <v>20</v>
      </c>
      <c r="AO21" s="37">
        <f>AVERAGE(60,60,60,60)</f>
        <v>60</v>
      </c>
      <c r="AP21" s="37">
        <f t="shared" ref="AP21:AP22" si="61">AVERAGE(10,10,10,10)</f>
        <v>10</v>
      </c>
      <c r="AQ21" s="37">
        <f t="shared" ref="AQ21:AR21" si="62">AVERAGE(0,0,0,0)</f>
        <v>0</v>
      </c>
      <c r="AR21" s="37">
        <f t="shared" si="62"/>
        <v>0</v>
      </c>
      <c r="AS21" s="37">
        <f t="shared" si="59"/>
        <v>90</v>
      </c>
      <c r="AT21" s="37">
        <f>AVERAGE(10,10,10,10)</f>
        <v>10</v>
      </c>
      <c r="AU21" s="37">
        <f>AVERAGE(30,30,30,30)</f>
        <v>30</v>
      </c>
      <c r="AV21" s="32"/>
    </row>
    <row r="22" spans="1:48" ht="14.25" customHeight="1">
      <c r="A22" s="33" t="s">
        <v>43</v>
      </c>
      <c r="B22" s="35">
        <v>45168</v>
      </c>
      <c r="C22" s="36">
        <v>1</v>
      </c>
      <c r="D22" s="32" t="s">
        <v>26</v>
      </c>
      <c r="E22" s="32" t="s">
        <v>130</v>
      </c>
      <c r="F22" s="32" t="s">
        <v>85</v>
      </c>
      <c r="G22" s="36">
        <v>10</v>
      </c>
      <c r="H22" s="36">
        <v>4</v>
      </c>
      <c r="I22" s="36" t="s">
        <v>126</v>
      </c>
      <c r="J22" s="36">
        <v>1</v>
      </c>
      <c r="K22" s="37" t="s">
        <v>129</v>
      </c>
      <c r="L22" s="37" t="s">
        <v>129</v>
      </c>
      <c r="M22" s="37" t="s">
        <v>129</v>
      </c>
      <c r="N22" s="37" t="s">
        <v>129</v>
      </c>
      <c r="O22" s="37" t="s">
        <v>129</v>
      </c>
      <c r="P22" s="37" t="s">
        <v>129</v>
      </c>
      <c r="Q22" s="37">
        <v>26.5</v>
      </c>
      <c r="R22" s="37">
        <v>5.0999999999999996</v>
      </c>
      <c r="S22" s="36" t="s">
        <v>126</v>
      </c>
      <c r="T22" s="32">
        <v>155.19999999999999</v>
      </c>
      <c r="U22" s="40">
        <v>24.2</v>
      </c>
      <c r="V22" s="40">
        <v>7.26</v>
      </c>
      <c r="W22" s="36" t="s">
        <v>126</v>
      </c>
      <c r="X22" s="40">
        <v>41.473999999999997</v>
      </c>
      <c r="Y22" s="41">
        <f t="shared" ref="Y22:Y24" si="63">1/(AVERAGE(51,40))</f>
        <v>2.197802197802198E-2</v>
      </c>
      <c r="Z22" s="37">
        <f>AVERAGE(1,2)</f>
        <v>1.5</v>
      </c>
      <c r="AA22" s="37">
        <v>47</v>
      </c>
      <c r="AB22" s="43">
        <f t="shared" ref="AB22:AB24" si="64">AVERAGE(40,47,35)</f>
        <v>40.666666666666664</v>
      </c>
      <c r="AC22" s="37">
        <f>AVERAGE(52,52,52,52)</f>
        <v>52</v>
      </c>
      <c r="AD22" s="42">
        <v>7.2</v>
      </c>
      <c r="AE22" s="37">
        <f t="shared" ref="AE22:AE23" si="65">AVERAGE(20,20,20,20)</f>
        <v>20</v>
      </c>
      <c r="AF22" s="37">
        <f t="shared" ref="AF22:AF23" si="66">AVERAGE(80,80,80,80)</f>
        <v>80</v>
      </c>
      <c r="AG22" s="37">
        <f t="shared" ref="AG22:AK22" si="67">AVERAGE(0,0,0,0)</f>
        <v>0</v>
      </c>
      <c r="AH22" s="37">
        <f t="shared" si="67"/>
        <v>0</v>
      </c>
      <c r="AI22" s="37">
        <f t="shared" si="67"/>
        <v>0</v>
      </c>
      <c r="AJ22" s="37">
        <f t="shared" si="67"/>
        <v>0</v>
      </c>
      <c r="AK22" s="37">
        <f t="shared" si="67"/>
        <v>0</v>
      </c>
      <c r="AL22" s="37">
        <f>AVERAGE(5,5,5,5)</f>
        <v>5</v>
      </c>
      <c r="AM22" s="37">
        <f>AVERAGE(10,10,10,10)</f>
        <v>10</v>
      </c>
      <c r="AN22" s="37">
        <f t="shared" ref="AN22:AO22" si="68">AVERAGE(5,5,5,5)</f>
        <v>5</v>
      </c>
      <c r="AO22" s="37">
        <f t="shared" si="68"/>
        <v>5</v>
      </c>
      <c r="AP22" s="37">
        <f t="shared" si="61"/>
        <v>10</v>
      </c>
      <c r="AQ22" s="37">
        <f t="shared" ref="AQ22:AR22" si="69">AVERAGE(0,0,0,0)</f>
        <v>0</v>
      </c>
      <c r="AR22" s="37">
        <f t="shared" si="69"/>
        <v>0</v>
      </c>
      <c r="AS22" s="37">
        <v>0</v>
      </c>
      <c r="AT22" s="37">
        <f t="shared" ref="AT22:AT24" si="70">AVERAGE(5,5,5,5)</f>
        <v>5</v>
      </c>
      <c r="AU22" s="37">
        <f>AVERAGE(10,10,10,10)</f>
        <v>10</v>
      </c>
      <c r="AV22" s="32"/>
    </row>
    <row r="23" spans="1:48" ht="14.25" customHeight="1">
      <c r="A23" s="33" t="s">
        <v>43</v>
      </c>
      <c r="B23" s="35">
        <v>45168</v>
      </c>
      <c r="C23" s="36">
        <v>1</v>
      </c>
      <c r="D23" s="32" t="s">
        <v>26</v>
      </c>
      <c r="E23" s="32" t="s">
        <v>130</v>
      </c>
      <c r="F23" s="32" t="s">
        <v>85</v>
      </c>
      <c r="G23" s="36">
        <v>10</v>
      </c>
      <c r="H23" s="36">
        <v>4</v>
      </c>
      <c r="I23" s="36" t="s">
        <v>126</v>
      </c>
      <c r="J23" s="36">
        <v>2</v>
      </c>
      <c r="K23" s="37" t="s">
        <v>129</v>
      </c>
      <c r="L23" s="37" t="s">
        <v>129</v>
      </c>
      <c r="M23" s="37" t="s">
        <v>129</v>
      </c>
      <c r="N23" s="37" t="s">
        <v>129</v>
      </c>
      <c r="O23" s="37" t="s">
        <v>129</v>
      </c>
      <c r="P23" s="37" t="s">
        <v>129</v>
      </c>
      <c r="Q23" s="37">
        <v>26.3</v>
      </c>
      <c r="R23" s="37">
        <v>6.1</v>
      </c>
      <c r="S23" s="36" t="s">
        <v>126</v>
      </c>
      <c r="T23" s="32">
        <v>157.9</v>
      </c>
      <c r="U23" s="40">
        <v>34.799999999999997</v>
      </c>
      <c r="V23" s="40">
        <v>6.71</v>
      </c>
      <c r="W23" s="36" t="s">
        <v>126</v>
      </c>
      <c r="X23" s="40">
        <v>41.473999999999997</v>
      </c>
      <c r="Y23" s="41">
        <f t="shared" si="63"/>
        <v>2.197802197802198E-2</v>
      </c>
      <c r="Z23" s="37">
        <f>AVERAGE(2,2)</f>
        <v>2</v>
      </c>
      <c r="AA23" s="37">
        <v>47</v>
      </c>
      <c r="AB23" s="43">
        <f t="shared" si="64"/>
        <v>40.666666666666664</v>
      </c>
      <c r="AC23" s="37">
        <f>AVERAGE(38,38,38,38)</f>
        <v>38</v>
      </c>
      <c r="AD23" s="42">
        <v>7.2</v>
      </c>
      <c r="AE23" s="37">
        <f t="shared" si="65"/>
        <v>20</v>
      </c>
      <c r="AF23" s="37">
        <f t="shared" si="66"/>
        <v>80</v>
      </c>
      <c r="AG23" s="37">
        <f t="shared" ref="AG23:AL23" si="71">AVERAGE(0,0,0,0)</f>
        <v>0</v>
      </c>
      <c r="AH23" s="37">
        <f t="shared" si="71"/>
        <v>0</v>
      </c>
      <c r="AI23" s="37">
        <f t="shared" si="71"/>
        <v>0</v>
      </c>
      <c r="AJ23" s="37">
        <f t="shared" si="71"/>
        <v>0</v>
      </c>
      <c r="AK23" s="37">
        <f t="shared" si="71"/>
        <v>0</v>
      </c>
      <c r="AL23" s="37">
        <f t="shared" si="71"/>
        <v>0</v>
      </c>
      <c r="AM23" s="37">
        <f>AVERAGE(1,1,1,1)</f>
        <v>1</v>
      </c>
      <c r="AN23" s="37">
        <f>AVERAGE(10,10,10,10)</f>
        <v>10</v>
      </c>
      <c r="AO23" s="37">
        <f>AVERAGE(20,20,20,20)</f>
        <v>20</v>
      </c>
      <c r="AP23" s="37">
        <f>AVERAGE(5,5,5,5)</f>
        <v>5</v>
      </c>
      <c r="AQ23" s="37">
        <f t="shared" ref="AQ23:AR23" si="72">AVERAGE(0,0,0,0)</f>
        <v>0</v>
      </c>
      <c r="AR23" s="37">
        <f t="shared" si="72"/>
        <v>0</v>
      </c>
      <c r="AS23" s="37">
        <f>AVERAGE(10,10,10,10)</f>
        <v>10</v>
      </c>
      <c r="AT23" s="37">
        <f t="shared" si="70"/>
        <v>5</v>
      </c>
      <c r="AU23" s="37">
        <f>AVERAGE(15,15,15,15)</f>
        <v>15</v>
      </c>
      <c r="AV23" s="32"/>
    </row>
    <row r="24" spans="1:48" ht="14.25" customHeight="1">
      <c r="A24" s="33" t="s">
        <v>43</v>
      </c>
      <c r="B24" s="35">
        <v>45168</v>
      </c>
      <c r="C24" s="36">
        <v>1</v>
      </c>
      <c r="D24" s="32" t="s">
        <v>26</v>
      </c>
      <c r="E24" s="32" t="s">
        <v>130</v>
      </c>
      <c r="F24" s="32" t="s">
        <v>85</v>
      </c>
      <c r="G24" s="36">
        <v>10</v>
      </c>
      <c r="H24" s="36">
        <v>4</v>
      </c>
      <c r="I24" s="36" t="s">
        <v>126</v>
      </c>
      <c r="J24" s="36">
        <v>3</v>
      </c>
      <c r="K24" s="37" t="s">
        <v>129</v>
      </c>
      <c r="L24" s="37" t="s">
        <v>129</v>
      </c>
      <c r="M24" s="37" t="s">
        <v>129</v>
      </c>
      <c r="N24" s="37" t="s">
        <v>129</v>
      </c>
      <c r="O24" s="37" t="s">
        <v>129</v>
      </c>
      <c r="P24" s="37" t="s">
        <v>129</v>
      </c>
      <c r="Q24" s="37">
        <v>26.2</v>
      </c>
      <c r="R24" s="37">
        <v>4.9000000000000004</v>
      </c>
      <c r="S24" s="36" t="s">
        <v>126</v>
      </c>
      <c r="T24" s="32">
        <v>149.69999999999999</v>
      </c>
      <c r="U24" s="40">
        <v>29.9</v>
      </c>
      <c r="V24" s="40">
        <v>6.61</v>
      </c>
      <c r="W24" s="36" t="s">
        <v>126</v>
      </c>
      <c r="X24" s="40">
        <v>41.473999999999997</v>
      </c>
      <c r="Y24" s="41">
        <f t="shared" si="63"/>
        <v>2.197802197802198E-2</v>
      </c>
      <c r="Z24" s="37">
        <f>AVERAGE(1,1)</f>
        <v>1</v>
      </c>
      <c r="AA24" s="37">
        <v>47</v>
      </c>
      <c r="AB24" s="43">
        <f t="shared" si="64"/>
        <v>40.666666666666664</v>
      </c>
      <c r="AC24" s="37">
        <f>AVERAGE(46,46,46,46)</f>
        <v>46</v>
      </c>
      <c r="AD24" s="42">
        <v>7.2</v>
      </c>
      <c r="AE24" s="37">
        <f t="shared" ref="AE24:AF24" si="73">AVERAGE(50,50,50,50)</f>
        <v>50</v>
      </c>
      <c r="AF24" s="37">
        <f t="shared" si="73"/>
        <v>50</v>
      </c>
      <c r="AG24" s="37">
        <f t="shared" ref="AG24:AL24" si="74">AVERAGE(0,0,0,0)</f>
        <v>0</v>
      </c>
      <c r="AH24" s="37">
        <f t="shared" si="74"/>
        <v>0</v>
      </c>
      <c r="AI24" s="37">
        <f t="shared" si="74"/>
        <v>0</v>
      </c>
      <c r="AJ24" s="37">
        <f t="shared" si="74"/>
        <v>0</v>
      </c>
      <c r="AK24" s="37">
        <f t="shared" si="74"/>
        <v>0</v>
      </c>
      <c r="AL24" s="37">
        <f t="shared" si="74"/>
        <v>0</v>
      </c>
      <c r="AM24" s="37">
        <f>AVERAGE(30,30,30,30)</f>
        <v>30</v>
      </c>
      <c r="AN24" s="37">
        <f t="shared" ref="AN24:AO24" si="75">AVERAGE(0,0,0,0)</f>
        <v>0</v>
      </c>
      <c r="AO24" s="37">
        <f t="shared" si="75"/>
        <v>0</v>
      </c>
      <c r="AP24" s="37">
        <f>AVERAGE(1,1,1,1)</f>
        <v>1</v>
      </c>
      <c r="AQ24" s="37">
        <f t="shared" ref="AQ24:AS24" si="76">AVERAGE(0,0,0,0)</f>
        <v>0</v>
      </c>
      <c r="AR24" s="37">
        <f t="shared" si="76"/>
        <v>0</v>
      </c>
      <c r="AS24" s="37">
        <f t="shared" si="76"/>
        <v>0</v>
      </c>
      <c r="AT24" s="37">
        <f t="shared" si="70"/>
        <v>5</v>
      </c>
      <c r="AU24" s="37">
        <f>AVERAGE(5,5,5,5)</f>
        <v>5</v>
      </c>
      <c r="AV24" s="32"/>
    </row>
    <row r="25" spans="1:48" ht="14.25" customHeight="1">
      <c r="A25" s="33" t="s">
        <v>47</v>
      </c>
      <c r="B25" s="44">
        <v>45322</v>
      </c>
      <c r="C25" s="36">
        <v>5</v>
      </c>
      <c r="D25" s="32" t="s">
        <v>131</v>
      </c>
      <c r="E25" s="32" t="s">
        <v>132</v>
      </c>
      <c r="F25" s="32" t="s">
        <v>140</v>
      </c>
      <c r="G25" s="36">
        <v>11</v>
      </c>
      <c r="H25" s="36">
        <v>4</v>
      </c>
      <c r="I25" s="36" t="s">
        <v>126</v>
      </c>
      <c r="J25" s="36">
        <v>1</v>
      </c>
      <c r="K25" s="36" t="s">
        <v>126</v>
      </c>
      <c r="L25" s="36" t="s">
        <v>126</v>
      </c>
      <c r="M25" s="36" t="s">
        <v>126</v>
      </c>
      <c r="N25" s="36" t="s">
        <v>126</v>
      </c>
      <c r="O25" s="36" t="s">
        <v>126</v>
      </c>
      <c r="P25" s="36" t="s">
        <v>126</v>
      </c>
      <c r="Q25" s="39">
        <v>0</v>
      </c>
      <c r="R25" s="39">
        <v>0</v>
      </c>
      <c r="S25" s="45" t="s">
        <v>126</v>
      </c>
      <c r="T25" s="39">
        <v>0</v>
      </c>
      <c r="U25" s="39">
        <v>0</v>
      </c>
      <c r="V25" s="39">
        <v>0</v>
      </c>
      <c r="W25" s="36" t="s">
        <v>126</v>
      </c>
      <c r="X25" s="40">
        <v>96</v>
      </c>
      <c r="Y25" s="39">
        <v>0</v>
      </c>
      <c r="Z25" s="37">
        <f>AVERAGE(2,3)</f>
        <v>2.5</v>
      </c>
      <c r="AA25" s="39">
        <v>0</v>
      </c>
      <c r="AB25" s="39">
        <v>0</v>
      </c>
      <c r="AC25" s="39">
        <v>0</v>
      </c>
      <c r="AD25" s="40">
        <v>18.3</v>
      </c>
      <c r="AE25" s="37">
        <v>0</v>
      </c>
      <c r="AF25" s="37">
        <v>100</v>
      </c>
      <c r="AG25" s="37">
        <v>0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  <c r="AM25" s="37">
        <v>0</v>
      </c>
      <c r="AN25" s="37">
        <v>0</v>
      </c>
      <c r="AO25" s="37">
        <v>0</v>
      </c>
      <c r="AP25" s="37">
        <v>0</v>
      </c>
      <c r="AQ25" s="37">
        <v>0</v>
      </c>
      <c r="AR25" s="37">
        <v>0</v>
      </c>
      <c r="AS25" s="37">
        <v>0</v>
      </c>
      <c r="AT25" s="37">
        <v>0</v>
      </c>
      <c r="AU25" s="37">
        <v>0</v>
      </c>
      <c r="AV25" s="37"/>
    </row>
    <row r="26" spans="1:48" ht="14.25" customHeight="1">
      <c r="A26" s="33" t="s">
        <v>47</v>
      </c>
      <c r="B26" s="44">
        <v>45322</v>
      </c>
      <c r="C26" s="36">
        <v>5</v>
      </c>
      <c r="D26" s="32" t="s">
        <v>131</v>
      </c>
      <c r="E26" s="32" t="s">
        <v>132</v>
      </c>
      <c r="F26" s="32" t="s">
        <v>140</v>
      </c>
      <c r="G26" s="36">
        <v>11</v>
      </c>
      <c r="H26" s="36">
        <v>4</v>
      </c>
      <c r="I26" s="36" t="s">
        <v>126</v>
      </c>
      <c r="J26" s="36">
        <v>2</v>
      </c>
      <c r="K26" s="36" t="s">
        <v>126</v>
      </c>
      <c r="L26" s="36" t="s">
        <v>126</v>
      </c>
      <c r="M26" s="36" t="s">
        <v>126</v>
      </c>
      <c r="N26" s="36" t="s">
        <v>126</v>
      </c>
      <c r="O26" s="36" t="s">
        <v>126</v>
      </c>
      <c r="P26" s="36" t="s">
        <v>126</v>
      </c>
      <c r="Q26" s="39">
        <v>0</v>
      </c>
      <c r="R26" s="39">
        <v>0</v>
      </c>
      <c r="S26" s="45" t="s">
        <v>126</v>
      </c>
      <c r="T26" s="39">
        <v>0</v>
      </c>
      <c r="U26" s="39">
        <v>0</v>
      </c>
      <c r="V26" s="39">
        <v>0</v>
      </c>
      <c r="W26" s="36" t="s">
        <v>126</v>
      </c>
      <c r="X26" s="40">
        <v>96</v>
      </c>
      <c r="Y26" s="39">
        <v>0</v>
      </c>
      <c r="Z26" s="37">
        <f>AVERAGE(2,3)</f>
        <v>2.5</v>
      </c>
      <c r="AA26" s="39">
        <v>0</v>
      </c>
      <c r="AB26" s="39">
        <v>0</v>
      </c>
      <c r="AC26" s="39">
        <v>0</v>
      </c>
      <c r="AD26" s="32">
        <v>14.69</v>
      </c>
      <c r="AE26" s="37">
        <v>0</v>
      </c>
      <c r="AF26" s="37">
        <v>100</v>
      </c>
      <c r="AG26" s="37">
        <v>0</v>
      </c>
      <c r="AH26" s="37">
        <v>0</v>
      </c>
      <c r="AI26" s="37">
        <v>0</v>
      </c>
      <c r="AJ26" s="37">
        <v>0</v>
      </c>
      <c r="AK26" s="37">
        <v>0</v>
      </c>
      <c r="AL26" s="37">
        <v>0</v>
      </c>
      <c r="AM26" s="37">
        <v>0</v>
      </c>
      <c r="AN26" s="37">
        <v>0</v>
      </c>
      <c r="AO26" s="37">
        <v>0</v>
      </c>
      <c r="AP26" s="37">
        <v>0</v>
      </c>
      <c r="AQ26" s="37">
        <v>0</v>
      </c>
      <c r="AR26" s="37">
        <v>0</v>
      </c>
      <c r="AS26" s="37">
        <v>0</v>
      </c>
      <c r="AT26" s="37">
        <v>0</v>
      </c>
      <c r="AU26" s="37">
        <v>0</v>
      </c>
      <c r="AV26" s="37"/>
    </row>
    <row r="27" spans="1:48" ht="14.25" customHeight="1">
      <c r="A27" s="33" t="s">
        <v>47</v>
      </c>
      <c r="B27" s="44">
        <v>45322</v>
      </c>
      <c r="C27" s="36">
        <v>5</v>
      </c>
      <c r="D27" s="32" t="s">
        <v>131</v>
      </c>
      <c r="E27" s="32" t="s">
        <v>132</v>
      </c>
      <c r="F27" s="32" t="s">
        <v>140</v>
      </c>
      <c r="G27" s="36">
        <v>11</v>
      </c>
      <c r="H27" s="36">
        <v>4</v>
      </c>
      <c r="I27" s="36" t="s">
        <v>126</v>
      </c>
      <c r="J27" s="36">
        <v>3</v>
      </c>
      <c r="K27" s="36" t="s">
        <v>126</v>
      </c>
      <c r="L27" s="36" t="s">
        <v>126</v>
      </c>
      <c r="M27" s="36" t="s">
        <v>126</v>
      </c>
      <c r="N27" s="36" t="s">
        <v>126</v>
      </c>
      <c r="O27" s="36" t="s">
        <v>126</v>
      </c>
      <c r="P27" s="36" t="s">
        <v>126</v>
      </c>
      <c r="Q27" s="39">
        <v>0</v>
      </c>
      <c r="R27" s="39">
        <v>0</v>
      </c>
      <c r="S27" s="45" t="s">
        <v>126</v>
      </c>
      <c r="T27" s="39">
        <v>0</v>
      </c>
      <c r="U27" s="39">
        <v>0</v>
      </c>
      <c r="V27" s="39">
        <v>0</v>
      </c>
      <c r="W27" s="36" t="s">
        <v>126</v>
      </c>
      <c r="X27" s="40">
        <v>96</v>
      </c>
      <c r="Y27" s="39">
        <v>0</v>
      </c>
      <c r="Z27" s="37">
        <f>AVERAGE(2,3)</f>
        <v>2.5</v>
      </c>
      <c r="AA27" s="39">
        <v>0</v>
      </c>
      <c r="AB27" s="39">
        <v>0</v>
      </c>
      <c r="AC27" s="39">
        <v>0</v>
      </c>
      <c r="AD27" s="32">
        <v>14.69</v>
      </c>
      <c r="AE27" s="37">
        <v>0</v>
      </c>
      <c r="AF27" s="37">
        <v>100</v>
      </c>
      <c r="AG27" s="37">
        <v>0</v>
      </c>
      <c r="AH27" s="37">
        <v>0</v>
      </c>
      <c r="AI27" s="37">
        <v>0</v>
      </c>
      <c r="AJ27" s="37">
        <v>0</v>
      </c>
      <c r="AK27" s="37">
        <v>0</v>
      </c>
      <c r="AL27" s="37">
        <v>0</v>
      </c>
      <c r="AM27" s="37">
        <v>0</v>
      </c>
      <c r="AN27" s="37">
        <v>0</v>
      </c>
      <c r="AO27" s="37">
        <v>0</v>
      </c>
      <c r="AP27" s="37">
        <v>0</v>
      </c>
      <c r="AQ27" s="37">
        <v>0</v>
      </c>
      <c r="AR27" s="37">
        <v>0</v>
      </c>
      <c r="AS27" s="37">
        <v>0</v>
      </c>
      <c r="AT27" s="37">
        <v>0</v>
      </c>
      <c r="AU27" s="37">
        <v>0</v>
      </c>
      <c r="AV27" s="37"/>
    </row>
    <row r="28" spans="1:48" ht="14.25" customHeight="1">
      <c r="A28" s="33" t="s">
        <v>48</v>
      </c>
      <c r="B28" s="44">
        <v>45322</v>
      </c>
      <c r="C28" s="36">
        <v>5</v>
      </c>
      <c r="D28" s="32" t="s">
        <v>131</v>
      </c>
      <c r="E28" s="32" t="s">
        <v>133</v>
      </c>
      <c r="F28" s="32" t="s">
        <v>85</v>
      </c>
      <c r="G28" s="36">
        <v>12</v>
      </c>
      <c r="H28" s="36">
        <v>3</v>
      </c>
      <c r="I28" s="36" t="s">
        <v>126</v>
      </c>
      <c r="J28" s="36">
        <v>1</v>
      </c>
      <c r="K28" s="37" t="s">
        <v>129</v>
      </c>
      <c r="L28" s="37" t="s">
        <v>129</v>
      </c>
      <c r="M28" s="37" t="s">
        <v>129</v>
      </c>
      <c r="N28" s="37" t="s">
        <v>129</v>
      </c>
      <c r="O28" s="37" t="s">
        <v>129</v>
      </c>
      <c r="P28" s="37" t="s">
        <v>129</v>
      </c>
      <c r="Q28" s="32">
        <v>26.5</v>
      </c>
      <c r="R28" s="32">
        <v>6.8</v>
      </c>
      <c r="S28" s="45" t="s">
        <v>126</v>
      </c>
      <c r="T28" s="32">
        <v>120.2</v>
      </c>
      <c r="U28" s="37">
        <v>8</v>
      </c>
      <c r="V28" s="40">
        <v>6.44</v>
      </c>
      <c r="W28" s="36" t="s">
        <v>126</v>
      </c>
      <c r="X28" s="40">
        <v>80</v>
      </c>
      <c r="Y28" s="41">
        <f>1/(AVERAGE(8.64,6.68,4.63,6.03,4.33,4.77,4.56,4.44,4.77,4.41))</f>
        <v>0.18775816748028543</v>
      </c>
      <c r="Z28" s="43">
        <f>MEDIAN(1,1)</f>
        <v>1</v>
      </c>
      <c r="AA28" s="37">
        <v>6</v>
      </c>
      <c r="AB28" s="43">
        <f>AVERAGE(5,6,5)</f>
        <v>5.333333333333333</v>
      </c>
      <c r="AC28" s="37">
        <f>AVERAGE(6,6,6,6)</f>
        <v>6</v>
      </c>
      <c r="AD28" s="42">
        <v>0.19</v>
      </c>
      <c r="AE28" s="37">
        <f t="shared" ref="AE28:AE30" si="77">AVERAGE(90,90,90,90)</f>
        <v>90</v>
      </c>
      <c r="AF28" s="37">
        <f t="shared" ref="AF28:AF30" si="78">AVERAGE(10,10,10,10)</f>
        <v>10</v>
      </c>
      <c r="AG28" s="37">
        <f t="shared" ref="AG28:AN28" si="79">AVERAGE(0,0,0,0)</f>
        <v>0</v>
      </c>
      <c r="AH28" s="37">
        <f t="shared" si="79"/>
        <v>0</v>
      </c>
      <c r="AI28" s="37">
        <f t="shared" si="79"/>
        <v>0</v>
      </c>
      <c r="AJ28" s="37">
        <f t="shared" si="79"/>
        <v>0</v>
      </c>
      <c r="AK28" s="37">
        <f t="shared" si="79"/>
        <v>0</v>
      </c>
      <c r="AL28" s="37">
        <f t="shared" si="79"/>
        <v>0</v>
      </c>
      <c r="AM28" s="37">
        <f t="shared" si="79"/>
        <v>0</v>
      </c>
      <c r="AN28" s="37">
        <f t="shared" si="79"/>
        <v>0</v>
      </c>
      <c r="AO28" s="37">
        <f>AVERAGE(90,90,90,90)</f>
        <v>90</v>
      </c>
      <c r="AP28" s="37">
        <f>AVERAGE(5,5,5,5)</f>
        <v>5</v>
      </c>
      <c r="AQ28" s="37">
        <f t="shared" ref="AQ28:AR28" si="80">AVERAGE(0,0,0,0)</f>
        <v>0</v>
      </c>
      <c r="AR28" s="37">
        <f t="shared" si="80"/>
        <v>0</v>
      </c>
      <c r="AS28" s="37">
        <f t="shared" ref="AS28:AT28" si="81">AVERAGE(5,5,5,5)</f>
        <v>5</v>
      </c>
      <c r="AT28" s="37">
        <f t="shared" si="81"/>
        <v>5</v>
      </c>
      <c r="AU28" s="37">
        <f>AVERAGE(3,3,3,3)</f>
        <v>3</v>
      </c>
      <c r="AV28" s="32"/>
    </row>
    <row r="29" spans="1:48" ht="14.25" customHeight="1">
      <c r="A29" s="33" t="s">
        <v>48</v>
      </c>
      <c r="B29" s="44">
        <v>45322</v>
      </c>
      <c r="C29" s="36">
        <v>5</v>
      </c>
      <c r="D29" s="32" t="s">
        <v>131</v>
      </c>
      <c r="E29" s="32" t="s">
        <v>133</v>
      </c>
      <c r="F29" s="32" t="s">
        <v>85</v>
      </c>
      <c r="G29" s="36">
        <v>12</v>
      </c>
      <c r="H29" s="36">
        <v>3</v>
      </c>
      <c r="I29" s="36" t="s">
        <v>126</v>
      </c>
      <c r="J29" s="36">
        <v>2</v>
      </c>
      <c r="K29" s="37" t="s">
        <v>129</v>
      </c>
      <c r="L29" s="37" t="s">
        <v>129</v>
      </c>
      <c r="M29" s="37" t="s">
        <v>129</v>
      </c>
      <c r="N29" s="37" t="s">
        <v>129</v>
      </c>
      <c r="O29" s="37" t="s">
        <v>129</v>
      </c>
      <c r="P29" s="37" t="s">
        <v>129</v>
      </c>
      <c r="Q29" s="32">
        <v>26.7</v>
      </c>
      <c r="R29" s="32">
        <v>8.1</v>
      </c>
      <c r="S29" s="45" t="s">
        <v>126</v>
      </c>
      <c r="T29" s="32">
        <v>122.8</v>
      </c>
      <c r="U29" s="37">
        <v>2</v>
      </c>
      <c r="V29" s="40">
        <v>6.07</v>
      </c>
      <c r="W29" s="36" t="s">
        <v>126</v>
      </c>
      <c r="X29" s="40">
        <v>80</v>
      </c>
      <c r="Y29" s="41">
        <f>1/(AVERAGE(8.13,7.7,5.41,7.9,7.59,5.3,5,98))</f>
        <v>5.5161001172171271E-2</v>
      </c>
      <c r="Z29" s="46">
        <f t="shared" ref="Z29:Z30" si="82">MEDIAN(1,2)</f>
        <v>1.5</v>
      </c>
      <c r="AA29" s="37">
        <v>10</v>
      </c>
      <c r="AB29" s="43">
        <f>AVERAGE(6,10,5)</f>
        <v>7</v>
      </c>
      <c r="AC29" s="37">
        <f>AVERAGE(9,9,9,9)</f>
        <v>9</v>
      </c>
      <c r="AD29" s="46">
        <v>0.53</v>
      </c>
      <c r="AE29" s="37">
        <f t="shared" si="77"/>
        <v>90</v>
      </c>
      <c r="AF29" s="37">
        <f t="shared" si="78"/>
        <v>10</v>
      </c>
      <c r="AG29" s="37">
        <f t="shared" ref="AG29:AN29" si="83">AVERAGE(0,0,0,0)</f>
        <v>0</v>
      </c>
      <c r="AH29" s="37">
        <f t="shared" si="83"/>
        <v>0</v>
      </c>
      <c r="AI29" s="37">
        <f t="shared" si="83"/>
        <v>0</v>
      </c>
      <c r="AJ29" s="37">
        <f t="shared" si="83"/>
        <v>0</v>
      </c>
      <c r="AK29" s="37">
        <f t="shared" si="83"/>
        <v>0</v>
      </c>
      <c r="AL29" s="37">
        <f t="shared" si="83"/>
        <v>0</v>
      </c>
      <c r="AM29" s="37">
        <f t="shared" si="83"/>
        <v>0</v>
      </c>
      <c r="AN29" s="37">
        <f t="shared" si="83"/>
        <v>0</v>
      </c>
      <c r="AO29" s="37">
        <f>AVERAGE(85,85,85,85)</f>
        <v>85</v>
      </c>
      <c r="AP29" s="37">
        <f>AVERAGE(15,15,15,15)</f>
        <v>15</v>
      </c>
      <c r="AQ29" s="37">
        <f t="shared" ref="AQ29:AR29" si="84">AVERAGE(0,0,0,0)</f>
        <v>0</v>
      </c>
      <c r="AR29" s="37">
        <f t="shared" si="84"/>
        <v>0</v>
      </c>
      <c r="AS29" s="37">
        <f>AVERAGE(5,5,5,5)</f>
        <v>5</v>
      </c>
      <c r="AT29" s="37">
        <f t="shared" ref="AT29:AU29" si="85">AVERAGE(10,10,10,10)</f>
        <v>10</v>
      </c>
      <c r="AU29" s="37">
        <f t="shared" si="85"/>
        <v>10</v>
      </c>
      <c r="AV29" s="32"/>
    </row>
    <row r="30" spans="1:48" ht="14.25" customHeight="1">
      <c r="A30" s="33" t="s">
        <v>48</v>
      </c>
      <c r="B30" s="44">
        <v>45322</v>
      </c>
      <c r="C30" s="36">
        <v>5</v>
      </c>
      <c r="D30" s="32" t="s">
        <v>131</v>
      </c>
      <c r="E30" s="32" t="s">
        <v>133</v>
      </c>
      <c r="F30" s="32" t="s">
        <v>85</v>
      </c>
      <c r="G30" s="36">
        <v>12</v>
      </c>
      <c r="H30" s="36">
        <v>3</v>
      </c>
      <c r="I30" s="36" t="s">
        <v>126</v>
      </c>
      <c r="J30" s="36">
        <v>3</v>
      </c>
      <c r="K30" s="37" t="s">
        <v>129</v>
      </c>
      <c r="L30" s="37" t="s">
        <v>129</v>
      </c>
      <c r="M30" s="37" t="s">
        <v>129</v>
      </c>
      <c r="N30" s="37" t="s">
        <v>129</v>
      </c>
      <c r="O30" s="37" t="s">
        <v>129</v>
      </c>
      <c r="P30" s="37" t="s">
        <v>129</v>
      </c>
      <c r="Q30" s="32">
        <v>27.4</v>
      </c>
      <c r="R30" s="32">
        <v>8.1</v>
      </c>
      <c r="S30" s="45" t="s">
        <v>126</v>
      </c>
      <c r="T30" s="32">
        <v>129.80000000000001</v>
      </c>
      <c r="U30" s="37">
        <v>10</v>
      </c>
      <c r="V30" s="40">
        <v>5.8</v>
      </c>
      <c r="W30" s="36" t="s">
        <v>126</v>
      </c>
      <c r="X30" s="40">
        <v>80</v>
      </c>
      <c r="Y30" s="41">
        <f>1/(AVERAGE(9.62,9.97,7.65,8.9,8.14,9.27,9.76))</f>
        <v>0.11056705101879641</v>
      </c>
      <c r="Z30" s="46">
        <f t="shared" si="82"/>
        <v>1.5</v>
      </c>
      <c r="AA30" s="37">
        <v>20</v>
      </c>
      <c r="AB30" s="43">
        <f>AVERAGE(16,20,15)</f>
        <v>17</v>
      </c>
      <c r="AC30" s="37">
        <f>AVERAGE(15,15,15,15)</f>
        <v>15</v>
      </c>
      <c r="AD30" s="46">
        <v>1.0900000000000001</v>
      </c>
      <c r="AE30" s="37">
        <f t="shared" si="77"/>
        <v>90</v>
      </c>
      <c r="AF30" s="37">
        <f t="shared" si="78"/>
        <v>10</v>
      </c>
      <c r="AG30" s="37">
        <f t="shared" ref="AG30:AN30" si="86">AVERAGE(0,0,0,0)</f>
        <v>0</v>
      </c>
      <c r="AH30" s="37">
        <f t="shared" si="86"/>
        <v>0</v>
      </c>
      <c r="AI30" s="37">
        <f t="shared" si="86"/>
        <v>0</v>
      </c>
      <c r="AJ30" s="37">
        <f t="shared" si="86"/>
        <v>0</v>
      </c>
      <c r="AK30" s="37">
        <f t="shared" si="86"/>
        <v>0</v>
      </c>
      <c r="AL30" s="37">
        <f t="shared" si="86"/>
        <v>0</v>
      </c>
      <c r="AM30" s="37">
        <f t="shared" si="86"/>
        <v>0</v>
      </c>
      <c r="AN30" s="37">
        <f t="shared" si="86"/>
        <v>0</v>
      </c>
      <c r="AO30" s="37">
        <f>AVERAGE(90,90,90,90)</f>
        <v>90</v>
      </c>
      <c r="AP30" s="37">
        <f>AVERAGE(10,10,10,10)</f>
        <v>10</v>
      </c>
      <c r="AQ30" s="37">
        <f t="shared" ref="AQ30:AS30" si="87">AVERAGE(0,0,0,0)</f>
        <v>0</v>
      </c>
      <c r="AR30" s="37">
        <f>AVERAGE(5,5,5,5)</f>
        <v>5</v>
      </c>
      <c r="AS30" s="37">
        <f t="shared" si="87"/>
        <v>0</v>
      </c>
      <c r="AT30" s="37">
        <f>AVERAGE(5,5,5,5)</f>
        <v>5</v>
      </c>
      <c r="AU30" s="37">
        <f>AVERAGE(10,10,10,10)</f>
        <v>10</v>
      </c>
      <c r="AV30" s="32"/>
    </row>
    <row r="31" spans="1:48" ht="14.25" customHeight="1">
      <c r="A31" s="33" t="s">
        <v>49</v>
      </c>
      <c r="B31" s="44">
        <v>45322</v>
      </c>
      <c r="C31" s="36">
        <v>5</v>
      </c>
      <c r="D31" s="32" t="s">
        <v>131</v>
      </c>
      <c r="E31" s="32" t="s">
        <v>133</v>
      </c>
      <c r="F31" s="32" t="s">
        <v>85</v>
      </c>
      <c r="G31" s="36">
        <v>13</v>
      </c>
      <c r="H31" s="36">
        <v>3</v>
      </c>
      <c r="I31" s="36" t="s">
        <v>126</v>
      </c>
      <c r="J31" s="36">
        <v>1</v>
      </c>
      <c r="K31" s="37" t="s">
        <v>129</v>
      </c>
      <c r="L31" s="37" t="s">
        <v>129</v>
      </c>
      <c r="M31" s="37" t="s">
        <v>129</v>
      </c>
      <c r="N31" s="37" t="s">
        <v>129</v>
      </c>
      <c r="O31" s="37" t="s">
        <v>129</v>
      </c>
      <c r="P31" s="37" t="s">
        <v>129</v>
      </c>
      <c r="Q31" s="32">
        <v>27.2</v>
      </c>
      <c r="R31" s="32">
        <v>6.8</v>
      </c>
      <c r="S31" s="45" t="s">
        <v>126</v>
      </c>
      <c r="T31" s="32">
        <v>115.2</v>
      </c>
      <c r="U31" s="37">
        <v>10</v>
      </c>
      <c r="V31" s="40">
        <v>6.01</v>
      </c>
      <c r="W31" s="36" t="s">
        <v>126</v>
      </c>
      <c r="X31" s="40">
        <v>87</v>
      </c>
      <c r="Y31" s="41">
        <f>1/(AVERAGE(3.91,4.53,3.65,3.27,3.84,5.16,3.44))</f>
        <v>0.25179856115107913</v>
      </c>
      <c r="Z31" s="43">
        <f>MEDIAN(1,1)</f>
        <v>1</v>
      </c>
      <c r="AA31" s="37">
        <v>18</v>
      </c>
      <c r="AB31" s="43">
        <f>AVERAGE(10,18,10)</f>
        <v>12.666666666666666</v>
      </c>
      <c r="AC31" s="37">
        <f>AVERAGE(11,11,11,11)</f>
        <v>11</v>
      </c>
      <c r="AD31" s="42">
        <v>0.9</v>
      </c>
      <c r="AE31" s="37">
        <f t="shared" ref="AE31:AE32" si="88">AVERAGE(10,10,10,10)</f>
        <v>10</v>
      </c>
      <c r="AF31" s="37">
        <f t="shared" ref="AF31:AF32" si="89">AVERAGE(90,90,90,90)</f>
        <v>90</v>
      </c>
      <c r="AG31" s="37">
        <f t="shared" ref="AG31:AM31" si="90">AVERAGE(0,0,0,0)</f>
        <v>0</v>
      </c>
      <c r="AH31" s="37">
        <f t="shared" si="90"/>
        <v>0</v>
      </c>
      <c r="AI31" s="37">
        <f t="shared" si="90"/>
        <v>0</v>
      </c>
      <c r="AJ31" s="37">
        <f t="shared" si="90"/>
        <v>0</v>
      </c>
      <c r="AK31" s="37">
        <f t="shared" si="90"/>
        <v>0</v>
      </c>
      <c r="AL31" s="37">
        <f t="shared" si="90"/>
        <v>0</v>
      </c>
      <c r="AM31" s="37">
        <f t="shared" si="90"/>
        <v>0</v>
      </c>
      <c r="AN31" s="37">
        <f>AVERAGE(5,5,5,5)</f>
        <v>5</v>
      </c>
      <c r="AO31" s="37">
        <f>AVERAGE(80,80,80,80)</f>
        <v>80</v>
      </c>
      <c r="AP31" s="37">
        <f t="shared" ref="AP31:AP36" si="91">AVERAGE(5,5,5,5)</f>
        <v>5</v>
      </c>
      <c r="AQ31" s="37">
        <f t="shared" ref="AQ31:AR31" si="92">AVERAGE(0,0,0,0)</f>
        <v>0</v>
      </c>
      <c r="AR31" s="37">
        <f t="shared" si="92"/>
        <v>0</v>
      </c>
      <c r="AS31" s="37">
        <f t="shared" ref="AS31:AT31" si="93">AVERAGE(10,10,10,10)</f>
        <v>10</v>
      </c>
      <c r="AT31" s="37">
        <f t="shared" si="93"/>
        <v>10</v>
      </c>
      <c r="AU31" s="37">
        <f>AVERAGE(5,5,5,5)</f>
        <v>5</v>
      </c>
      <c r="AV31" s="32"/>
    </row>
    <row r="32" spans="1:48" ht="14.25" customHeight="1">
      <c r="A32" s="47" t="s">
        <v>49</v>
      </c>
      <c r="B32" s="44">
        <v>45322</v>
      </c>
      <c r="C32" s="36">
        <v>5</v>
      </c>
      <c r="D32" s="32" t="s">
        <v>131</v>
      </c>
      <c r="E32" s="32" t="s">
        <v>133</v>
      </c>
      <c r="F32" s="32" t="s">
        <v>85</v>
      </c>
      <c r="G32" s="36">
        <v>13</v>
      </c>
      <c r="H32" s="36">
        <v>3</v>
      </c>
      <c r="I32" s="36" t="s">
        <v>126</v>
      </c>
      <c r="J32" s="36">
        <v>2</v>
      </c>
      <c r="K32" s="37" t="s">
        <v>129</v>
      </c>
      <c r="L32" s="37" t="s">
        <v>129</v>
      </c>
      <c r="M32" s="37" t="s">
        <v>129</v>
      </c>
      <c r="N32" s="37" t="s">
        <v>129</v>
      </c>
      <c r="O32" s="37" t="s">
        <v>129</v>
      </c>
      <c r="P32" s="37" t="s">
        <v>129</v>
      </c>
      <c r="Q32" s="32">
        <v>27.1</v>
      </c>
      <c r="R32" s="32">
        <v>7.5</v>
      </c>
      <c r="S32" s="45" t="s">
        <v>126</v>
      </c>
      <c r="T32" s="32">
        <v>122.4</v>
      </c>
      <c r="U32" s="37">
        <v>8</v>
      </c>
      <c r="V32" s="40">
        <v>6</v>
      </c>
      <c r="W32" s="36" t="s">
        <v>126</v>
      </c>
      <c r="X32" s="40">
        <v>87</v>
      </c>
      <c r="Y32" s="41">
        <f>1/(AVERAGE(4.61,4.47,5.16))</f>
        <v>0.21067415730337077</v>
      </c>
      <c r="Z32" s="43">
        <f t="shared" ref="Z32:Z33" si="94">MEDIAN(2,2)</f>
        <v>2</v>
      </c>
      <c r="AA32" s="37">
        <v>13</v>
      </c>
      <c r="AB32" s="43">
        <f>AVERAGE(11,13,7)</f>
        <v>10.333333333333334</v>
      </c>
      <c r="AC32" s="37">
        <f>AVERAGE(14,14,14,14)</f>
        <v>14</v>
      </c>
      <c r="AD32" s="46">
        <v>1.08</v>
      </c>
      <c r="AE32" s="37">
        <f t="shared" si="88"/>
        <v>10</v>
      </c>
      <c r="AF32" s="37">
        <f t="shared" si="89"/>
        <v>90</v>
      </c>
      <c r="AG32" s="37">
        <f t="shared" ref="AG32:AK32" si="95">AVERAGE(0,0,0,0)</f>
        <v>0</v>
      </c>
      <c r="AH32" s="37">
        <f t="shared" si="95"/>
        <v>0</v>
      </c>
      <c r="AI32" s="37">
        <f t="shared" si="95"/>
        <v>0</v>
      </c>
      <c r="AJ32" s="37">
        <f t="shared" si="95"/>
        <v>0</v>
      </c>
      <c r="AK32" s="37">
        <f t="shared" si="95"/>
        <v>0</v>
      </c>
      <c r="AL32" s="37">
        <f>AVERAGE(5,5,5,5)</f>
        <v>5</v>
      </c>
      <c r="AM32" s="37">
        <f t="shared" ref="AM32:AN32" si="96">AVERAGE(0,0,0,0)</f>
        <v>0</v>
      </c>
      <c r="AN32" s="37">
        <f t="shared" si="96"/>
        <v>0</v>
      </c>
      <c r="AO32" s="37">
        <f>AVERAGE(30,30,30,30)</f>
        <v>30</v>
      </c>
      <c r="AP32" s="37">
        <f>AVERAGE(10,10,10,10)</f>
        <v>10</v>
      </c>
      <c r="AQ32" s="37">
        <f t="shared" ref="AQ32:AR32" si="97">AVERAGE(0,0,0,0)</f>
        <v>0</v>
      </c>
      <c r="AR32" s="37">
        <f t="shared" si="97"/>
        <v>0</v>
      </c>
      <c r="AS32" s="37">
        <f>AVERAGE(5,5,5,5)</f>
        <v>5</v>
      </c>
      <c r="AT32" s="37">
        <f>AVERAGE(0,0,0,0)</f>
        <v>0</v>
      </c>
      <c r="AU32" s="37">
        <f>AVERAGE(10,10,10,10)</f>
        <v>10</v>
      </c>
      <c r="AV32" s="32"/>
    </row>
    <row r="33" spans="1:48" ht="14.25" customHeight="1">
      <c r="A33" s="47" t="s">
        <v>49</v>
      </c>
      <c r="B33" s="44">
        <v>45322</v>
      </c>
      <c r="C33" s="36">
        <v>5</v>
      </c>
      <c r="D33" s="32" t="s">
        <v>131</v>
      </c>
      <c r="E33" s="32" t="s">
        <v>133</v>
      </c>
      <c r="F33" s="32" t="s">
        <v>85</v>
      </c>
      <c r="G33" s="36">
        <v>13</v>
      </c>
      <c r="H33" s="36">
        <v>3</v>
      </c>
      <c r="I33" s="36" t="s">
        <v>126</v>
      </c>
      <c r="J33" s="36">
        <v>3</v>
      </c>
      <c r="K33" s="37" t="s">
        <v>129</v>
      </c>
      <c r="L33" s="37" t="s">
        <v>129</v>
      </c>
      <c r="M33" s="37" t="s">
        <v>129</v>
      </c>
      <c r="N33" s="37" t="s">
        <v>129</v>
      </c>
      <c r="O33" s="37" t="s">
        <v>129</v>
      </c>
      <c r="P33" s="37" t="s">
        <v>129</v>
      </c>
      <c r="Q33" s="37">
        <v>27</v>
      </c>
      <c r="R33" s="32">
        <v>6.6</v>
      </c>
      <c r="S33" s="45" t="s">
        <v>126</v>
      </c>
      <c r="T33" s="32">
        <v>111.4</v>
      </c>
      <c r="U33" s="37">
        <v>2</v>
      </c>
      <c r="V33" s="40">
        <v>6.19</v>
      </c>
      <c r="W33" s="36" t="s">
        <v>126</v>
      </c>
      <c r="X33" s="40">
        <v>87</v>
      </c>
      <c r="Y33" s="41">
        <f>1/(AVERAGE(28.6/0.5,17.42/0.5,20.88/0.5,26.9/0.5))</f>
        <v>2.1321961620469079E-2</v>
      </c>
      <c r="Z33" s="43">
        <f t="shared" si="94"/>
        <v>2</v>
      </c>
      <c r="AA33" s="37">
        <v>42</v>
      </c>
      <c r="AB33" s="43">
        <f>AVERAGE(7,42,26)</f>
        <v>25</v>
      </c>
      <c r="AC33" s="37">
        <f>AVERAGE(38,38,38,38)</f>
        <v>38</v>
      </c>
      <c r="AD33" s="42">
        <v>1.5</v>
      </c>
      <c r="AE33" s="37">
        <f>AVERAGE(80,80,80,80)</f>
        <v>80</v>
      </c>
      <c r="AF33" s="37">
        <f>AVERAGE(20,20,20,20)</f>
        <v>20</v>
      </c>
      <c r="AG33" s="37">
        <f t="shared" ref="AG33:AN33" si="98">AVERAGE(0,0,0,0)</f>
        <v>0</v>
      </c>
      <c r="AH33" s="37">
        <f t="shared" si="98"/>
        <v>0</v>
      </c>
      <c r="AI33" s="37">
        <f t="shared" si="98"/>
        <v>0</v>
      </c>
      <c r="AJ33" s="37">
        <f t="shared" si="98"/>
        <v>0</v>
      </c>
      <c r="AK33" s="37">
        <f t="shared" si="98"/>
        <v>0</v>
      </c>
      <c r="AL33" s="37">
        <f t="shared" si="98"/>
        <v>0</v>
      </c>
      <c r="AM33" s="37">
        <f t="shared" si="98"/>
        <v>0</v>
      </c>
      <c r="AN33" s="37">
        <f t="shared" si="98"/>
        <v>0</v>
      </c>
      <c r="AO33" s="37">
        <f>AVERAGE(40,40,40,40)</f>
        <v>40</v>
      </c>
      <c r="AP33" s="37">
        <f>AVERAGE(10,10,10,10)</f>
        <v>10</v>
      </c>
      <c r="AQ33" s="37">
        <f t="shared" ref="AQ33:AR33" si="99">AVERAGE(0,0,0,0)</f>
        <v>0</v>
      </c>
      <c r="AR33" s="37">
        <f t="shared" si="99"/>
        <v>0</v>
      </c>
      <c r="AS33" s="37">
        <f>AVERAGE(15,15,15,15)</f>
        <v>15</v>
      </c>
      <c r="AT33" s="37">
        <f>AVERAGE(25,25,25,25)</f>
        <v>25</v>
      </c>
      <c r="AU33" s="37">
        <f>AVERAGE(15,15,15,15)</f>
        <v>15</v>
      </c>
      <c r="AV33" s="32"/>
    </row>
    <row r="34" spans="1:48" ht="14.25" customHeight="1">
      <c r="A34" s="33" t="s">
        <v>50</v>
      </c>
      <c r="B34" s="44">
        <v>45322</v>
      </c>
      <c r="C34" s="36">
        <v>5</v>
      </c>
      <c r="D34" s="32" t="s">
        <v>131</v>
      </c>
      <c r="E34" s="32" t="s">
        <v>133</v>
      </c>
      <c r="F34" s="32" t="s">
        <v>85</v>
      </c>
      <c r="G34" s="36">
        <v>14</v>
      </c>
      <c r="H34" s="36">
        <v>3</v>
      </c>
      <c r="I34" s="36" t="s">
        <v>126</v>
      </c>
      <c r="J34" s="36">
        <v>1</v>
      </c>
      <c r="K34" s="37" t="s">
        <v>129</v>
      </c>
      <c r="L34" s="37" t="s">
        <v>129</v>
      </c>
      <c r="M34" s="37" t="s">
        <v>129</v>
      </c>
      <c r="N34" s="37" t="s">
        <v>129</v>
      </c>
      <c r="O34" s="37" t="s">
        <v>129</v>
      </c>
      <c r="P34" s="37" t="s">
        <v>129</v>
      </c>
      <c r="Q34" s="32">
        <v>27.5</v>
      </c>
      <c r="R34" s="32">
        <v>5.0999999999999996</v>
      </c>
      <c r="S34" s="45" t="s">
        <v>126</v>
      </c>
      <c r="T34" s="37">
        <v>145.69999999999999</v>
      </c>
      <c r="U34" s="37">
        <v>7</v>
      </c>
      <c r="V34" s="32">
        <v>5.99</v>
      </c>
      <c r="W34" s="36" t="s">
        <v>126</v>
      </c>
      <c r="X34" s="40">
        <v>76</v>
      </c>
      <c r="Y34" s="41">
        <f>1/(AVERAGE(14.98,22.13,26.78))</f>
        <v>4.6955705118171855E-2</v>
      </c>
      <c r="Z34" s="43">
        <f>MEDIAN(3,4)</f>
        <v>3.5</v>
      </c>
      <c r="AA34" s="37">
        <v>20</v>
      </c>
      <c r="AB34" s="43">
        <f>AVERAGE(10,20,19)</f>
        <v>16.333333333333332</v>
      </c>
      <c r="AC34" s="37">
        <f>AVERAGE(13,13,13,13)</f>
        <v>13</v>
      </c>
      <c r="AD34" s="46">
        <v>2.2400000000000002</v>
      </c>
      <c r="AE34" s="37">
        <f t="shared" ref="AE34:AE36" si="100">AVERAGE(5,5,5,5)</f>
        <v>5</v>
      </c>
      <c r="AF34" s="37">
        <f t="shared" ref="AF34:AF35" si="101">AVERAGE(95,95,95,95)</f>
        <v>95</v>
      </c>
      <c r="AG34" s="37">
        <f t="shared" ref="AG34:AN34" si="102">AVERAGE(0,0,0,0)</f>
        <v>0</v>
      </c>
      <c r="AH34" s="37">
        <f t="shared" si="102"/>
        <v>0</v>
      </c>
      <c r="AI34" s="37">
        <f t="shared" si="102"/>
        <v>0</v>
      </c>
      <c r="AJ34" s="37">
        <f t="shared" si="102"/>
        <v>0</v>
      </c>
      <c r="AK34" s="37">
        <f t="shared" si="102"/>
        <v>0</v>
      </c>
      <c r="AL34" s="37">
        <f t="shared" si="102"/>
        <v>0</v>
      </c>
      <c r="AM34" s="37">
        <f t="shared" si="102"/>
        <v>0</v>
      </c>
      <c r="AN34" s="37">
        <f t="shared" si="102"/>
        <v>0</v>
      </c>
      <c r="AO34" s="37">
        <f>AVERAGE(60,60,60,60)</f>
        <v>60</v>
      </c>
      <c r="AP34" s="37">
        <f t="shared" si="91"/>
        <v>5</v>
      </c>
      <c r="AQ34" s="37">
        <f t="shared" ref="AQ34:AR34" si="103">AVERAGE(0,0,0,0)</f>
        <v>0</v>
      </c>
      <c r="AR34" s="37">
        <f t="shared" si="103"/>
        <v>0</v>
      </c>
      <c r="AS34" s="37">
        <f>AVERAGE(20,20,20,20)</f>
        <v>20</v>
      </c>
      <c r="AT34" s="37">
        <f>AVERAGE(15,15,15,15)</f>
        <v>15</v>
      </c>
      <c r="AU34" s="37">
        <f>AVERAGE(10,10,10,10)</f>
        <v>10</v>
      </c>
      <c r="AV34" s="32"/>
    </row>
    <row r="35" spans="1:48" ht="14.25" customHeight="1">
      <c r="A35" s="33" t="s">
        <v>50</v>
      </c>
      <c r="B35" s="44">
        <v>45322</v>
      </c>
      <c r="C35" s="36">
        <v>5</v>
      </c>
      <c r="D35" s="32" t="s">
        <v>131</v>
      </c>
      <c r="E35" s="32" t="s">
        <v>133</v>
      </c>
      <c r="F35" s="32" t="s">
        <v>85</v>
      </c>
      <c r="G35" s="36">
        <v>14</v>
      </c>
      <c r="H35" s="36">
        <v>3</v>
      </c>
      <c r="I35" s="36" t="s">
        <v>126</v>
      </c>
      <c r="J35" s="36">
        <v>2</v>
      </c>
      <c r="K35" s="37" t="s">
        <v>129</v>
      </c>
      <c r="L35" s="37" t="s">
        <v>129</v>
      </c>
      <c r="M35" s="37" t="s">
        <v>129</v>
      </c>
      <c r="N35" s="37" t="s">
        <v>129</v>
      </c>
      <c r="O35" s="37" t="s">
        <v>129</v>
      </c>
      <c r="P35" s="37" t="s">
        <v>129</v>
      </c>
      <c r="Q35" s="32">
        <v>27.9</v>
      </c>
      <c r="R35" s="32">
        <v>6.5</v>
      </c>
      <c r="S35" s="45" t="s">
        <v>126</v>
      </c>
      <c r="T35" s="37">
        <v>117</v>
      </c>
      <c r="U35" s="50">
        <v>28</v>
      </c>
      <c r="V35" s="32">
        <v>6.46</v>
      </c>
      <c r="W35" s="36" t="s">
        <v>126</v>
      </c>
      <c r="X35" s="40">
        <v>76</v>
      </c>
      <c r="Y35" s="41">
        <f>1/(AVERAGE(2.77,1.84,2.08,2.24,2.1,1.88,2.29))</f>
        <v>0.46052631578947373</v>
      </c>
      <c r="Z35" s="43">
        <f>MEDIAN(3,3)</f>
        <v>3</v>
      </c>
      <c r="AA35" s="37">
        <v>17</v>
      </c>
      <c r="AB35" s="43">
        <f>AVERAGE(10,17,15)</f>
        <v>14</v>
      </c>
      <c r="AC35" s="37">
        <f>AVERAGE(11,11,11,11)</f>
        <v>11</v>
      </c>
      <c r="AD35" s="42">
        <v>1.4</v>
      </c>
      <c r="AE35" s="37">
        <f t="shared" si="100"/>
        <v>5</v>
      </c>
      <c r="AF35" s="37">
        <f t="shared" si="101"/>
        <v>95</v>
      </c>
      <c r="AG35" s="37">
        <f t="shared" ref="AG35:AN35" si="104">AVERAGE(0,0,0,0)</f>
        <v>0</v>
      </c>
      <c r="AH35" s="37">
        <f t="shared" si="104"/>
        <v>0</v>
      </c>
      <c r="AI35" s="37">
        <f t="shared" si="104"/>
        <v>0</v>
      </c>
      <c r="AJ35" s="37">
        <f t="shared" si="104"/>
        <v>0</v>
      </c>
      <c r="AK35" s="37">
        <f t="shared" si="104"/>
        <v>0</v>
      </c>
      <c r="AL35" s="37">
        <f t="shared" si="104"/>
        <v>0</v>
      </c>
      <c r="AM35" s="37">
        <f t="shared" si="104"/>
        <v>0</v>
      </c>
      <c r="AN35" s="37">
        <f t="shared" si="104"/>
        <v>0</v>
      </c>
      <c r="AO35" s="37">
        <f>AVERAGE(50,50,50,50)</f>
        <v>50</v>
      </c>
      <c r="AP35" s="37">
        <f t="shared" si="91"/>
        <v>5</v>
      </c>
      <c r="AQ35" s="37">
        <f t="shared" ref="AQ35:AR35" si="105">AVERAGE(0,0,0,0)</f>
        <v>0</v>
      </c>
      <c r="AR35" s="37">
        <f t="shared" si="105"/>
        <v>0</v>
      </c>
      <c r="AS35" s="37">
        <f t="shared" ref="AS35:AU35" si="106">AVERAGE(15,15,15,15)</f>
        <v>15</v>
      </c>
      <c r="AT35" s="37">
        <f t="shared" si="106"/>
        <v>15</v>
      </c>
      <c r="AU35" s="37">
        <f t="shared" si="106"/>
        <v>15</v>
      </c>
      <c r="AV35" s="32"/>
    </row>
    <row r="36" spans="1:48" ht="14.25" customHeight="1">
      <c r="A36" s="33" t="s">
        <v>50</v>
      </c>
      <c r="B36" s="44">
        <v>45322</v>
      </c>
      <c r="C36" s="36">
        <v>5</v>
      </c>
      <c r="D36" s="32" t="s">
        <v>131</v>
      </c>
      <c r="E36" s="32" t="s">
        <v>133</v>
      </c>
      <c r="F36" s="32" t="s">
        <v>85</v>
      </c>
      <c r="G36" s="36">
        <v>14</v>
      </c>
      <c r="H36" s="36">
        <v>3</v>
      </c>
      <c r="I36" s="36" t="s">
        <v>126</v>
      </c>
      <c r="J36" s="36">
        <v>3</v>
      </c>
      <c r="K36" s="37" t="s">
        <v>129</v>
      </c>
      <c r="L36" s="37" t="s">
        <v>129</v>
      </c>
      <c r="M36" s="37" t="s">
        <v>129</v>
      </c>
      <c r="N36" s="37" t="s">
        <v>129</v>
      </c>
      <c r="O36" s="37" t="s">
        <v>129</v>
      </c>
      <c r="P36" s="37" t="s">
        <v>129</v>
      </c>
      <c r="Q36" s="37">
        <v>28</v>
      </c>
      <c r="R36" s="32">
        <v>6.8</v>
      </c>
      <c r="S36" s="45" t="s">
        <v>126</v>
      </c>
      <c r="T36" s="37">
        <v>184.2</v>
      </c>
      <c r="U36" s="37">
        <v>14</v>
      </c>
      <c r="V36" s="32">
        <v>6.31</v>
      </c>
      <c r="W36" s="36" t="s">
        <v>126</v>
      </c>
      <c r="X36" s="40">
        <v>76</v>
      </c>
      <c r="Y36" s="41">
        <f>1/(AVERAGE(5.15,5.18,5.89,6.33,8.85,6.79,7))</f>
        <v>0.15490152688647932</v>
      </c>
      <c r="Z36" s="43">
        <f t="shared" ref="Z36" si="107">MEDIAN(3,3)</f>
        <v>3</v>
      </c>
      <c r="AA36" s="37">
        <v>19</v>
      </c>
      <c r="AB36" s="43">
        <f>AVERAGE(4,9,19)</f>
        <v>10.666666666666666</v>
      </c>
      <c r="AC36" s="37">
        <f>AVERAGE(10,10,10,10)</f>
        <v>10</v>
      </c>
      <c r="AD36" s="46">
        <v>0.96</v>
      </c>
      <c r="AE36" s="37">
        <f t="shared" si="100"/>
        <v>5</v>
      </c>
      <c r="AF36" s="37">
        <f t="shared" ref="AF36:AF38" si="108">AVERAGE(90,90,90,90)</f>
        <v>90</v>
      </c>
      <c r="AG36" s="37">
        <f>AVERAGE(5,5,5,5)</f>
        <v>5</v>
      </c>
      <c r="AH36" s="37">
        <f t="shared" ref="AH36:AN36" si="109">AVERAGE(0,0,0,0)</f>
        <v>0</v>
      </c>
      <c r="AI36" s="37">
        <f t="shared" si="109"/>
        <v>0</v>
      </c>
      <c r="AJ36" s="37">
        <f t="shared" si="109"/>
        <v>0</v>
      </c>
      <c r="AK36" s="37">
        <f t="shared" si="109"/>
        <v>0</v>
      </c>
      <c r="AL36" s="37">
        <f t="shared" si="109"/>
        <v>0</v>
      </c>
      <c r="AM36" s="37">
        <f t="shared" si="109"/>
        <v>0</v>
      </c>
      <c r="AN36" s="37">
        <f t="shared" si="109"/>
        <v>0</v>
      </c>
      <c r="AO36" s="37">
        <f>AVERAGE(60,60,60,60)</f>
        <v>60</v>
      </c>
      <c r="AP36" s="37">
        <f t="shared" si="91"/>
        <v>5</v>
      </c>
      <c r="AQ36" s="37">
        <f t="shared" ref="AQ36:AR36" si="110">AVERAGE(0,0,0,0)</f>
        <v>0</v>
      </c>
      <c r="AR36" s="37">
        <f t="shared" si="110"/>
        <v>0</v>
      </c>
      <c r="AS36" s="37">
        <f>AVERAGE(10,10,10,10)</f>
        <v>10</v>
      </c>
      <c r="AT36" s="37">
        <f t="shared" ref="AT36:AU36" si="111">AVERAGE(15,15,15,15)</f>
        <v>15</v>
      </c>
      <c r="AU36" s="37">
        <f t="shared" si="111"/>
        <v>15</v>
      </c>
      <c r="AV36" s="32"/>
    </row>
    <row r="37" spans="1:48" ht="14.25" customHeight="1">
      <c r="A37" s="33" t="s">
        <v>51</v>
      </c>
      <c r="B37" s="44">
        <v>45322</v>
      </c>
      <c r="C37" s="36">
        <v>5</v>
      </c>
      <c r="D37" s="32" t="s">
        <v>131</v>
      </c>
      <c r="E37" s="32" t="s">
        <v>133</v>
      </c>
      <c r="F37" s="32" t="s">
        <v>141</v>
      </c>
      <c r="G37" s="36">
        <v>15</v>
      </c>
      <c r="H37" s="36">
        <v>4</v>
      </c>
      <c r="I37" s="36" t="s">
        <v>126</v>
      </c>
      <c r="J37" s="36">
        <v>1</v>
      </c>
      <c r="K37" s="37" t="s">
        <v>129</v>
      </c>
      <c r="L37" s="37" t="s">
        <v>129</v>
      </c>
      <c r="M37" s="37" t="s">
        <v>129</v>
      </c>
      <c r="N37" s="37" t="s">
        <v>129</v>
      </c>
      <c r="O37" s="37" t="s">
        <v>129</v>
      </c>
      <c r="P37" s="37" t="s">
        <v>129</v>
      </c>
      <c r="Q37" s="32">
        <v>29.3</v>
      </c>
      <c r="R37" s="32">
        <v>5.4</v>
      </c>
      <c r="S37" s="45" t="s">
        <v>126</v>
      </c>
      <c r="T37" s="37">
        <v>250.8</v>
      </c>
      <c r="U37" s="37">
        <v>11</v>
      </c>
      <c r="V37" s="32">
        <v>6.37</v>
      </c>
      <c r="W37" s="36" t="s">
        <v>126</v>
      </c>
      <c r="X37" s="40">
        <v>86</v>
      </c>
      <c r="Y37" s="41">
        <f>1/(AVERAGE(6.79,6.23,6.76,5.91,6.23,5.73,6.35))</f>
        <v>0.15909090909090906</v>
      </c>
      <c r="Z37" s="46">
        <f>MEDIAN(2,3)</f>
        <v>2.5</v>
      </c>
      <c r="AA37" s="37">
        <v>30</v>
      </c>
      <c r="AB37" s="43">
        <f>AVERAGE(21,30,27)</f>
        <v>26</v>
      </c>
      <c r="AC37" s="37">
        <f>AVERAGE(14,14,14,14)</f>
        <v>14</v>
      </c>
      <c r="AD37" s="46">
        <v>1.08</v>
      </c>
      <c r="AE37" s="37">
        <f t="shared" ref="AE37:AE39" si="112">AVERAGE(10,10,10,10)</f>
        <v>10</v>
      </c>
      <c r="AF37" s="37">
        <f t="shared" si="108"/>
        <v>90</v>
      </c>
      <c r="AG37" s="37">
        <f t="shared" ref="AG37:AN37" si="113">AVERAGE(0,0,0,0)</f>
        <v>0</v>
      </c>
      <c r="AH37" s="37">
        <f t="shared" si="113"/>
        <v>0</v>
      </c>
      <c r="AI37" s="37">
        <f t="shared" si="113"/>
        <v>0</v>
      </c>
      <c r="AJ37" s="37">
        <f t="shared" si="113"/>
        <v>0</v>
      </c>
      <c r="AK37" s="37">
        <f t="shared" si="113"/>
        <v>0</v>
      </c>
      <c r="AL37" s="37">
        <f t="shared" si="113"/>
        <v>0</v>
      </c>
      <c r="AM37" s="37">
        <f t="shared" si="113"/>
        <v>0</v>
      </c>
      <c r="AN37" s="37">
        <f t="shared" si="113"/>
        <v>0</v>
      </c>
      <c r="AO37" s="37">
        <f t="shared" ref="AO37:AO39" si="114">AVERAGE(40,40,40,40)</f>
        <v>40</v>
      </c>
      <c r="AP37" s="43">
        <f>AVERAGE(10,10,10,10)</f>
        <v>10</v>
      </c>
      <c r="AQ37" s="37">
        <f t="shared" ref="AQ37:AR37" si="115">AVERAGE(0,0,0,0)</f>
        <v>0</v>
      </c>
      <c r="AR37" s="37">
        <f t="shared" si="115"/>
        <v>0</v>
      </c>
      <c r="AS37" s="37">
        <f>AVERAGE(5,5,5,5)</f>
        <v>5</v>
      </c>
      <c r="AT37" s="37">
        <f t="shared" ref="AT37:AU37" si="116">AVERAGE(10,10,10,10)</f>
        <v>10</v>
      </c>
      <c r="AU37" s="37">
        <f t="shared" si="116"/>
        <v>10</v>
      </c>
      <c r="AV37" s="32"/>
    </row>
    <row r="38" spans="1:48" ht="14.25" customHeight="1">
      <c r="A38" s="33" t="s">
        <v>51</v>
      </c>
      <c r="B38" s="44">
        <v>45322</v>
      </c>
      <c r="C38" s="36">
        <v>5</v>
      </c>
      <c r="D38" s="32" t="s">
        <v>131</v>
      </c>
      <c r="E38" s="32" t="s">
        <v>133</v>
      </c>
      <c r="F38" s="32" t="s">
        <v>141</v>
      </c>
      <c r="G38" s="36">
        <v>15</v>
      </c>
      <c r="H38" s="36">
        <v>4</v>
      </c>
      <c r="I38" s="36" t="s">
        <v>126</v>
      </c>
      <c r="J38" s="36">
        <v>2</v>
      </c>
      <c r="K38" s="37" t="s">
        <v>129</v>
      </c>
      <c r="L38" s="37" t="s">
        <v>129</v>
      </c>
      <c r="M38" s="37" t="s">
        <v>129</v>
      </c>
      <c r="N38" s="37" t="s">
        <v>129</v>
      </c>
      <c r="O38" s="37" t="s">
        <v>129</v>
      </c>
      <c r="P38" s="37" t="s">
        <v>129</v>
      </c>
      <c r="Q38" s="32">
        <v>29.1</v>
      </c>
      <c r="R38" s="37">
        <v>5</v>
      </c>
      <c r="S38" s="45" t="s">
        <v>126</v>
      </c>
      <c r="T38" s="37">
        <v>232.3</v>
      </c>
      <c r="U38" s="37">
        <v>8</v>
      </c>
      <c r="V38" s="32">
        <v>6.27</v>
      </c>
      <c r="W38" s="36" t="s">
        <v>126</v>
      </c>
      <c r="X38" s="40">
        <v>86</v>
      </c>
      <c r="Y38" s="41">
        <f>1/(AVERAGE(9.25,8.36,10.74,8.45,9.79,10.12,8.1))</f>
        <v>0.10800802345317083</v>
      </c>
      <c r="Z38" s="46">
        <f>MEDIAN(2,3)</f>
        <v>2.5</v>
      </c>
      <c r="AA38" s="37">
        <v>22</v>
      </c>
      <c r="AB38" s="43">
        <f>AVERAGE(22,20,21)</f>
        <v>21</v>
      </c>
      <c r="AC38" s="37">
        <f>AVERAGE(19,19,19,19)</f>
        <v>19</v>
      </c>
      <c r="AD38" s="46">
        <v>0.56000000000000005</v>
      </c>
      <c r="AE38" s="37">
        <f t="shared" si="112"/>
        <v>10</v>
      </c>
      <c r="AF38" s="37">
        <f t="shared" si="108"/>
        <v>90</v>
      </c>
      <c r="AG38" s="37">
        <f t="shared" ref="AG38:AN38" si="117">AVERAGE(0,0,0,0)</f>
        <v>0</v>
      </c>
      <c r="AH38" s="37">
        <f t="shared" si="117"/>
        <v>0</v>
      </c>
      <c r="AI38" s="37">
        <f t="shared" si="117"/>
        <v>0</v>
      </c>
      <c r="AJ38" s="37">
        <f t="shared" si="117"/>
        <v>0</v>
      </c>
      <c r="AK38" s="37">
        <f t="shared" si="117"/>
        <v>0</v>
      </c>
      <c r="AL38" s="37">
        <f t="shared" si="117"/>
        <v>0</v>
      </c>
      <c r="AM38" s="37">
        <f t="shared" si="117"/>
        <v>0</v>
      </c>
      <c r="AN38" s="37">
        <f t="shared" si="117"/>
        <v>0</v>
      </c>
      <c r="AO38" s="43">
        <f t="shared" si="114"/>
        <v>40</v>
      </c>
      <c r="AP38" s="43">
        <f t="shared" ref="AP38:AP39" si="118">AVERAGE(5,5,5,5)</f>
        <v>5</v>
      </c>
      <c r="AQ38" s="37">
        <f t="shared" ref="AQ38:AR38" si="119">AVERAGE(0,0,0,0)</f>
        <v>0</v>
      </c>
      <c r="AR38" s="37">
        <f t="shared" si="119"/>
        <v>0</v>
      </c>
      <c r="AS38" s="37">
        <f>AVERAGE(0,0,0,0)</f>
        <v>0</v>
      </c>
      <c r="AT38" s="37">
        <f t="shared" ref="AT38:AU38" si="120">AVERAGE(5,5,5,5)</f>
        <v>5</v>
      </c>
      <c r="AU38" s="37">
        <f t="shared" si="120"/>
        <v>5</v>
      </c>
      <c r="AV38" s="32"/>
    </row>
    <row r="39" spans="1:48" ht="14.25" customHeight="1">
      <c r="A39" s="33" t="s">
        <v>51</v>
      </c>
      <c r="B39" s="44">
        <v>45322</v>
      </c>
      <c r="C39" s="36">
        <v>5</v>
      </c>
      <c r="D39" s="32" t="s">
        <v>131</v>
      </c>
      <c r="E39" s="32" t="s">
        <v>133</v>
      </c>
      <c r="F39" s="32" t="s">
        <v>141</v>
      </c>
      <c r="G39" s="36">
        <v>15</v>
      </c>
      <c r="H39" s="36">
        <v>4</v>
      </c>
      <c r="I39" s="36" t="s">
        <v>126</v>
      </c>
      <c r="J39" s="36">
        <v>3</v>
      </c>
      <c r="K39" s="37" t="s">
        <v>129</v>
      </c>
      <c r="L39" s="37" t="s">
        <v>129</v>
      </c>
      <c r="M39" s="37" t="s">
        <v>129</v>
      </c>
      <c r="N39" s="37" t="s">
        <v>129</v>
      </c>
      <c r="O39" s="37" t="s">
        <v>129</v>
      </c>
      <c r="P39" s="37" t="s">
        <v>129</v>
      </c>
      <c r="Q39" s="37">
        <v>29</v>
      </c>
      <c r="R39" s="32">
        <v>5.4</v>
      </c>
      <c r="S39" s="45" t="s">
        <v>126</v>
      </c>
      <c r="T39" s="37">
        <v>243</v>
      </c>
      <c r="U39" s="37">
        <v>21</v>
      </c>
      <c r="V39" s="32">
        <v>6.57</v>
      </c>
      <c r="W39" s="36" t="s">
        <v>126</v>
      </c>
      <c r="X39" s="40">
        <v>86</v>
      </c>
      <c r="Y39" s="41">
        <f>1/(AVERAGE(10.79,9.69,10.11,12.72,11.58,10.95,11.72))</f>
        <v>9.0252707581227457E-2</v>
      </c>
      <c r="Z39" s="46">
        <f>MEDIAN(1,2)</f>
        <v>1.5</v>
      </c>
      <c r="AA39" s="37">
        <v>14</v>
      </c>
      <c r="AB39" s="43">
        <f>AVERAGE(12,14,6)</f>
        <v>10.666666666666666</v>
      </c>
      <c r="AC39" s="37">
        <f>AVERAGE(23,23,23,23)</f>
        <v>23</v>
      </c>
      <c r="AD39" s="46">
        <v>1.1499999999999999</v>
      </c>
      <c r="AE39" s="37">
        <f t="shared" si="112"/>
        <v>10</v>
      </c>
      <c r="AF39" s="37">
        <f>AVERAGE(80,80,80,80)</f>
        <v>80</v>
      </c>
      <c r="AG39" s="37">
        <f>AVERAGE(10,10,10,10)</f>
        <v>10</v>
      </c>
      <c r="AH39" s="37">
        <f t="shared" ref="AH39:AN39" si="121">AVERAGE(0,0,0,0)</f>
        <v>0</v>
      </c>
      <c r="AI39" s="37">
        <f t="shared" si="121"/>
        <v>0</v>
      </c>
      <c r="AJ39" s="37">
        <f t="shared" si="121"/>
        <v>0</v>
      </c>
      <c r="AK39" s="37">
        <f t="shared" si="121"/>
        <v>0</v>
      </c>
      <c r="AL39" s="37">
        <f t="shared" si="121"/>
        <v>0</v>
      </c>
      <c r="AM39" s="37">
        <f t="shared" si="121"/>
        <v>0</v>
      </c>
      <c r="AN39" s="37">
        <f t="shared" si="121"/>
        <v>0</v>
      </c>
      <c r="AO39" s="43">
        <f t="shared" si="114"/>
        <v>40</v>
      </c>
      <c r="AP39" s="43">
        <f t="shared" si="118"/>
        <v>5</v>
      </c>
      <c r="AQ39" s="37">
        <f t="shared" ref="AQ39:AR39" si="122">AVERAGE(0,0,0,0)</f>
        <v>0</v>
      </c>
      <c r="AR39" s="37">
        <f t="shared" si="122"/>
        <v>0</v>
      </c>
      <c r="AS39" s="37">
        <f>AVERAGE(10,10,10,10)</f>
        <v>10</v>
      </c>
      <c r="AT39" s="37">
        <f>AVERAGE(15,15,15,15)</f>
        <v>15</v>
      </c>
      <c r="AU39" s="37">
        <f>AVERAGE(25,25,25,25)</f>
        <v>25</v>
      </c>
      <c r="AV39" s="32"/>
    </row>
    <row r="40" spans="1:48" ht="14.25" customHeight="1">
      <c r="A40" s="33" t="s">
        <v>52</v>
      </c>
      <c r="B40" s="44">
        <v>45322</v>
      </c>
      <c r="C40" s="36">
        <v>5</v>
      </c>
      <c r="D40" s="32" t="s">
        <v>131</v>
      </c>
      <c r="E40" s="32" t="s">
        <v>135</v>
      </c>
      <c r="F40" s="32" t="s">
        <v>142</v>
      </c>
      <c r="G40" s="36">
        <v>16</v>
      </c>
      <c r="H40" s="36">
        <v>4</v>
      </c>
      <c r="I40" s="36" t="s">
        <v>126</v>
      </c>
      <c r="J40" s="36">
        <v>1</v>
      </c>
      <c r="K40" s="37" t="s">
        <v>129</v>
      </c>
      <c r="L40" s="37" t="s">
        <v>129</v>
      </c>
      <c r="M40" s="37" t="s">
        <v>129</v>
      </c>
      <c r="N40" s="37" t="s">
        <v>129</v>
      </c>
      <c r="O40" s="37" t="s">
        <v>129</v>
      </c>
      <c r="P40" s="37" t="s">
        <v>129</v>
      </c>
      <c r="Q40" s="32">
        <v>31.4</v>
      </c>
      <c r="R40" s="32">
        <v>7.1</v>
      </c>
      <c r="S40" s="45" t="s">
        <v>126</v>
      </c>
      <c r="T40" s="32">
        <v>139.1</v>
      </c>
      <c r="U40" s="37">
        <v>8</v>
      </c>
      <c r="V40" s="32">
        <v>6.5</v>
      </c>
      <c r="W40" s="36" t="s">
        <v>126</v>
      </c>
      <c r="X40" s="40">
        <v>76</v>
      </c>
      <c r="Y40" s="41">
        <v>0</v>
      </c>
      <c r="Z40" s="43">
        <f t="shared" ref="Z40:Z42" si="123">MEDIAN(1,1)</f>
        <v>1</v>
      </c>
      <c r="AA40" s="50">
        <v>200</v>
      </c>
      <c r="AB40" s="51">
        <f>AVERAGE(AA40,AC40)</f>
        <v>109</v>
      </c>
      <c r="AC40" s="37">
        <f>AVERAGE(18,18,18,18)</f>
        <v>18</v>
      </c>
      <c r="AD40" s="52">
        <v>12.22</v>
      </c>
      <c r="AE40" s="37">
        <f t="shared" ref="AE40:AE42" si="124">AVERAGE(100,100,100,100)</f>
        <v>100</v>
      </c>
      <c r="AF40" s="37">
        <f t="shared" ref="AF40:AK40" si="125">AVERAGE(0,0,0,0)</f>
        <v>0</v>
      </c>
      <c r="AG40" s="37">
        <f t="shared" si="125"/>
        <v>0</v>
      </c>
      <c r="AH40" s="37">
        <f t="shared" si="125"/>
        <v>0</v>
      </c>
      <c r="AI40" s="37">
        <f t="shared" si="125"/>
        <v>0</v>
      </c>
      <c r="AJ40" s="37">
        <f t="shared" si="125"/>
        <v>0</v>
      </c>
      <c r="AK40" s="37">
        <f t="shared" si="125"/>
        <v>0</v>
      </c>
      <c r="AL40" s="37">
        <f>AVERAGE(0+25,0+25,0+25,0+25)</f>
        <v>25</v>
      </c>
      <c r="AM40" s="37">
        <f t="shared" ref="AM40:AM41" si="126">AVERAGE(50,50,50,50)</f>
        <v>50</v>
      </c>
      <c r="AN40" s="37">
        <f t="shared" ref="AN40:AN42" si="127">AVERAGE(20,20,20,20)</f>
        <v>20</v>
      </c>
      <c r="AO40" s="37">
        <f t="shared" ref="AO40:AP40" si="128">AVERAGE(5,5,5,5)</f>
        <v>5</v>
      </c>
      <c r="AP40" s="37">
        <f t="shared" si="128"/>
        <v>5</v>
      </c>
      <c r="AQ40" s="37">
        <f t="shared" ref="AQ40:AR40" si="129">AVERAGE(0,0,0,0)</f>
        <v>0</v>
      </c>
      <c r="AR40" s="37">
        <f t="shared" si="129"/>
        <v>0</v>
      </c>
      <c r="AS40" s="37">
        <f t="shared" ref="AS40:AU40" si="130">AVERAGE(5,5,5,5)</f>
        <v>5</v>
      </c>
      <c r="AT40" s="37">
        <f t="shared" si="130"/>
        <v>5</v>
      </c>
      <c r="AU40" s="37">
        <f t="shared" si="130"/>
        <v>5</v>
      </c>
      <c r="AV40" s="32"/>
    </row>
    <row r="41" spans="1:48" ht="14.25" customHeight="1">
      <c r="A41" s="33" t="s">
        <v>52</v>
      </c>
      <c r="B41" s="44">
        <v>45322</v>
      </c>
      <c r="C41" s="36">
        <v>5</v>
      </c>
      <c r="D41" s="32" t="s">
        <v>131</v>
      </c>
      <c r="E41" s="32" t="s">
        <v>135</v>
      </c>
      <c r="F41" s="32" t="s">
        <v>142</v>
      </c>
      <c r="G41" s="36">
        <v>16</v>
      </c>
      <c r="H41" s="36">
        <v>4</v>
      </c>
      <c r="I41" s="36" t="s">
        <v>126</v>
      </c>
      <c r="J41" s="36">
        <v>2</v>
      </c>
      <c r="K41" s="37" t="s">
        <v>129</v>
      </c>
      <c r="L41" s="37" t="s">
        <v>129</v>
      </c>
      <c r="M41" s="37" t="s">
        <v>129</v>
      </c>
      <c r="N41" s="37" t="s">
        <v>129</v>
      </c>
      <c r="O41" s="37" t="s">
        <v>129</v>
      </c>
      <c r="P41" s="37" t="s">
        <v>129</v>
      </c>
      <c r="Q41" s="32">
        <v>32.700000000000003</v>
      </c>
      <c r="R41" s="32">
        <v>6.4</v>
      </c>
      <c r="S41" s="45" t="s">
        <v>126</v>
      </c>
      <c r="T41" s="32">
        <v>162.19999999999999</v>
      </c>
      <c r="U41" s="37">
        <v>5</v>
      </c>
      <c r="V41" s="32">
        <v>6.3</v>
      </c>
      <c r="W41" s="36" t="s">
        <v>126</v>
      </c>
      <c r="X41" s="40">
        <v>76</v>
      </c>
      <c r="Y41" s="41">
        <v>0</v>
      </c>
      <c r="Z41" s="43">
        <f t="shared" si="123"/>
        <v>1</v>
      </c>
      <c r="AA41" s="50">
        <v>200</v>
      </c>
      <c r="AB41" s="51">
        <f t="shared" ref="AB41:AB42" si="131">AVERAGE(AA41,AC41)</f>
        <v>113.5</v>
      </c>
      <c r="AC41" s="37">
        <f>AVERAGE(27,27,27,27)</f>
        <v>27</v>
      </c>
      <c r="AD41" s="52">
        <v>8.4600000000000009</v>
      </c>
      <c r="AE41" s="37">
        <f t="shared" si="124"/>
        <v>100</v>
      </c>
      <c r="AF41" s="37">
        <f t="shared" ref="AF41:AK41" si="132">AVERAGE(0,0,0,0)</f>
        <v>0</v>
      </c>
      <c r="AG41" s="37">
        <f t="shared" si="132"/>
        <v>0</v>
      </c>
      <c r="AH41" s="37">
        <f t="shared" si="132"/>
        <v>0</v>
      </c>
      <c r="AI41" s="37">
        <f t="shared" si="132"/>
        <v>0</v>
      </c>
      <c r="AJ41" s="37">
        <f t="shared" si="132"/>
        <v>0</v>
      </c>
      <c r="AK41" s="37">
        <f t="shared" si="132"/>
        <v>0</v>
      </c>
      <c r="AL41" s="37">
        <f>AVERAGE(25+25,25+25,25+25,25+25)</f>
        <v>50</v>
      </c>
      <c r="AM41" s="37">
        <f t="shared" si="126"/>
        <v>50</v>
      </c>
      <c r="AN41" s="37">
        <f t="shared" si="127"/>
        <v>20</v>
      </c>
      <c r="AO41" s="37">
        <f t="shared" ref="AO41:AR41" si="133">AVERAGE(0,0,0,0)</f>
        <v>0</v>
      </c>
      <c r="AP41" s="37">
        <f t="shared" si="133"/>
        <v>0</v>
      </c>
      <c r="AQ41" s="37">
        <f t="shared" si="133"/>
        <v>0</v>
      </c>
      <c r="AR41" s="37">
        <f t="shared" si="133"/>
        <v>0</v>
      </c>
      <c r="AS41" s="37">
        <f t="shared" ref="AS41:AU41" si="134">AVERAGE(0,0,0,0)</f>
        <v>0</v>
      </c>
      <c r="AT41" s="37">
        <f t="shared" si="134"/>
        <v>0</v>
      </c>
      <c r="AU41" s="37">
        <f t="shared" si="134"/>
        <v>0</v>
      </c>
      <c r="AV41" s="32"/>
    </row>
    <row r="42" spans="1:48" ht="14.25" customHeight="1">
      <c r="A42" s="33" t="s">
        <v>52</v>
      </c>
      <c r="B42" s="44">
        <v>45322</v>
      </c>
      <c r="C42" s="36">
        <v>5</v>
      </c>
      <c r="D42" s="32" t="s">
        <v>131</v>
      </c>
      <c r="E42" s="32" t="s">
        <v>135</v>
      </c>
      <c r="F42" s="32" t="s">
        <v>142</v>
      </c>
      <c r="G42" s="36">
        <v>16</v>
      </c>
      <c r="H42" s="36">
        <v>4</v>
      </c>
      <c r="I42" s="36" t="s">
        <v>126</v>
      </c>
      <c r="J42" s="36">
        <v>3</v>
      </c>
      <c r="K42" s="37" t="s">
        <v>129</v>
      </c>
      <c r="L42" s="37" t="s">
        <v>129</v>
      </c>
      <c r="M42" s="37" t="s">
        <v>129</v>
      </c>
      <c r="N42" s="37" t="s">
        <v>129</v>
      </c>
      <c r="O42" s="37" t="s">
        <v>129</v>
      </c>
      <c r="P42" s="37" t="s">
        <v>129</v>
      </c>
      <c r="Q42" s="32">
        <v>33.4</v>
      </c>
      <c r="R42" s="32">
        <v>7.3</v>
      </c>
      <c r="S42" s="45" t="s">
        <v>126</v>
      </c>
      <c r="T42" s="32">
        <v>156.4</v>
      </c>
      <c r="U42" s="37">
        <v>12</v>
      </c>
      <c r="V42" s="32">
        <v>6.8</v>
      </c>
      <c r="W42" s="36" t="s">
        <v>126</v>
      </c>
      <c r="X42" s="40">
        <v>76</v>
      </c>
      <c r="Y42" s="41">
        <v>0</v>
      </c>
      <c r="Z42" s="43">
        <f t="shared" si="123"/>
        <v>1</v>
      </c>
      <c r="AA42" s="50">
        <v>200</v>
      </c>
      <c r="AB42" s="51">
        <f t="shared" si="131"/>
        <v>116.5</v>
      </c>
      <c r="AC42" s="37">
        <f>AVERAGE(33,33,33,33)</f>
        <v>33</v>
      </c>
      <c r="AD42" s="52">
        <v>18.760000000000002</v>
      </c>
      <c r="AE42" s="37">
        <f t="shared" si="124"/>
        <v>100</v>
      </c>
      <c r="AF42" s="37">
        <f t="shared" ref="AF42:AK42" si="135">AVERAGE(0,0,0,0)</f>
        <v>0</v>
      </c>
      <c r="AG42" s="37">
        <f t="shared" si="135"/>
        <v>0</v>
      </c>
      <c r="AH42" s="37">
        <f t="shared" si="135"/>
        <v>0</v>
      </c>
      <c r="AI42" s="37">
        <f t="shared" si="135"/>
        <v>0</v>
      </c>
      <c r="AJ42" s="37">
        <f t="shared" si="135"/>
        <v>0</v>
      </c>
      <c r="AK42" s="37">
        <f t="shared" si="135"/>
        <v>0</v>
      </c>
      <c r="AL42" s="37">
        <f>AVERAGE(30+20,30+20,30+20,30+20)</f>
        <v>50</v>
      </c>
      <c r="AM42" s="37">
        <f>AVERAGE(40,40,40,40)</f>
        <v>40</v>
      </c>
      <c r="AN42" s="37">
        <f t="shared" si="127"/>
        <v>20</v>
      </c>
      <c r="AO42" s="37">
        <f t="shared" ref="AO42:AR42" si="136">AVERAGE(0,0,0,0)</f>
        <v>0</v>
      </c>
      <c r="AP42" s="37">
        <f t="shared" si="136"/>
        <v>0</v>
      </c>
      <c r="AQ42" s="37">
        <f t="shared" si="136"/>
        <v>0</v>
      </c>
      <c r="AR42" s="37">
        <f t="shared" si="136"/>
        <v>0</v>
      </c>
      <c r="AS42" s="37">
        <f t="shared" ref="AS42:AU42" si="137">AVERAGE(0,0,0,0)</f>
        <v>0</v>
      </c>
      <c r="AT42" s="37">
        <f t="shared" si="137"/>
        <v>0</v>
      </c>
      <c r="AU42" s="37">
        <f t="shared" si="137"/>
        <v>0</v>
      </c>
      <c r="AV42" s="32"/>
    </row>
    <row r="43" spans="1:48" ht="14.25" customHeight="1">
      <c r="A43" s="33" t="s">
        <v>53</v>
      </c>
      <c r="B43" s="32"/>
      <c r="C43" s="32"/>
      <c r="D43" s="32" t="s">
        <v>131</v>
      </c>
      <c r="E43" s="32" t="s">
        <v>135</v>
      </c>
      <c r="F43" s="32" t="s">
        <v>85</v>
      </c>
      <c r="G43" s="32"/>
      <c r="H43" s="32"/>
      <c r="I43" s="32"/>
      <c r="J43" s="36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48"/>
      <c r="Y43" s="49"/>
      <c r="Z43" s="32"/>
      <c r="AA43" s="32"/>
      <c r="AB43" s="46"/>
      <c r="AC43" s="32"/>
      <c r="AD43" s="34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</row>
    <row r="44" spans="1:48" ht="14.25" customHeight="1">
      <c r="A44" s="33" t="s">
        <v>54</v>
      </c>
      <c r="B44" s="32"/>
      <c r="C44" s="32"/>
      <c r="D44" s="32" t="s">
        <v>131</v>
      </c>
      <c r="E44" s="32" t="s">
        <v>135</v>
      </c>
      <c r="F44" s="32" t="s">
        <v>85</v>
      </c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48"/>
      <c r="Y44" s="48"/>
      <c r="Z44" s="32"/>
      <c r="AA44" s="32"/>
      <c r="AB44" s="46"/>
      <c r="AC44" s="32"/>
      <c r="AD44" s="34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</row>
    <row r="45" spans="1:48" ht="14.25" customHeight="1">
      <c r="A45" s="33" t="s">
        <v>55</v>
      </c>
      <c r="B45" s="32"/>
      <c r="C45" s="32"/>
      <c r="D45" s="32" t="s">
        <v>131</v>
      </c>
      <c r="E45" s="32" t="s">
        <v>137</v>
      </c>
      <c r="F45" s="32" t="s">
        <v>85</v>
      </c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48"/>
      <c r="Y45" s="48"/>
      <c r="Z45" s="32"/>
      <c r="AA45" s="32"/>
      <c r="AB45" s="46"/>
      <c r="AC45" s="32"/>
      <c r="AD45" s="34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</row>
    <row r="46" spans="1:48" ht="14.25" customHeight="1">
      <c r="A46" s="33" t="s">
        <v>56</v>
      </c>
      <c r="B46" s="32"/>
      <c r="C46" s="32"/>
      <c r="D46" s="32" t="s">
        <v>131</v>
      </c>
      <c r="E46" s="32" t="s">
        <v>137</v>
      </c>
      <c r="F46" s="32" t="s">
        <v>85</v>
      </c>
      <c r="G46" s="32"/>
      <c r="H46" s="32"/>
      <c r="I46" s="32"/>
      <c r="J46" s="32"/>
      <c r="K46" s="32"/>
      <c r="L46" s="36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48"/>
      <c r="Y46" s="48"/>
      <c r="Z46" s="32"/>
      <c r="AA46" s="32"/>
      <c r="AB46" s="46"/>
      <c r="AC46" s="32"/>
      <c r="AD46" s="34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</row>
    <row r="47" spans="1:48" ht="14.25" customHeight="1">
      <c r="A47" s="33" t="s">
        <v>57</v>
      </c>
      <c r="B47" s="32"/>
      <c r="C47" s="32"/>
      <c r="D47" s="32" t="s">
        <v>134</v>
      </c>
      <c r="E47" s="32" t="s">
        <v>134</v>
      </c>
      <c r="F47" s="32" t="s">
        <v>143</v>
      </c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48"/>
      <c r="Y47" s="48"/>
      <c r="Z47" s="32"/>
      <c r="AA47" s="32"/>
      <c r="AB47" s="46"/>
      <c r="AC47" s="32"/>
      <c r="AD47" s="34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</row>
    <row r="48" spans="1:48" ht="14.25" customHeight="1">
      <c r="A48" s="33" t="s">
        <v>58</v>
      </c>
      <c r="B48" s="32"/>
      <c r="C48" s="32"/>
      <c r="D48" s="32" t="s">
        <v>134</v>
      </c>
      <c r="E48" s="32" t="s">
        <v>134</v>
      </c>
      <c r="F48" s="32" t="s">
        <v>144</v>
      </c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48"/>
      <c r="Y48" s="48"/>
      <c r="Z48" s="32"/>
      <c r="AA48" s="32"/>
      <c r="AB48" s="46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</row>
    <row r="49" spans="1:48" ht="14.25" customHeight="1">
      <c r="A49" s="33" t="s">
        <v>59</v>
      </c>
      <c r="B49" s="32"/>
      <c r="C49" s="32"/>
      <c r="D49" s="32" t="s">
        <v>134</v>
      </c>
      <c r="E49" s="32" t="s">
        <v>134</v>
      </c>
      <c r="F49" s="32" t="s">
        <v>143</v>
      </c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48"/>
      <c r="Y49" s="48"/>
      <c r="Z49" s="32"/>
      <c r="AA49" s="32"/>
      <c r="AB49" s="46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</row>
    <row r="50" spans="1:48" ht="14.25" customHeight="1">
      <c r="A50" s="33" t="s">
        <v>60</v>
      </c>
      <c r="B50" s="32"/>
      <c r="C50" s="32"/>
      <c r="D50" s="32" t="s">
        <v>136</v>
      </c>
      <c r="E50" s="32" t="s">
        <v>145</v>
      </c>
      <c r="F50" s="32" t="s">
        <v>140</v>
      </c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48"/>
      <c r="Y50" s="48"/>
      <c r="Z50" s="32"/>
      <c r="AA50" s="32"/>
      <c r="AB50" s="46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</row>
    <row r="51" spans="1:48" ht="14.25" customHeight="1">
      <c r="A51" s="33" t="s">
        <v>61</v>
      </c>
      <c r="B51" s="32"/>
      <c r="C51" s="32"/>
      <c r="D51" s="32" t="s">
        <v>136</v>
      </c>
      <c r="E51" s="32" t="s">
        <v>136</v>
      </c>
      <c r="F51" s="32" t="s">
        <v>143</v>
      </c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48"/>
      <c r="Y51" s="48"/>
      <c r="Z51" s="32"/>
      <c r="AA51" s="32"/>
      <c r="AB51" s="46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</row>
    <row r="52" spans="1:48" ht="14.25" customHeight="1">
      <c r="A52" s="33" t="s">
        <v>62</v>
      </c>
      <c r="B52" s="32"/>
      <c r="C52" s="32"/>
      <c r="D52" s="32" t="s">
        <v>136</v>
      </c>
      <c r="E52" s="32" t="s">
        <v>136</v>
      </c>
      <c r="F52" s="32" t="s">
        <v>143</v>
      </c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48"/>
      <c r="Y52" s="48"/>
      <c r="Z52" s="32"/>
      <c r="AA52" s="32"/>
      <c r="AB52" s="46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</row>
    <row r="53" spans="1:48" ht="14.25" customHeight="1">
      <c r="A53" s="33" t="s">
        <v>63</v>
      </c>
      <c r="B53" s="32"/>
      <c r="C53" s="32"/>
      <c r="D53" s="32" t="s">
        <v>136</v>
      </c>
      <c r="E53" s="32" t="s">
        <v>136</v>
      </c>
      <c r="F53" s="32" t="s">
        <v>146</v>
      </c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48"/>
      <c r="Y53" s="48"/>
      <c r="Z53" s="32"/>
      <c r="AA53" s="32"/>
      <c r="AB53" s="46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</row>
    <row r="54" spans="1:48" ht="14.25" customHeight="1">
      <c r="A54" s="33" t="s">
        <v>64</v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</row>
    <row r="55" spans="1:48" ht="14.25" customHeight="1">
      <c r="A55" s="33" t="s">
        <v>65</v>
      </c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</row>
    <row r="56" spans="1:48" ht="14.25" customHeight="1">
      <c r="A56" s="33" t="s">
        <v>66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</row>
    <row r="57" spans="1:48" ht="14.25" customHeight="1">
      <c r="A57" s="33" t="s">
        <v>67</v>
      </c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</row>
    <row r="58" spans="1:48" ht="14.25" customHeight="1">
      <c r="A58" s="33" t="s">
        <v>68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</row>
    <row r="59" spans="1:48" ht="14.25" customHeight="1">
      <c r="A59" s="33" t="s">
        <v>69</v>
      </c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</row>
    <row r="60" spans="1:48" ht="14.25" customHeight="1">
      <c r="A60" s="33" t="s">
        <v>70</v>
      </c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</row>
    <row r="61" spans="1:48" ht="14.25" customHeight="1">
      <c r="A61" s="33" t="s">
        <v>71</v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</row>
    <row r="62" spans="1:48" ht="14.25" customHeight="1">
      <c r="A62" s="33" t="s">
        <v>72</v>
      </c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</row>
    <row r="63" spans="1:48" ht="14.25" customHeight="1">
      <c r="A63" s="33" t="s">
        <v>73</v>
      </c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</row>
    <row r="64" spans="1:48" ht="14.25" customHeight="1">
      <c r="A64" s="33" t="s">
        <v>74</v>
      </c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</row>
    <row r="65" spans="1:48" ht="14.25" customHeight="1">
      <c r="A65" s="33" t="s">
        <v>75</v>
      </c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</row>
    <row r="66" spans="1:48" ht="14.25" customHeight="1">
      <c r="A66" s="33" t="s">
        <v>76</v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</row>
    <row r="67" spans="1:48" ht="14.25" customHeight="1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</row>
    <row r="68" spans="1:48" ht="14.25" customHeight="1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</row>
    <row r="69" spans="1:48" ht="14.25" customHeight="1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</row>
    <row r="70" spans="1:48" ht="14.25" customHeight="1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</row>
    <row r="71" spans="1:48" ht="14.25" customHeight="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</row>
    <row r="72" spans="1:48" ht="14.25" customHeight="1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</row>
    <row r="73" spans="1:48" ht="14.25" customHeight="1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</row>
    <row r="74" spans="1:48" ht="14.25" customHeight="1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</row>
    <row r="75" spans="1:48" ht="14.25" customHeight="1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</row>
    <row r="76" spans="1:48" ht="14.25" customHeight="1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</row>
    <row r="77" spans="1:48" ht="14.25" customHeight="1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</row>
    <row r="78" spans="1:48" ht="14.25" customHeight="1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</row>
    <row r="79" spans="1:48" ht="14.25" customHeight="1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</row>
    <row r="80" spans="1:48" ht="14.25" customHeight="1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</row>
    <row r="81" spans="1:48" ht="14.25" customHeight="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</row>
    <row r="82" spans="1:48" ht="14.25" customHeight="1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</row>
    <row r="83" spans="1:48" ht="14.25" customHeight="1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</row>
    <row r="84" spans="1:48" ht="14.25" customHeight="1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</row>
    <row r="85" spans="1:48" ht="14.25" customHeight="1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</row>
    <row r="86" spans="1:48" ht="14.25" customHeight="1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</row>
    <row r="87" spans="1:48" ht="14.25" customHeight="1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</row>
    <row r="88" spans="1:48" ht="14.25" customHeight="1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</row>
    <row r="89" spans="1:48" ht="14.25" customHeight="1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</row>
    <row r="90" spans="1:48" ht="14.25" customHeight="1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</row>
    <row r="91" spans="1:48" ht="14.25" customHeight="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</row>
    <row r="92" spans="1:48" ht="14.25" customHeight="1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</row>
    <row r="93" spans="1:48" ht="14.25" customHeight="1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</row>
    <row r="94" spans="1:48" ht="14.25" customHeight="1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</row>
    <row r="95" spans="1:48" ht="14.25" customHeight="1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</row>
    <row r="96" spans="1:48" ht="14.25" customHeight="1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</row>
    <row r="97" spans="1:48" ht="14.25" customHeight="1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</row>
    <row r="98" spans="1:48" ht="14.25" customHeight="1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</row>
    <row r="99" spans="1:48" ht="14.25" customHeight="1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</row>
    <row r="100" spans="1:48" ht="14.25" customHeight="1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</row>
    <row r="101" spans="1:48" ht="14.25" customHeight="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</row>
    <row r="102" spans="1:48" ht="14.25" customHeight="1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</row>
    <row r="103" spans="1:48" ht="14.25" customHeight="1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</row>
    <row r="104" spans="1:48" ht="14.25" customHeight="1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</row>
    <row r="105" spans="1:48" ht="14.25" customHeight="1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</row>
    <row r="106" spans="1:48" ht="14.25" customHeight="1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</row>
    <row r="107" spans="1:48" ht="14.25" customHeight="1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</row>
    <row r="108" spans="1:48" ht="14.25" customHeight="1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</row>
    <row r="109" spans="1:48" ht="14.25" customHeight="1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</row>
    <row r="110" spans="1:48" ht="14.25" customHeight="1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</row>
    <row r="111" spans="1:48" ht="14.25" customHeight="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</row>
    <row r="112" spans="1:48" ht="14.25" customHeight="1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</row>
    <row r="113" spans="1:48" ht="14.25" customHeight="1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</row>
    <row r="114" spans="1:48" ht="14.25" customHeight="1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</row>
    <row r="115" spans="1:48" ht="14.25" customHeight="1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</row>
    <row r="116" spans="1:48" ht="14.25" customHeight="1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</row>
    <row r="117" spans="1:48" ht="14.25" customHeight="1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</row>
    <row r="118" spans="1:48" ht="14.25" customHeight="1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</row>
    <row r="119" spans="1:48" ht="14.25" customHeight="1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</row>
    <row r="120" spans="1:48" ht="14.25" customHeight="1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</row>
    <row r="121" spans="1:48" ht="14.25" customHeight="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</row>
    <row r="122" spans="1:48" ht="14.25" customHeight="1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</row>
    <row r="123" spans="1:48" ht="14.25" customHeight="1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</row>
    <row r="124" spans="1:48" ht="14.25" customHeight="1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</row>
    <row r="125" spans="1:48" ht="14.25" customHeight="1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</row>
    <row r="126" spans="1:48" ht="14.25" customHeight="1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</row>
    <row r="127" spans="1:48" ht="14.25" customHeight="1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</row>
    <row r="128" spans="1:48" ht="14.25" customHeight="1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</row>
    <row r="129" spans="1:48" ht="14.25" customHeight="1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</row>
    <row r="130" spans="1:48" ht="14.25" customHeight="1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</row>
    <row r="131" spans="1:48" ht="14.25" customHeight="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</row>
    <row r="132" spans="1:48" ht="14.25" customHeight="1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</row>
    <row r="133" spans="1:48" ht="14.25" customHeight="1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</row>
    <row r="134" spans="1:48" ht="14.25" customHeight="1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</row>
    <row r="135" spans="1:48" ht="14.25" customHeight="1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</row>
    <row r="136" spans="1:48" ht="14.25" customHeight="1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</row>
    <row r="137" spans="1:48" ht="14.25" customHeight="1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</row>
    <row r="138" spans="1:48" ht="14.25" customHeight="1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</row>
    <row r="139" spans="1:48" ht="14.25" customHeight="1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</row>
    <row r="140" spans="1:48" ht="14.25" customHeight="1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</row>
    <row r="141" spans="1:48" ht="14.25" customHeight="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</row>
    <row r="142" spans="1:48" ht="14.25" customHeight="1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</row>
    <row r="143" spans="1:48" ht="14.25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</row>
    <row r="144" spans="1:48" ht="14.25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</row>
    <row r="145" spans="1:48" ht="14.25" customHeight="1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</row>
    <row r="146" spans="1:48" ht="14.25" customHeight="1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</row>
    <row r="147" spans="1:48" ht="14.25" customHeight="1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</row>
    <row r="148" spans="1:48" ht="14.25" customHeight="1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</row>
    <row r="149" spans="1:48" ht="14.25" customHeight="1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</row>
    <row r="150" spans="1:48" ht="14.25" customHeight="1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</row>
    <row r="151" spans="1:48" ht="14.25" customHeight="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</row>
    <row r="152" spans="1:48" ht="14.25" customHeight="1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</row>
    <row r="153" spans="1:48" ht="14.25" customHeight="1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</row>
    <row r="154" spans="1:48" ht="14.25" customHeight="1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</row>
    <row r="155" spans="1:48" ht="14.25" customHeight="1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</row>
    <row r="156" spans="1:48" ht="14.25" customHeight="1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</row>
    <row r="157" spans="1:48" ht="14.25" customHeight="1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</row>
    <row r="158" spans="1:48" ht="14.25" customHeight="1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</row>
    <row r="159" spans="1:48" ht="14.25" customHeight="1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</row>
    <row r="160" spans="1:48" ht="14.25" customHeight="1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</row>
    <row r="161" spans="1:48" ht="14.25" customHeight="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</row>
    <row r="162" spans="1:48" ht="14.25" customHeight="1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</row>
    <row r="163" spans="1:48" ht="14.25" customHeight="1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</row>
    <row r="164" spans="1:48" ht="14.25" customHeight="1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</row>
    <row r="165" spans="1:48" ht="14.25" customHeight="1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</row>
    <row r="166" spans="1:48" ht="14.25" customHeight="1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</row>
    <row r="167" spans="1:48" ht="14.25" customHeight="1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</row>
    <row r="168" spans="1:48" ht="14.25" customHeight="1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</row>
    <row r="169" spans="1:48" ht="14.25" customHeight="1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</row>
    <row r="170" spans="1:48" ht="14.25" customHeight="1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</row>
    <row r="171" spans="1:48" ht="14.25" customHeight="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</row>
    <row r="172" spans="1:48" ht="14.25" customHeight="1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</row>
    <row r="173" spans="1:48" ht="14.25" customHeight="1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</row>
    <row r="174" spans="1:48" ht="14.25" customHeight="1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</row>
    <row r="175" spans="1:48" ht="14.25" customHeight="1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</row>
    <row r="176" spans="1:48" ht="14.25" customHeight="1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</row>
    <row r="177" spans="1:48" ht="14.25" customHeight="1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</row>
    <row r="178" spans="1:48" ht="14.25" customHeight="1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</row>
    <row r="179" spans="1:48" ht="14.25" customHeight="1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</row>
    <row r="180" spans="1:48" ht="14.25" customHeight="1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</row>
    <row r="181" spans="1:48" ht="14.25" customHeight="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</row>
    <row r="182" spans="1:48" ht="14.25" customHeight="1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</row>
    <row r="183" spans="1:48" ht="14.25" customHeight="1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</row>
    <row r="184" spans="1:48" ht="14.25" customHeight="1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</row>
    <row r="185" spans="1:48" ht="14.25" customHeight="1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</row>
    <row r="186" spans="1:48" ht="14.2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</row>
    <row r="187" spans="1:48" ht="14.25" customHeight="1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</row>
    <row r="188" spans="1:48" ht="14.25" customHeight="1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</row>
    <row r="189" spans="1:48" ht="14.25" customHeight="1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</row>
    <row r="190" spans="1:48" ht="14.25" customHeight="1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</row>
    <row r="191" spans="1:48" ht="14.25" customHeight="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</row>
    <row r="192" spans="1:48" ht="14.25" customHeight="1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</row>
    <row r="193" spans="1:48" ht="14.25" customHeight="1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</row>
    <row r="194" spans="1:48" ht="14.25" customHeight="1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</row>
    <row r="195" spans="1:48" ht="14.25" customHeight="1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</row>
    <row r="196" spans="1:48" ht="14.25" customHeight="1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</row>
    <row r="197" spans="1:48" ht="14.25" customHeight="1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</row>
    <row r="198" spans="1:48" ht="14.25" customHeight="1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</row>
    <row r="199" spans="1:48" ht="14.25" customHeight="1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</row>
    <row r="200" spans="1:48" ht="14.25" customHeight="1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</row>
    <row r="201" spans="1:48" ht="14.25" customHeight="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</row>
    <row r="202" spans="1:48" ht="14.25" customHeight="1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</row>
    <row r="203" spans="1:48" ht="14.25" customHeight="1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</row>
    <row r="204" spans="1:48" ht="14.25" customHeight="1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</row>
    <row r="205" spans="1:48" ht="14.25" customHeight="1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</row>
    <row r="206" spans="1:48" ht="14.2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</row>
    <row r="207" spans="1:48" ht="14.2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</row>
    <row r="208" spans="1:48" ht="14.2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</row>
    <row r="209" spans="1:48" ht="14.2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</row>
    <row r="210" spans="1:48" ht="14.2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</row>
    <row r="211" spans="1:48" ht="14.2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</row>
    <row r="212" spans="1:48" ht="14.2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</row>
    <row r="213" spans="1:48" ht="14.2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</row>
    <row r="214" spans="1:48" ht="14.2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</row>
    <row r="215" spans="1:48" ht="14.2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</row>
    <row r="216" spans="1:48" ht="14.2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</row>
    <row r="217" spans="1:48" ht="14.2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</row>
    <row r="218" spans="1:48" ht="14.2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</row>
    <row r="219" spans="1:48" ht="14.2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</row>
    <row r="220" spans="1:48" ht="14.2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</row>
    <row r="221" spans="1:48" ht="14.25" customHeight="1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</row>
    <row r="222" spans="1:48" ht="14.25" customHeight="1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</row>
    <row r="223" spans="1:48" ht="14.25" customHeight="1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</row>
    <row r="224" spans="1:48" ht="14.25" customHeight="1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</row>
    <row r="225" spans="1:48" ht="14.25" customHeight="1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</row>
    <row r="226" spans="1:48" ht="14.25" customHeight="1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</row>
    <row r="227" spans="1:48" ht="14.25" customHeight="1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</row>
    <row r="228" spans="1:48" ht="14.25" customHeight="1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</row>
    <row r="229" spans="1:48" ht="14.25" customHeight="1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</row>
    <row r="230" spans="1:48" ht="14.25" customHeight="1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</row>
    <row r="231" spans="1:48" ht="14.25" customHeight="1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</row>
    <row r="232" spans="1:48" ht="14.25" customHeight="1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</row>
    <row r="233" spans="1:48" ht="14.25" customHeight="1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</row>
    <row r="234" spans="1:48" ht="14.25" customHeight="1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</row>
    <row r="235" spans="1:48" ht="14.25" customHeight="1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</row>
    <row r="236" spans="1:48" ht="14.25" customHeight="1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</row>
    <row r="237" spans="1:48" ht="14.25" customHeight="1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</row>
    <row r="238" spans="1:48" ht="14.25" customHeight="1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</row>
    <row r="239" spans="1:48" ht="14.25" customHeight="1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</row>
    <row r="240" spans="1:48" ht="14.25" customHeight="1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</row>
    <row r="241" spans="1:48" ht="14.25" customHeight="1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</row>
    <row r="242" spans="1:48" ht="14.25" customHeight="1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</row>
    <row r="243" spans="1:48" ht="14.25" customHeight="1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</row>
    <row r="244" spans="1:48" ht="14.25" customHeight="1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</row>
    <row r="245" spans="1:48" ht="14.25" customHeight="1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</row>
    <row r="246" spans="1:48" ht="14.25" customHeight="1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</row>
    <row r="247" spans="1:48" ht="14.25" customHeight="1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</row>
    <row r="248" spans="1:48" ht="14.25" customHeight="1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</row>
    <row r="249" spans="1:48" ht="14.25" customHeight="1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</row>
    <row r="250" spans="1:48" ht="14.25" customHeight="1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</row>
    <row r="251" spans="1:48" ht="14.25" customHeight="1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</row>
    <row r="252" spans="1:48" ht="14.25" customHeight="1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</row>
    <row r="253" spans="1:48" ht="14.25" customHeight="1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</row>
    <row r="254" spans="1:48" ht="14.25" customHeight="1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</row>
    <row r="255" spans="1:48" ht="14.25" customHeight="1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</row>
    <row r="256" spans="1:48" ht="14.25" customHeight="1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</row>
    <row r="257" spans="1:48" ht="14.25" customHeight="1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</row>
    <row r="258" spans="1:48" ht="14.25" customHeight="1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</row>
    <row r="259" spans="1:48" ht="14.25" customHeight="1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</row>
    <row r="260" spans="1:48" ht="14.25" customHeight="1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</row>
    <row r="261" spans="1:48" ht="14.25" customHeight="1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</row>
    <row r="262" spans="1:48" ht="14.25" customHeight="1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</row>
    <row r="263" spans="1:48" ht="14.25" customHeight="1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</row>
    <row r="264" spans="1:48" ht="14.25" customHeight="1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</row>
    <row r="265" spans="1:48" ht="14.25" customHeight="1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</row>
    <row r="266" spans="1:48" ht="14.25" customHeight="1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</row>
    <row r="267" spans="1:48" ht="14.25" customHeight="1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</row>
    <row r="268" spans="1:48" ht="14.25" customHeight="1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</row>
    <row r="269" spans="1:48" ht="14.25" customHeight="1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</row>
    <row r="270" spans="1:48" ht="14.25" customHeight="1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</row>
    <row r="271" spans="1:48" ht="14.25" customHeight="1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</row>
    <row r="272" spans="1:48" ht="14.25" customHeight="1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</row>
    <row r="273" spans="1:48" ht="14.25" customHeight="1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</row>
    <row r="274" spans="1:48" ht="14.25" customHeight="1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</row>
    <row r="275" spans="1:48" ht="14.25" customHeight="1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</row>
    <row r="276" spans="1:48" ht="14.25" customHeight="1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</row>
    <row r="277" spans="1:48" ht="14.25" customHeight="1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</row>
    <row r="278" spans="1:48" ht="14.25" customHeight="1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</row>
    <row r="279" spans="1:48" ht="14.25" customHeight="1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</row>
    <row r="280" spans="1:48" ht="14.25" customHeight="1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</row>
    <row r="281" spans="1:48" ht="14.25" customHeight="1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</row>
    <row r="282" spans="1:48" ht="14.25" customHeight="1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</row>
    <row r="283" spans="1:48" ht="14.25" customHeight="1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</row>
    <row r="284" spans="1:48" ht="14.25" customHeight="1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</row>
    <row r="285" spans="1:48" ht="14.25" customHeight="1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</row>
    <row r="286" spans="1:48" ht="14.25" customHeight="1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</row>
    <row r="287" spans="1:48" ht="14.25" customHeight="1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</row>
    <row r="288" spans="1:48" ht="14.25" customHeight="1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</row>
    <row r="289" spans="1:48" ht="14.25" customHeight="1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</row>
    <row r="290" spans="1:48" ht="14.25" customHeight="1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</row>
    <row r="291" spans="1:48" ht="14.25" customHeight="1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</row>
    <row r="292" spans="1:48" ht="14.25" customHeight="1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</row>
    <row r="293" spans="1:48" ht="14.25" customHeight="1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</row>
    <row r="294" spans="1:48" ht="14.25" customHeight="1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</row>
    <row r="295" spans="1:48" ht="14.25" customHeight="1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</row>
    <row r="296" spans="1:48" ht="14.25" customHeight="1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</row>
    <row r="297" spans="1:48" ht="14.25" customHeight="1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</row>
    <row r="298" spans="1:48" ht="14.25" customHeight="1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</row>
    <row r="299" spans="1:48" ht="14.25" customHeight="1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</row>
    <row r="300" spans="1:48" ht="14.25" customHeight="1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</row>
    <row r="301" spans="1:48" ht="14.25" customHeight="1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</row>
    <row r="302" spans="1:48" ht="14.25" customHeight="1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</row>
    <row r="303" spans="1:48" ht="14.25" customHeight="1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</row>
    <row r="304" spans="1:48" ht="14.25" customHeight="1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</row>
    <row r="305" spans="1:48" ht="14.25" customHeight="1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</row>
    <row r="306" spans="1:48" ht="14.25" customHeight="1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</row>
    <row r="307" spans="1:48" ht="14.25" customHeight="1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</row>
    <row r="308" spans="1:48" ht="14.25" customHeight="1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</row>
    <row r="309" spans="1:48" ht="14.25" customHeight="1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</row>
    <row r="310" spans="1:48" ht="14.25" customHeight="1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</row>
    <row r="311" spans="1:48" ht="14.25" customHeight="1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</row>
    <row r="312" spans="1:48" ht="14.25" customHeight="1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</row>
    <row r="313" spans="1:48" ht="14.25" customHeight="1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</row>
    <row r="314" spans="1:48" ht="14.25" customHeight="1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</row>
    <row r="315" spans="1:48" ht="14.25" customHeight="1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</row>
    <row r="316" spans="1:48" ht="14.25" customHeight="1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</row>
    <row r="317" spans="1:48" ht="14.25" customHeight="1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</row>
    <row r="318" spans="1:48" ht="14.25" customHeight="1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  <c r="AK318" s="32"/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</row>
    <row r="319" spans="1:48" ht="14.25" customHeight="1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  <c r="AK319" s="32"/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</row>
    <row r="320" spans="1:48" ht="14.25" customHeight="1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  <c r="AK320" s="32"/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</row>
    <row r="321" spans="1:48" ht="14.25" customHeight="1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</row>
    <row r="322" spans="1:48" ht="14.25" customHeight="1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  <c r="AK322" s="32"/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</row>
    <row r="323" spans="1:48" ht="14.25" customHeight="1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  <c r="AK323" s="32"/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</row>
    <row r="324" spans="1:48" ht="14.25" customHeight="1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</row>
    <row r="325" spans="1:48" ht="14.25" customHeight="1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  <c r="AK325" s="32"/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</row>
    <row r="326" spans="1:48" ht="14.25" customHeight="1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</row>
    <row r="327" spans="1:48" ht="14.25" customHeight="1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</row>
    <row r="328" spans="1:48" ht="14.25" customHeight="1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</row>
    <row r="329" spans="1:48" ht="14.25" customHeight="1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</row>
    <row r="330" spans="1:48" ht="14.25" customHeight="1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</row>
    <row r="331" spans="1:48" ht="14.25" customHeight="1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  <c r="AK331" s="32"/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</row>
    <row r="332" spans="1:48" ht="14.25" customHeight="1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</row>
    <row r="333" spans="1:48" ht="14.25" customHeight="1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</row>
    <row r="334" spans="1:48" ht="14.25" customHeight="1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</row>
    <row r="335" spans="1:48" ht="14.25" customHeight="1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</row>
    <row r="336" spans="1:48" ht="14.25" customHeight="1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</row>
    <row r="337" spans="1:48" ht="14.25" customHeight="1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</row>
    <row r="338" spans="1:48" ht="14.25" customHeight="1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</row>
    <row r="339" spans="1:48" ht="14.25" customHeight="1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</row>
    <row r="340" spans="1:48" ht="14.25" customHeight="1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</row>
    <row r="341" spans="1:48" ht="14.25" customHeight="1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</row>
    <row r="342" spans="1:48" ht="14.25" customHeight="1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</row>
    <row r="343" spans="1:48" ht="14.25" customHeight="1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</row>
    <row r="344" spans="1:48" ht="14.25" customHeight="1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</row>
    <row r="345" spans="1:48" ht="14.25" customHeight="1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</row>
    <row r="346" spans="1:48" ht="14.25" customHeight="1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</row>
    <row r="347" spans="1:48" ht="14.25" customHeight="1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</row>
    <row r="348" spans="1:48" ht="14.25" customHeight="1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</row>
    <row r="349" spans="1:48" ht="14.25" customHeight="1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</row>
    <row r="350" spans="1:48" ht="14.25" customHeight="1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</row>
    <row r="351" spans="1:48" ht="14.25" customHeight="1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</row>
    <row r="352" spans="1:48" ht="14.25" customHeight="1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</row>
    <row r="353" spans="1:48" ht="14.25" customHeight="1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</row>
    <row r="354" spans="1:48" ht="14.25" customHeight="1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</row>
    <row r="355" spans="1:48" ht="14.25" customHeight="1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</row>
    <row r="356" spans="1:48" ht="14.25" customHeight="1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</row>
    <row r="357" spans="1:48" ht="14.25" customHeight="1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</row>
    <row r="358" spans="1:48" ht="14.25" customHeight="1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</row>
    <row r="359" spans="1:48" ht="14.25" customHeight="1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</row>
    <row r="360" spans="1:48" ht="14.25" customHeight="1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</row>
    <row r="361" spans="1:48" ht="14.25" customHeight="1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</row>
    <row r="362" spans="1:48" ht="14.25" customHeight="1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</row>
    <row r="363" spans="1:48" ht="14.25" customHeight="1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</row>
    <row r="364" spans="1:48" ht="14.25" customHeight="1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</row>
    <row r="365" spans="1:48" ht="14.25" customHeight="1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</row>
    <row r="366" spans="1:48" ht="14.25" customHeight="1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</row>
    <row r="367" spans="1:48" ht="14.25" customHeight="1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</row>
    <row r="368" spans="1:48" ht="14.25" customHeight="1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</row>
    <row r="369" spans="1:48" ht="14.25" customHeight="1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</row>
    <row r="370" spans="1:48" ht="14.25" customHeight="1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</row>
    <row r="371" spans="1:48" ht="14.25" customHeight="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</row>
    <row r="372" spans="1:48" ht="14.25" customHeight="1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</row>
    <row r="373" spans="1:48" ht="14.25" customHeight="1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</row>
    <row r="374" spans="1:48" ht="14.25" customHeight="1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</row>
    <row r="375" spans="1:48" ht="14.25" customHeight="1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</row>
    <row r="376" spans="1:48" ht="14.25" customHeight="1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</row>
    <row r="377" spans="1:48" ht="14.25" customHeight="1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</row>
    <row r="378" spans="1:48" ht="14.25" customHeight="1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</row>
    <row r="379" spans="1:48" ht="14.25" customHeight="1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</row>
    <row r="380" spans="1:48" ht="14.25" customHeight="1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</row>
    <row r="381" spans="1:48" ht="14.25" customHeight="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</row>
    <row r="382" spans="1:48" ht="14.25" customHeight="1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</row>
    <row r="383" spans="1:48" ht="14.25" customHeight="1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</row>
    <row r="384" spans="1:48" ht="14.25" customHeight="1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</row>
    <row r="385" spans="1:48" ht="14.25" customHeight="1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</row>
    <row r="386" spans="1:48" ht="14.25" customHeight="1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</row>
    <row r="387" spans="1:48" ht="14.25" customHeight="1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</row>
    <row r="388" spans="1:48" ht="14.25" customHeight="1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</row>
    <row r="389" spans="1:48" ht="14.25" customHeight="1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</row>
    <row r="390" spans="1:48" ht="14.25" customHeight="1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</row>
    <row r="391" spans="1:48" ht="14.25" customHeight="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</row>
    <row r="392" spans="1:48" ht="14.25" customHeight="1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</row>
    <row r="393" spans="1:48" ht="14.25" customHeight="1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</row>
    <row r="394" spans="1:48" ht="14.25" customHeight="1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</row>
    <row r="395" spans="1:48" ht="14.25" customHeight="1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</row>
    <row r="396" spans="1:48" ht="14.25" customHeight="1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</row>
    <row r="397" spans="1:48" ht="14.25" customHeight="1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</row>
    <row r="398" spans="1:48" ht="14.25" customHeight="1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</row>
    <row r="399" spans="1:48" ht="14.25" customHeight="1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</row>
    <row r="400" spans="1:48" ht="14.25" customHeight="1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</row>
    <row r="401" spans="1:48" ht="14.25" customHeight="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</row>
    <row r="402" spans="1:48" ht="14.25" customHeight="1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</row>
    <row r="403" spans="1:48" ht="14.25" customHeight="1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</row>
    <row r="404" spans="1:48" ht="14.25" customHeight="1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</row>
    <row r="405" spans="1:48" ht="14.25" customHeight="1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</row>
    <row r="406" spans="1:48" ht="14.25" customHeight="1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</row>
    <row r="407" spans="1:48" ht="14.25" customHeight="1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</row>
    <row r="408" spans="1:48" ht="14.25" customHeight="1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</row>
    <row r="409" spans="1:48" ht="14.25" customHeight="1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</row>
    <row r="410" spans="1:48" ht="14.25" customHeight="1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</row>
    <row r="411" spans="1:48" ht="14.25" customHeight="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</row>
    <row r="412" spans="1:48" ht="14.25" customHeight="1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</row>
    <row r="413" spans="1:48" ht="14.25" customHeight="1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</row>
    <row r="414" spans="1:48" ht="14.25" customHeight="1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</row>
    <row r="415" spans="1:48" ht="14.25" customHeight="1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</row>
    <row r="416" spans="1:48" ht="14.25" customHeight="1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</row>
    <row r="417" spans="1:48" ht="14.25" customHeight="1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</row>
    <row r="418" spans="1:48" ht="14.25" customHeight="1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</row>
    <row r="419" spans="1:48" ht="14.25" customHeight="1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</row>
    <row r="420" spans="1:48" ht="14.25" customHeight="1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</row>
    <row r="421" spans="1:48" ht="14.25" customHeight="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</row>
    <row r="422" spans="1:48" ht="14.25" customHeight="1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</row>
    <row r="423" spans="1:48" ht="14.25" customHeight="1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</row>
    <row r="424" spans="1:48" ht="14.25" customHeight="1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</row>
    <row r="425" spans="1:48" ht="14.25" customHeight="1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</row>
    <row r="426" spans="1:48" ht="14.25" customHeight="1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</row>
    <row r="427" spans="1:48" ht="14.25" customHeight="1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</row>
    <row r="428" spans="1:48" ht="14.25" customHeight="1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</row>
    <row r="429" spans="1:48" ht="14.25" customHeight="1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</row>
    <row r="430" spans="1:48" ht="14.25" customHeight="1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</row>
    <row r="431" spans="1:48" ht="14.25" customHeight="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</row>
    <row r="432" spans="1:48" ht="14.25" customHeight="1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</row>
    <row r="433" spans="1:48" ht="14.25" customHeight="1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</row>
    <row r="434" spans="1:48" ht="14.25" customHeight="1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</row>
    <row r="435" spans="1:48" ht="14.25" customHeight="1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</row>
    <row r="436" spans="1:48" ht="14.25" customHeight="1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</row>
    <row r="437" spans="1:48" ht="14.25" customHeight="1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</row>
    <row r="438" spans="1:48" ht="14.25" customHeight="1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</row>
    <row r="439" spans="1:48" ht="14.25" customHeight="1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</row>
    <row r="440" spans="1:48" ht="14.25" customHeight="1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</row>
    <row r="441" spans="1:48" ht="14.25" customHeight="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</row>
    <row r="442" spans="1:48" ht="14.25" customHeight="1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</row>
    <row r="443" spans="1:48" ht="14.25" customHeight="1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</row>
    <row r="444" spans="1:48" ht="14.25" customHeight="1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</row>
    <row r="445" spans="1:48" ht="14.25" customHeight="1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</row>
    <row r="446" spans="1:48" ht="14.25" customHeight="1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</row>
    <row r="447" spans="1:48" ht="14.25" customHeight="1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</row>
    <row r="448" spans="1:48" ht="14.25" customHeight="1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</row>
    <row r="449" spans="1:48" ht="14.25" customHeight="1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</row>
    <row r="450" spans="1:48" ht="14.25" customHeight="1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</row>
    <row r="451" spans="1:48" ht="14.25" customHeight="1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</row>
    <row r="452" spans="1:48" ht="14.25" customHeight="1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</row>
    <row r="453" spans="1:48" ht="14.25" customHeight="1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</row>
    <row r="454" spans="1:48" ht="14.25" customHeight="1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</row>
    <row r="455" spans="1:48" ht="14.25" customHeight="1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</row>
    <row r="456" spans="1:48" ht="14.25" customHeight="1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</row>
    <row r="457" spans="1:48" ht="14.25" customHeight="1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</row>
    <row r="458" spans="1:48" ht="14.25" customHeight="1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</row>
    <row r="459" spans="1:48" ht="14.25" customHeight="1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</row>
    <row r="460" spans="1:48" ht="14.25" customHeight="1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</row>
    <row r="461" spans="1:48" ht="14.25" customHeight="1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</row>
    <row r="462" spans="1:48" ht="14.25" customHeight="1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</row>
    <row r="463" spans="1:48" ht="14.25" customHeight="1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</row>
    <row r="464" spans="1:48" ht="14.25" customHeight="1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</row>
    <row r="465" spans="1:48" ht="14.25" customHeight="1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</row>
    <row r="466" spans="1:48" ht="14.25" customHeight="1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</row>
    <row r="467" spans="1:48" ht="14.25" customHeight="1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</row>
    <row r="468" spans="1:48" ht="14.25" customHeight="1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</row>
    <row r="469" spans="1:48" ht="14.25" customHeight="1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</row>
    <row r="470" spans="1:48" ht="14.25" customHeight="1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</row>
    <row r="471" spans="1:48" ht="14.25" customHeight="1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</row>
    <row r="472" spans="1:48" ht="14.25" customHeight="1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</row>
    <row r="473" spans="1:48" ht="14.25" customHeight="1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</row>
    <row r="474" spans="1:48" ht="14.25" customHeight="1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</row>
    <row r="475" spans="1:48" ht="14.25" customHeight="1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</row>
    <row r="476" spans="1:48" ht="14.25" customHeight="1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</row>
    <row r="477" spans="1:48" ht="14.25" customHeight="1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</row>
    <row r="478" spans="1:48" ht="14.25" customHeight="1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</row>
    <row r="479" spans="1:48" ht="14.25" customHeight="1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</row>
    <row r="480" spans="1:48" ht="14.25" customHeight="1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</row>
    <row r="481" spans="1:48" ht="14.25" customHeight="1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</row>
    <row r="482" spans="1:48" ht="14.25" customHeight="1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</row>
    <row r="483" spans="1:48" ht="14.25" customHeight="1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</row>
    <row r="484" spans="1:48" ht="14.25" customHeight="1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</row>
    <row r="485" spans="1:48" ht="14.25" customHeight="1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</row>
    <row r="486" spans="1:48" ht="14.25" customHeight="1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</row>
    <row r="487" spans="1:48" ht="14.25" customHeight="1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</row>
    <row r="488" spans="1:48" ht="14.25" customHeight="1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</row>
    <row r="489" spans="1:48" ht="14.25" customHeight="1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</row>
    <row r="490" spans="1:48" ht="14.25" customHeight="1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</row>
    <row r="491" spans="1:48" ht="14.25" customHeight="1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</row>
    <row r="492" spans="1:48" ht="14.25" customHeight="1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</row>
    <row r="493" spans="1:48" ht="14.25" customHeight="1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</row>
    <row r="494" spans="1:48" ht="14.25" customHeight="1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</row>
    <row r="495" spans="1:48" ht="14.25" customHeight="1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</row>
    <row r="496" spans="1:48" ht="14.25" customHeight="1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</row>
    <row r="497" spans="1:48" ht="14.25" customHeight="1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</row>
    <row r="498" spans="1:48" ht="14.25" customHeight="1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</row>
    <row r="499" spans="1:48" ht="14.25" customHeight="1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</row>
    <row r="500" spans="1:48" ht="14.25" customHeight="1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</row>
    <row r="501" spans="1:48" ht="14.25" customHeight="1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</row>
    <row r="502" spans="1:48" ht="14.25" customHeight="1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</row>
    <row r="503" spans="1:48" ht="14.25" customHeight="1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</row>
    <row r="504" spans="1:48" ht="14.25" customHeight="1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</row>
    <row r="505" spans="1:48" ht="14.25" customHeight="1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</row>
    <row r="506" spans="1:48" ht="14.25" customHeight="1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</row>
    <row r="507" spans="1:48" ht="14.25" customHeight="1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</row>
    <row r="508" spans="1:48" ht="14.25" customHeight="1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</row>
    <row r="509" spans="1:48" ht="14.25" customHeight="1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</row>
    <row r="510" spans="1:48" ht="14.25" customHeight="1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</row>
    <row r="511" spans="1:48" ht="14.25" customHeight="1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</row>
    <row r="512" spans="1:48" ht="14.25" customHeight="1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</row>
    <row r="513" spans="1:48" ht="14.25" customHeight="1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</row>
    <row r="514" spans="1:48" ht="14.25" customHeight="1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</row>
    <row r="515" spans="1:48" ht="14.25" customHeight="1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</row>
    <row r="516" spans="1:48" ht="14.25" customHeight="1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</row>
    <row r="517" spans="1:48" ht="14.25" customHeight="1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</row>
    <row r="518" spans="1:48" ht="14.25" customHeight="1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</row>
    <row r="519" spans="1:48" ht="14.25" customHeight="1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</row>
    <row r="520" spans="1:48" ht="14.25" customHeight="1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</row>
    <row r="521" spans="1:48" ht="14.25" customHeight="1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</row>
    <row r="522" spans="1:48" ht="14.25" customHeight="1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</row>
    <row r="523" spans="1:48" ht="14.25" customHeight="1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</row>
    <row r="524" spans="1:48" ht="14.25" customHeight="1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</row>
    <row r="525" spans="1:48" ht="14.25" customHeight="1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</row>
    <row r="526" spans="1:48" ht="14.25" customHeight="1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</row>
    <row r="527" spans="1:48" ht="14.25" customHeight="1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</row>
    <row r="528" spans="1:48" ht="14.25" customHeight="1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</row>
    <row r="529" spans="1:48" ht="14.25" customHeight="1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</row>
    <row r="530" spans="1:48" ht="14.25" customHeight="1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</row>
    <row r="531" spans="1:48" ht="14.25" customHeight="1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</row>
    <row r="532" spans="1:48" ht="14.25" customHeight="1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</row>
    <row r="533" spans="1:48" ht="14.25" customHeight="1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</row>
    <row r="534" spans="1:48" ht="14.25" customHeight="1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</row>
    <row r="535" spans="1:48" ht="14.25" customHeight="1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</row>
    <row r="536" spans="1:48" ht="14.25" customHeight="1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</row>
    <row r="537" spans="1:48" ht="14.25" customHeight="1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</row>
    <row r="538" spans="1:48" ht="14.25" customHeight="1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</row>
    <row r="539" spans="1:48" ht="14.25" customHeight="1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</row>
    <row r="540" spans="1:48" ht="14.25" customHeight="1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</row>
    <row r="541" spans="1:48" ht="14.25" customHeight="1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</row>
    <row r="542" spans="1:48" ht="14.25" customHeight="1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</row>
    <row r="543" spans="1:48" ht="14.25" customHeight="1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</row>
    <row r="544" spans="1:48" ht="14.25" customHeight="1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</row>
    <row r="545" spans="1:48" ht="14.25" customHeight="1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</row>
    <row r="546" spans="1:48" ht="14.25" customHeight="1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</row>
    <row r="547" spans="1:48" ht="14.25" customHeight="1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</row>
    <row r="548" spans="1:48" ht="14.25" customHeight="1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</row>
    <row r="549" spans="1:48" ht="14.25" customHeight="1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</row>
    <row r="550" spans="1:48" ht="14.25" customHeight="1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</row>
    <row r="551" spans="1:48" ht="14.25" customHeight="1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</row>
    <row r="552" spans="1:48" ht="14.25" customHeight="1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</row>
    <row r="553" spans="1:48" ht="14.25" customHeight="1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</row>
    <row r="554" spans="1:48" ht="14.25" customHeight="1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</row>
    <row r="555" spans="1:48" ht="14.25" customHeight="1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</row>
    <row r="556" spans="1:48" ht="14.25" customHeight="1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</row>
    <row r="557" spans="1:48" ht="14.25" customHeight="1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</row>
    <row r="558" spans="1:48" ht="14.25" customHeight="1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</row>
    <row r="559" spans="1:48" ht="14.25" customHeight="1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</row>
    <row r="560" spans="1:48" ht="14.25" customHeight="1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</row>
    <row r="561" spans="1:48" ht="14.25" customHeight="1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</row>
    <row r="562" spans="1:48" ht="14.25" customHeight="1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</row>
    <row r="563" spans="1:48" ht="14.25" customHeight="1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</row>
    <row r="564" spans="1:48" ht="14.25" customHeight="1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</row>
    <row r="565" spans="1:48" ht="14.25" customHeight="1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</row>
    <row r="566" spans="1:48" ht="14.25" customHeight="1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</row>
    <row r="567" spans="1:48" ht="14.25" customHeight="1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</row>
    <row r="568" spans="1:48" ht="14.25" customHeight="1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</row>
    <row r="569" spans="1:48" ht="14.25" customHeight="1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</row>
    <row r="570" spans="1:48" ht="14.25" customHeight="1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</row>
    <row r="571" spans="1:48" ht="14.25" customHeight="1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</row>
    <row r="572" spans="1:48" ht="14.25" customHeight="1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</row>
    <row r="573" spans="1:48" ht="14.25" customHeight="1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</row>
    <row r="574" spans="1:48" ht="14.25" customHeight="1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</row>
    <row r="575" spans="1:48" ht="14.25" customHeight="1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</row>
    <row r="576" spans="1:48" ht="14.25" customHeight="1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</row>
    <row r="577" spans="1:48" ht="14.25" customHeight="1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</row>
    <row r="578" spans="1:48" ht="14.25" customHeight="1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</row>
    <row r="579" spans="1:48" ht="14.25" customHeight="1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</row>
    <row r="580" spans="1:48" ht="14.25" customHeight="1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</row>
    <row r="581" spans="1:48" ht="14.25" customHeight="1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</row>
    <row r="582" spans="1:48" ht="14.25" customHeight="1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</row>
    <row r="583" spans="1:48" ht="14.25" customHeight="1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</row>
    <row r="584" spans="1:48" ht="14.25" customHeight="1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</row>
    <row r="585" spans="1:48" ht="14.25" customHeight="1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</row>
    <row r="586" spans="1:48" ht="14.25" customHeight="1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</row>
    <row r="587" spans="1:48" ht="14.25" customHeight="1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</row>
    <row r="588" spans="1:48" ht="14.25" customHeight="1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</row>
    <row r="589" spans="1:48" ht="14.25" customHeight="1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</row>
    <row r="590" spans="1:48" ht="14.25" customHeight="1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</row>
    <row r="591" spans="1:48" ht="14.25" customHeight="1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</row>
    <row r="592" spans="1:48" ht="14.25" customHeight="1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</row>
    <row r="593" spans="1:48" ht="14.25" customHeight="1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</row>
    <row r="594" spans="1:48" ht="14.25" customHeight="1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</row>
    <row r="595" spans="1:48" ht="14.25" customHeight="1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</row>
    <row r="596" spans="1:48" ht="14.25" customHeight="1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</row>
    <row r="597" spans="1:48" ht="14.25" customHeight="1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</row>
    <row r="598" spans="1:48" ht="14.25" customHeight="1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</row>
    <row r="599" spans="1:48" ht="14.25" customHeight="1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</row>
    <row r="600" spans="1:48" ht="14.25" customHeight="1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</row>
    <row r="601" spans="1:48" ht="14.25" customHeight="1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</row>
    <row r="602" spans="1:48" ht="14.25" customHeight="1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</row>
    <row r="603" spans="1:48" ht="14.25" customHeight="1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</row>
    <row r="604" spans="1:48" ht="14.25" customHeight="1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</row>
    <row r="605" spans="1:48" ht="14.25" customHeight="1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</row>
    <row r="606" spans="1:48" ht="14.25" customHeight="1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</row>
    <row r="607" spans="1:48" ht="14.25" customHeight="1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</row>
    <row r="608" spans="1:48" ht="14.25" customHeight="1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</row>
    <row r="609" spans="1:48" ht="14.25" customHeight="1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</row>
    <row r="610" spans="1:48" ht="14.25" customHeight="1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</row>
    <row r="611" spans="1:48" ht="14.25" customHeight="1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</row>
    <row r="612" spans="1:48" ht="14.25" customHeight="1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</row>
    <row r="613" spans="1:48" ht="14.25" customHeight="1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</row>
    <row r="614" spans="1:48" ht="14.25" customHeight="1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</row>
    <row r="615" spans="1:48" ht="14.25" customHeight="1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</row>
    <row r="616" spans="1:48" ht="14.25" customHeight="1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</row>
    <row r="617" spans="1:48" ht="14.25" customHeight="1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</row>
    <row r="618" spans="1:48" ht="14.25" customHeight="1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</row>
    <row r="619" spans="1:48" ht="14.25" customHeight="1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</row>
    <row r="620" spans="1:48" ht="14.25" customHeight="1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</row>
    <row r="621" spans="1:48" ht="14.25" customHeight="1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</row>
    <row r="622" spans="1:48" ht="14.25" customHeight="1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</row>
    <row r="623" spans="1:48" ht="14.25" customHeight="1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</row>
    <row r="624" spans="1:48" ht="14.25" customHeight="1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</row>
    <row r="625" spans="1:48" ht="14.25" customHeight="1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</row>
    <row r="626" spans="1:48" ht="14.25" customHeight="1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</row>
    <row r="627" spans="1:48" ht="14.25" customHeight="1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</row>
    <row r="628" spans="1:48" ht="14.25" customHeight="1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</row>
    <row r="629" spans="1:48" ht="14.25" customHeight="1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</row>
    <row r="630" spans="1:48" ht="14.25" customHeight="1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</row>
    <row r="631" spans="1:48" ht="14.25" customHeight="1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</row>
    <row r="632" spans="1:48" ht="14.25" customHeight="1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</row>
    <row r="633" spans="1:48" ht="14.25" customHeight="1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</row>
    <row r="634" spans="1:48" ht="14.25" customHeight="1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</row>
    <row r="635" spans="1:48" ht="14.25" customHeight="1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</row>
    <row r="636" spans="1:48" ht="14.25" customHeight="1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</row>
    <row r="637" spans="1:48" ht="14.25" customHeight="1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</row>
    <row r="638" spans="1:48" ht="14.25" customHeight="1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</row>
    <row r="639" spans="1:48" ht="14.25" customHeight="1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</row>
    <row r="640" spans="1:48" ht="14.25" customHeight="1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</row>
    <row r="641" spans="1:48" ht="14.25" customHeight="1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</row>
    <row r="642" spans="1:48" ht="14.25" customHeight="1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</row>
    <row r="643" spans="1:48" ht="14.25" customHeight="1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</row>
    <row r="644" spans="1:48" ht="14.25" customHeight="1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</row>
    <row r="645" spans="1:48" ht="14.25" customHeight="1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</row>
    <row r="646" spans="1:48" ht="14.25" customHeight="1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</row>
    <row r="647" spans="1:48" ht="14.25" customHeight="1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</row>
    <row r="648" spans="1:48" ht="14.25" customHeight="1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</row>
    <row r="649" spans="1:48" ht="14.25" customHeight="1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</row>
    <row r="650" spans="1:48" ht="14.25" customHeight="1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</row>
    <row r="651" spans="1:48" ht="14.25" customHeight="1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</row>
    <row r="652" spans="1:48" ht="14.25" customHeight="1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</row>
    <row r="653" spans="1:48" ht="14.25" customHeight="1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</row>
    <row r="654" spans="1:48" ht="14.25" customHeight="1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</row>
    <row r="655" spans="1:48" ht="14.25" customHeight="1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</row>
    <row r="656" spans="1:48" ht="14.25" customHeight="1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</row>
    <row r="657" spans="1:48" ht="14.25" customHeight="1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</row>
    <row r="658" spans="1:48" ht="14.25" customHeight="1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</row>
    <row r="659" spans="1:48" ht="14.25" customHeight="1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</row>
    <row r="660" spans="1:48" ht="14.25" customHeight="1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</row>
    <row r="661" spans="1:48" ht="14.25" customHeight="1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</row>
    <row r="662" spans="1:48" ht="14.25" customHeight="1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</row>
    <row r="663" spans="1:48" ht="14.25" customHeight="1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</row>
    <row r="664" spans="1:48" ht="14.25" customHeight="1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</row>
    <row r="665" spans="1:48" ht="14.25" customHeight="1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</row>
    <row r="666" spans="1:48" ht="14.25" customHeight="1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</row>
    <row r="667" spans="1:48" ht="14.25" customHeight="1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</row>
    <row r="668" spans="1:48" ht="14.25" customHeight="1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</row>
    <row r="669" spans="1:48" ht="14.25" customHeight="1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</row>
    <row r="670" spans="1:48" ht="14.25" customHeight="1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</row>
    <row r="671" spans="1:48" ht="14.25" customHeight="1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</row>
    <row r="672" spans="1:48" ht="14.25" customHeight="1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</row>
    <row r="673" spans="1:48" ht="14.25" customHeight="1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</row>
    <row r="674" spans="1:48" ht="14.25" customHeight="1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</row>
    <row r="675" spans="1:48" ht="14.25" customHeight="1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</row>
    <row r="676" spans="1:48" ht="14.25" customHeight="1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</row>
    <row r="677" spans="1:48" ht="14.25" customHeight="1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</row>
    <row r="678" spans="1:48" ht="14.25" customHeight="1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</row>
    <row r="679" spans="1:48" ht="14.25" customHeight="1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</row>
    <row r="680" spans="1:48" ht="14.25" customHeight="1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</row>
    <row r="681" spans="1:48" ht="14.25" customHeight="1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</row>
    <row r="682" spans="1:48" ht="14.25" customHeight="1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</row>
    <row r="683" spans="1:48" ht="14.25" customHeight="1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</row>
    <row r="684" spans="1:48" ht="14.25" customHeight="1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</row>
    <row r="685" spans="1:48" ht="14.25" customHeight="1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</row>
    <row r="686" spans="1:48" ht="14.25" customHeight="1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</row>
    <row r="687" spans="1:48" ht="14.25" customHeight="1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</row>
    <row r="688" spans="1:48" ht="14.25" customHeight="1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</row>
    <row r="689" spans="1:48" ht="14.25" customHeight="1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</row>
    <row r="690" spans="1:48" ht="14.25" customHeight="1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</row>
    <row r="691" spans="1:48" ht="14.25" customHeight="1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</row>
    <row r="692" spans="1:48" ht="14.25" customHeight="1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</row>
    <row r="693" spans="1:48" ht="14.25" customHeight="1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</row>
    <row r="694" spans="1:48" ht="14.25" customHeight="1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</row>
    <row r="695" spans="1:48" ht="14.25" customHeight="1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</row>
    <row r="696" spans="1:48" ht="14.25" customHeight="1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</row>
    <row r="697" spans="1:48" ht="14.25" customHeight="1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</row>
    <row r="698" spans="1:48" ht="14.25" customHeight="1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</row>
    <row r="699" spans="1:48" ht="14.25" customHeight="1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</row>
    <row r="700" spans="1:48" ht="14.25" customHeight="1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</row>
    <row r="701" spans="1:48" ht="14.25" customHeight="1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</row>
    <row r="702" spans="1:48" ht="14.25" customHeight="1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</row>
    <row r="703" spans="1:48" ht="14.25" customHeight="1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</row>
    <row r="704" spans="1:48" ht="14.25" customHeight="1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</row>
    <row r="705" spans="1:48" ht="14.25" customHeight="1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</row>
    <row r="706" spans="1:48" ht="14.25" customHeight="1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</row>
    <row r="707" spans="1:48" ht="14.25" customHeight="1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</row>
    <row r="708" spans="1:48" ht="14.25" customHeight="1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</row>
    <row r="709" spans="1:48" ht="14.25" customHeight="1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</row>
    <row r="710" spans="1:48" ht="14.25" customHeight="1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</row>
    <row r="711" spans="1:48" ht="14.25" customHeight="1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</row>
    <row r="712" spans="1:48" ht="14.25" customHeight="1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</row>
    <row r="713" spans="1:48" ht="14.25" customHeight="1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</row>
    <row r="714" spans="1:48" ht="14.25" customHeight="1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</row>
    <row r="715" spans="1:48" ht="14.25" customHeight="1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</row>
    <row r="716" spans="1:48" ht="14.25" customHeight="1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</row>
    <row r="717" spans="1:48" ht="14.25" customHeight="1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</row>
    <row r="718" spans="1:48" ht="14.25" customHeight="1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</row>
    <row r="719" spans="1:48" ht="14.25" customHeight="1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</row>
    <row r="720" spans="1:48" ht="14.25" customHeight="1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</row>
    <row r="721" spans="1:48" ht="14.25" customHeight="1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</row>
    <row r="722" spans="1:48" ht="14.25" customHeight="1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</row>
    <row r="723" spans="1:48" ht="14.25" customHeight="1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</row>
    <row r="724" spans="1:48" ht="14.25" customHeight="1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</row>
    <row r="725" spans="1:48" ht="14.25" customHeight="1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</row>
    <row r="726" spans="1:48" ht="14.25" customHeight="1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</row>
    <row r="727" spans="1:48" ht="14.25" customHeight="1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</row>
    <row r="728" spans="1:48" ht="14.25" customHeight="1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</row>
    <row r="729" spans="1:48" ht="14.25" customHeight="1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</row>
    <row r="730" spans="1:48" ht="14.25" customHeight="1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</row>
    <row r="731" spans="1:48" ht="14.25" customHeight="1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</row>
    <row r="732" spans="1:48" ht="14.25" customHeight="1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</row>
    <row r="733" spans="1:48" ht="14.25" customHeight="1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</row>
    <row r="734" spans="1:48" ht="14.25" customHeight="1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</row>
    <row r="735" spans="1:48" ht="14.25" customHeight="1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</row>
    <row r="736" spans="1:48" ht="14.25" customHeight="1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</row>
    <row r="737" spans="1:48" ht="14.25" customHeight="1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</row>
    <row r="738" spans="1:48" ht="14.25" customHeight="1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</row>
    <row r="739" spans="1:48" ht="14.25" customHeight="1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</row>
    <row r="740" spans="1:48" ht="14.25" customHeight="1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</row>
    <row r="741" spans="1:48" ht="14.25" customHeight="1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</row>
    <row r="742" spans="1:48" ht="14.25" customHeight="1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</row>
    <row r="743" spans="1:48" ht="14.25" customHeight="1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</row>
    <row r="744" spans="1:48" ht="14.25" customHeight="1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</row>
    <row r="745" spans="1:48" ht="14.25" customHeight="1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</row>
    <row r="746" spans="1:48" ht="14.25" customHeight="1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</row>
    <row r="747" spans="1:48" ht="14.25" customHeight="1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</row>
    <row r="748" spans="1:48" ht="14.25" customHeight="1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</row>
    <row r="749" spans="1:48" ht="14.25" customHeight="1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</row>
    <row r="750" spans="1:48" ht="14.25" customHeight="1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</row>
    <row r="751" spans="1:48" ht="14.25" customHeight="1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</row>
    <row r="752" spans="1:48" ht="14.25" customHeight="1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</row>
    <row r="753" spans="1:48" ht="14.25" customHeight="1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</row>
    <row r="754" spans="1:48" ht="14.25" customHeight="1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</row>
    <row r="755" spans="1:48" ht="14.25" customHeight="1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</row>
    <row r="756" spans="1:48" ht="14.25" customHeight="1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</row>
    <row r="757" spans="1:48" ht="14.25" customHeight="1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</row>
    <row r="758" spans="1:48" ht="14.25" customHeight="1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</row>
    <row r="759" spans="1:48" ht="14.25" customHeight="1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</row>
    <row r="760" spans="1:48" ht="14.25" customHeight="1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</row>
    <row r="761" spans="1:48" ht="14.25" customHeight="1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</row>
    <row r="762" spans="1:48" ht="14.25" customHeight="1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</row>
    <row r="763" spans="1:48" ht="14.25" customHeight="1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</row>
    <row r="764" spans="1:48" ht="14.25" customHeight="1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</row>
    <row r="765" spans="1:48" ht="14.25" customHeight="1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</row>
    <row r="766" spans="1:48" ht="14.25" customHeight="1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</row>
    <row r="767" spans="1:48" ht="14.25" customHeight="1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</row>
    <row r="768" spans="1:48" ht="14.25" customHeight="1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</row>
    <row r="769" spans="1:48" ht="14.25" customHeight="1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</row>
    <row r="770" spans="1:48" ht="14.25" customHeight="1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</row>
    <row r="771" spans="1:48" ht="14.25" customHeight="1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</row>
    <row r="772" spans="1:48" ht="14.25" customHeight="1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</row>
    <row r="773" spans="1:48" ht="14.25" customHeight="1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</row>
    <row r="774" spans="1:48" ht="14.25" customHeight="1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</row>
    <row r="775" spans="1:48" ht="14.25" customHeight="1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</row>
    <row r="776" spans="1:48" ht="14.25" customHeight="1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</row>
    <row r="777" spans="1:48" ht="14.25" customHeight="1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</row>
    <row r="778" spans="1:48" ht="14.25" customHeight="1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</row>
    <row r="779" spans="1:48" ht="14.25" customHeight="1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</row>
    <row r="780" spans="1:48" ht="14.25" customHeight="1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</row>
    <row r="781" spans="1:48" ht="14.25" customHeight="1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</row>
    <row r="782" spans="1:48" ht="14.25" customHeight="1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</row>
    <row r="783" spans="1:48" ht="14.25" customHeight="1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</row>
    <row r="784" spans="1:48" ht="14.25" customHeight="1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</row>
    <row r="785" spans="1:48" ht="14.25" customHeight="1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</row>
    <row r="786" spans="1:48" ht="14.25" customHeight="1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</row>
    <row r="787" spans="1:48" ht="14.25" customHeight="1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</row>
    <row r="788" spans="1:48" ht="14.25" customHeight="1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</row>
    <row r="789" spans="1:48" ht="14.25" customHeight="1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</row>
    <row r="790" spans="1:48" ht="14.25" customHeight="1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</row>
    <row r="791" spans="1:48" ht="14.25" customHeight="1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</row>
    <row r="792" spans="1:48" ht="14.25" customHeight="1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</row>
    <row r="793" spans="1:48" ht="14.25" customHeight="1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</row>
    <row r="794" spans="1:48" ht="14.25" customHeight="1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</row>
    <row r="795" spans="1:48" ht="14.25" customHeight="1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</row>
    <row r="796" spans="1:48" ht="14.25" customHeight="1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</row>
    <row r="797" spans="1:48" ht="14.25" customHeight="1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</row>
    <row r="798" spans="1:48" ht="14.25" customHeight="1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</row>
    <row r="799" spans="1:48" ht="14.25" customHeight="1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</row>
    <row r="800" spans="1:48" ht="14.25" customHeight="1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</row>
    <row r="801" spans="1:48" ht="14.25" customHeight="1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</row>
    <row r="802" spans="1:48" ht="14.25" customHeight="1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</row>
    <row r="803" spans="1:48" ht="14.25" customHeight="1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</row>
    <row r="804" spans="1:48" ht="14.25" customHeight="1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</row>
    <row r="805" spans="1:48" ht="14.25" customHeight="1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</row>
    <row r="806" spans="1:48" ht="14.25" customHeight="1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</row>
    <row r="807" spans="1:48" ht="14.25" customHeight="1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</row>
    <row r="808" spans="1:48" ht="14.25" customHeight="1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</row>
    <row r="809" spans="1:48" ht="14.25" customHeight="1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</row>
    <row r="810" spans="1:48" ht="14.25" customHeight="1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</row>
    <row r="811" spans="1:48" ht="14.25" customHeight="1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</row>
    <row r="812" spans="1:48" ht="14.25" customHeight="1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</row>
    <row r="813" spans="1:48" ht="14.25" customHeight="1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</row>
    <row r="814" spans="1:48" ht="14.25" customHeight="1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</row>
    <row r="815" spans="1:48" ht="14.25" customHeight="1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</row>
    <row r="816" spans="1:48" ht="14.25" customHeight="1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</row>
    <row r="817" spans="1:48" ht="14.25" customHeight="1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</row>
    <row r="818" spans="1:48" ht="14.25" customHeight="1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</row>
    <row r="819" spans="1:48" ht="14.25" customHeight="1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</row>
    <row r="820" spans="1:48" ht="14.25" customHeight="1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</row>
    <row r="821" spans="1:48" ht="14.25" customHeight="1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</row>
    <row r="822" spans="1:48" ht="14.25" customHeight="1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</row>
    <row r="823" spans="1:48" ht="14.25" customHeight="1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</row>
    <row r="824" spans="1:48" ht="14.25" customHeight="1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</row>
    <row r="825" spans="1:48" ht="14.25" customHeight="1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</row>
    <row r="826" spans="1:48" ht="14.25" customHeight="1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</row>
    <row r="827" spans="1:48" ht="14.25" customHeight="1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</row>
    <row r="828" spans="1:48" ht="14.25" customHeight="1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</row>
    <row r="829" spans="1:48" ht="14.25" customHeight="1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</row>
    <row r="830" spans="1:48" ht="14.25" customHeight="1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</row>
    <row r="831" spans="1:48" ht="14.25" customHeight="1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</row>
    <row r="832" spans="1:48" ht="14.25" customHeight="1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</row>
    <row r="833" spans="1:48" ht="14.25" customHeight="1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</row>
    <row r="834" spans="1:48" ht="14.25" customHeight="1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</row>
    <row r="835" spans="1:48" ht="14.25" customHeight="1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</row>
    <row r="836" spans="1:48" ht="14.25" customHeight="1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</row>
    <row r="837" spans="1:48" ht="14.25" customHeight="1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</row>
    <row r="838" spans="1:48" ht="14.25" customHeight="1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</row>
    <row r="839" spans="1:48" ht="14.25" customHeight="1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</row>
    <row r="840" spans="1:48" ht="14.25" customHeight="1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</row>
    <row r="841" spans="1:48" ht="14.25" customHeight="1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</row>
    <row r="842" spans="1:48" ht="14.25" customHeight="1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</row>
    <row r="843" spans="1:48" ht="14.25" customHeight="1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</row>
    <row r="844" spans="1:48" ht="14.25" customHeight="1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</row>
    <row r="845" spans="1:48" ht="14.25" customHeight="1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</row>
    <row r="846" spans="1:48" ht="14.25" customHeight="1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</row>
    <row r="847" spans="1:48" ht="14.25" customHeight="1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</row>
    <row r="848" spans="1:48" ht="14.25" customHeight="1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</row>
    <row r="849" spans="1:48" ht="14.25" customHeight="1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</row>
    <row r="850" spans="1:48" ht="14.25" customHeight="1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</row>
    <row r="851" spans="1:48" ht="14.25" customHeight="1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</row>
    <row r="852" spans="1:48" ht="14.25" customHeight="1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</row>
    <row r="853" spans="1:48" ht="14.25" customHeight="1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</row>
    <row r="854" spans="1:48" ht="14.25" customHeight="1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</row>
    <row r="855" spans="1:48" ht="14.25" customHeight="1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</row>
    <row r="856" spans="1:48" ht="14.25" customHeight="1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</row>
    <row r="857" spans="1:48" ht="14.25" customHeight="1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</row>
    <row r="858" spans="1:48" ht="14.25" customHeight="1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</row>
    <row r="859" spans="1:48" ht="14.25" customHeight="1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</row>
    <row r="860" spans="1:48" ht="14.25" customHeight="1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</row>
    <row r="861" spans="1:48" ht="14.25" customHeight="1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</row>
    <row r="862" spans="1:48" ht="14.25" customHeight="1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</row>
    <row r="863" spans="1:48" ht="14.25" customHeight="1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</row>
    <row r="864" spans="1:48" ht="14.25" customHeight="1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</row>
    <row r="865" spans="1:48" ht="14.25" customHeight="1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</row>
    <row r="866" spans="1:48" ht="14.25" customHeight="1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</row>
    <row r="867" spans="1:48" ht="14.25" customHeight="1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</row>
    <row r="868" spans="1:48" ht="14.25" customHeight="1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</row>
    <row r="869" spans="1:48" ht="14.25" customHeight="1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</row>
    <row r="870" spans="1:48" ht="14.25" customHeight="1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</row>
    <row r="871" spans="1:48" ht="14.25" customHeight="1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</row>
    <row r="872" spans="1:48" ht="14.25" customHeight="1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</row>
    <row r="873" spans="1:48" ht="14.25" customHeight="1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</row>
    <row r="874" spans="1:48" ht="14.25" customHeight="1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</row>
    <row r="875" spans="1:48" ht="14.25" customHeight="1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</row>
    <row r="876" spans="1:48" ht="14.25" customHeight="1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</row>
    <row r="877" spans="1:48" ht="14.25" customHeight="1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</row>
    <row r="878" spans="1:48" ht="14.25" customHeight="1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</row>
    <row r="879" spans="1:48" ht="14.25" customHeight="1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</row>
    <row r="880" spans="1:48" ht="14.25" customHeight="1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</row>
    <row r="881" spans="1:48" ht="14.25" customHeight="1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</row>
    <row r="882" spans="1:48" ht="14.25" customHeight="1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</row>
    <row r="883" spans="1:48" ht="14.25" customHeight="1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</row>
    <row r="884" spans="1:48" ht="14.25" customHeight="1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</row>
    <row r="885" spans="1:48" ht="14.25" customHeight="1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</row>
    <row r="886" spans="1:48" ht="14.25" customHeight="1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</row>
    <row r="887" spans="1:48" ht="14.25" customHeight="1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</row>
    <row r="888" spans="1:48" ht="14.25" customHeight="1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</row>
    <row r="889" spans="1:48" ht="14.25" customHeight="1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</row>
    <row r="890" spans="1:48" ht="14.25" customHeight="1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</row>
    <row r="891" spans="1:48" ht="14.25" customHeight="1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</row>
    <row r="892" spans="1:48" ht="14.25" customHeight="1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</row>
    <row r="893" spans="1:48" ht="14.25" customHeight="1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</row>
    <row r="894" spans="1:48" ht="14.25" customHeight="1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</row>
    <row r="895" spans="1:48" ht="14.25" customHeight="1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</row>
    <row r="896" spans="1:48" ht="14.25" customHeight="1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</row>
    <row r="897" spans="1:48" ht="14.25" customHeight="1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</row>
    <row r="898" spans="1:48" ht="14.25" customHeight="1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</row>
    <row r="899" spans="1:48" ht="14.25" customHeight="1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</row>
    <row r="900" spans="1:48" ht="14.25" customHeight="1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</row>
    <row r="901" spans="1:48" ht="14.25" customHeight="1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</row>
    <row r="902" spans="1:48" ht="14.25" customHeight="1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</row>
    <row r="903" spans="1:48" ht="14.25" customHeight="1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</row>
    <row r="904" spans="1:48" ht="14.25" customHeight="1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</row>
    <row r="905" spans="1:48" ht="14.25" customHeight="1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</row>
    <row r="906" spans="1:48" ht="14.25" customHeight="1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</row>
    <row r="907" spans="1:48" ht="14.25" customHeight="1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</row>
    <row r="908" spans="1:48" ht="14.25" customHeight="1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</row>
    <row r="909" spans="1:48" ht="14.25" customHeight="1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</row>
    <row r="910" spans="1:48" ht="14.25" customHeight="1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</row>
    <row r="911" spans="1:48" ht="14.25" customHeight="1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</row>
    <row r="912" spans="1:48" ht="14.25" customHeight="1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</row>
    <row r="913" spans="1:48" ht="14.25" customHeight="1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</row>
    <row r="914" spans="1:48" ht="14.25" customHeight="1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</row>
    <row r="915" spans="1:48" ht="14.25" customHeight="1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</row>
    <row r="916" spans="1:48" ht="14.25" customHeight="1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</row>
    <row r="917" spans="1:48" ht="14.25" customHeight="1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</row>
    <row r="918" spans="1:48" ht="14.25" customHeight="1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</row>
    <row r="919" spans="1:48" ht="14.25" customHeight="1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</row>
    <row r="920" spans="1:48" ht="14.25" customHeight="1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</row>
    <row r="921" spans="1:48" ht="14.25" customHeight="1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</row>
    <row r="922" spans="1:48" ht="14.25" customHeight="1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</row>
    <row r="923" spans="1:48" ht="14.25" customHeight="1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</row>
    <row r="924" spans="1:48" ht="14.25" customHeight="1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</row>
    <row r="925" spans="1:48" ht="14.25" customHeight="1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</row>
    <row r="926" spans="1:48" ht="14.25" customHeight="1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</row>
    <row r="927" spans="1:48" ht="14.25" customHeight="1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</row>
    <row r="928" spans="1:48" ht="14.25" customHeight="1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</row>
    <row r="929" spans="1:48" ht="14.25" customHeight="1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</row>
    <row r="930" spans="1:48" ht="14.25" customHeight="1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</row>
    <row r="931" spans="1:48" ht="14.25" customHeight="1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</row>
    <row r="932" spans="1:48" ht="14.25" customHeight="1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</row>
    <row r="933" spans="1:48" ht="14.25" customHeight="1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</row>
    <row r="934" spans="1:48" ht="14.25" customHeight="1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</row>
    <row r="935" spans="1:48" ht="14.25" customHeight="1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</row>
    <row r="936" spans="1:48" ht="14.25" customHeight="1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</row>
    <row r="937" spans="1:48" ht="14.25" customHeight="1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</row>
    <row r="938" spans="1:48" ht="14.25" customHeight="1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</row>
    <row r="939" spans="1:48" ht="14.25" customHeight="1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</row>
    <row r="940" spans="1:48" ht="14.25" customHeight="1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</row>
    <row r="941" spans="1:48" ht="14.25" customHeight="1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</row>
    <row r="942" spans="1:48" ht="14.25" customHeight="1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</row>
    <row r="943" spans="1:48" ht="14.25" customHeight="1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</row>
    <row r="944" spans="1:48" ht="14.25" customHeight="1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</row>
    <row r="945" spans="1:48" ht="14.25" customHeight="1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</row>
    <row r="946" spans="1:48" ht="14.25" customHeight="1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</row>
    <row r="947" spans="1:48" ht="14.25" customHeight="1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</row>
    <row r="948" spans="1:48" ht="14.25" customHeight="1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</row>
    <row r="949" spans="1:48" ht="14.25" customHeight="1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</row>
    <row r="950" spans="1:48" ht="14.25" customHeight="1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</row>
    <row r="951" spans="1:48" ht="14.25" customHeight="1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</row>
    <row r="952" spans="1:48" ht="14.25" customHeight="1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</row>
    <row r="953" spans="1:48" ht="14.25" customHeight="1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</row>
    <row r="954" spans="1:48" ht="14.25" customHeight="1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</row>
    <row r="955" spans="1:48" ht="14.25" customHeight="1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</row>
    <row r="956" spans="1:48" ht="14.25" customHeight="1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</row>
    <row r="957" spans="1:48" ht="14.25" customHeight="1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</row>
    <row r="958" spans="1:48" ht="14.25" customHeight="1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</row>
    <row r="959" spans="1:48" ht="14.25" customHeight="1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</row>
    <row r="960" spans="1:48" ht="14.25" customHeight="1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</row>
    <row r="961" spans="1:48" ht="14.25" customHeight="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</row>
    <row r="962" spans="1:48" ht="14.25" customHeight="1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</row>
    <row r="963" spans="1:48" ht="14.25" customHeight="1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</row>
    <row r="964" spans="1:48" ht="14.25" customHeight="1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</row>
    <row r="965" spans="1:48" ht="14.25" customHeight="1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</row>
    <row r="966" spans="1:48" ht="14.25" customHeight="1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</row>
    <row r="967" spans="1:48" ht="14.25" customHeight="1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</row>
    <row r="968" spans="1:48" ht="14.25" customHeight="1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</row>
    <row r="969" spans="1:48" ht="14.25" customHeight="1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</row>
    <row r="970" spans="1:48" ht="14.25" customHeight="1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</row>
    <row r="971" spans="1:48" ht="14.25" customHeight="1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</row>
    <row r="972" spans="1:48" ht="14.25" customHeight="1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</row>
    <row r="973" spans="1:48" ht="14.25" customHeight="1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</row>
    <row r="974" spans="1:48" ht="14.25" customHeight="1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</row>
    <row r="975" spans="1:48" ht="14.25" customHeight="1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</row>
    <row r="976" spans="1:48" ht="14.25" customHeight="1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</row>
    <row r="977" spans="1:48" ht="14.25" customHeight="1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</row>
    <row r="978" spans="1:48" ht="14.25" customHeight="1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</row>
    <row r="979" spans="1:48" ht="14.25" customHeight="1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</row>
    <row r="980" spans="1:48" ht="14.25" customHeight="1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</row>
    <row r="981" spans="1:48" ht="14.25" customHeight="1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</row>
    <row r="982" spans="1:48" ht="14.25" customHeight="1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</row>
    <row r="983" spans="1:48" ht="14.25" customHeight="1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</row>
    <row r="984" spans="1:48" ht="14.25" customHeight="1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</row>
    <row r="985" spans="1:48" ht="14.25" customHeight="1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</row>
    <row r="986" spans="1:48" ht="14.25" customHeight="1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</row>
    <row r="987" spans="1:48" ht="14.25" customHeight="1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</row>
    <row r="988" spans="1:48" ht="14.25" customHeight="1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</row>
    <row r="989" spans="1:48" ht="14.25" customHeight="1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</row>
    <row r="990" spans="1:48" ht="14.25" customHeight="1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</row>
    <row r="991" spans="1:48" ht="14.25" customHeight="1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</row>
    <row r="992" spans="1:48" ht="14.25" customHeight="1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</row>
    <row r="993" spans="1:48" ht="14.25" customHeight="1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</row>
    <row r="994" spans="1:48" ht="14.25" customHeight="1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</row>
    <row r="995" spans="1:48" ht="14.25" customHeight="1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</row>
    <row r="996" spans="1:48" ht="14.25" customHeight="1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</row>
    <row r="997" spans="1:48" ht="14.25" customHeight="1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</row>
    <row r="998" spans="1:48" ht="14.25" customHeight="1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</row>
    <row r="999" spans="1:48" ht="14.25" customHeight="1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</row>
    <row r="1000" spans="1:48" ht="14.25" customHeight="1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</row>
    <row r="1001" spans="1:48" ht="14.25" customHeight="1">
      <c r="A1001" s="32"/>
      <c r="B1001" s="32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  <c r="AJ1001" s="32"/>
      <c r="AK1001" s="32"/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</row>
    <row r="1002" spans="1:48" ht="14.25" customHeight="1">
      <c r="A1002" s="32"/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  <c r="AJ1002" s="32"/>
      <c r="AK1002" s="32"/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</row>
    <row r="1003" spans="1:48" ht="14.25" customHeight="1">
      <c r="A1003" s="32"/>
      <c r="B1003" s="32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  <c r="AJ1003" s="32"/>
      <c r="AK1003" s="32"/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</row>
    <row r="1004" spans="1:48" ht="14.25" customHeight="1">
      <c r="A1004" s="32"/>
      <c r="B1004" s="32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  <c r="AJ1004" s="32"/>
      <c r="AK1004" s="32"/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</row>
    <row r="1005" spans="1:48" ht="14.25" customHeight="1">
      <c r="A1005" s="32"/>
      <c r="B1005" s="32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  <c r="AJ1005" s="32"/>
      <c r="AK1005" s="32"/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</row>
    <row r="1006" spans="1:48" ht="14.25" customHeight="1">
      <c r="A1006" s="32"/>
      <c r="B1006" s="32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  <c r="AJ1006" s="32"/>
      <c r="AK1006" s="32"/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</row>
    <row r="1007" spans="1:48" ht="14.25" customHeight="1">
      <c r="A1007" s="32"/>
      <c r="B1007" s="32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  <c r="AJ1007" s="32"/>
      <c r="AK1007" s="32"/>
      <c r="AL1007" s="32"/>
      <c r="AM1007" s="32"/>
      <c r="AN1007" s="32"/>
      <c r="AO1007" s="32"/>
      <c r="AP1007" s="32"/>
      <c r="AQ1007" s="32"/>
      <c r="AR1007" s="32"/>
      <c r="AS1007" s="32"/>
      <c r="AT1007" s="32"/>
      <c r="AU1007" s="32"/>
      <c r="AV1007" s="32"/>
    </row>
    <row r="1008" spans="1:48" ht="14.25" customHeight="1">
      <c r="A1008" s="32"/>
      <c r="B1008" s="32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  <c r="AJ1008" s="32"/>
      <c r="AK1008" s="32"/>
      <c r="AL1008" s="32"/>
      <c r="AM1008" s="32"/>
      <c r="AN1008" s="32"/>
      <c r="AO1008" s="32"/>
      <c r="AP1008" s="32"/>
      <c r="AQ1008" s="32"/>
      <c r="AR1008" s="32"/>
      <c r="AS1008" s="32"/>
      <c r="AT1008" s="32"/>
      <c r="AU1008" s="32"/>
      <c r="AV1008" s="32"/>
    </row>
    <row r="1009" spans="1:48" ht="14.25" customHeight="1">
      <c r="A1009" s="32"/>
      <c r="B1009" s="32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  <c r="AJ1009" s="32"/>
      <c r="AK1009" s="32"/>
      <c r="AL1009" s="32"/>
      <c r="AM1009" s="32"/>
      <c r="AN1009" s="32"/>
      <c r="AO1009" s="32"/>
      <c r="AP1009" s="32"/>
      <c r="AQ1009" s="32"/>
      <c r="AR1009" s="32"/>
      <c r="AS1009" s="32"/>
      <c r="AT1009" s="32"/>
      <c r="AU1009" s="32"/>
      <c r="AV1009" s="32"/>
    </row>
    <row r="1010" spans="1:48" ht="14.25" customHeight="1">
      <c r="A1010" s="32"/>
      <c r="B1010" s="32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  <c r="AJ1010" s="32"/>
      <c r="AK1010" s="32"/>
      <c r="AL1010" s="32"/>
      <c r="AM1010" s="32"/>
      <c r="AN1010" s="32"/>
      <c r="AO1010" s="32"/>
      <c r="AP1010" s="32"/>
      <c r="AQ1010" s="32"/>
      <c r="AR1010" s="32"/>
      <c r="AS1010" s="32"/>
      <c r="AT1010" s="32"/>
      <c r="AU1010" s="32"/>
      <c r="AV1010" s="32"/>
    </row>
  </sheetData>
  <pageMargins left="0.51181102362204722" right="0.51181102362204722" top="1.1811023622047245" bottom="1.181102362204724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0"/>
  <sheetViews>
    <sheetView workbookViewId="0"/>
  </sheetViews>
  <sheetFormatPr defaultColWidth="14.42578125" defaultRowHeight="15" customHeight="1"/>
  <cols>
    <col min="1" max="1" width="15.7109375" customWidth="1"/>
    <col min="2" max="2" width="19.140625" customWidth="1"/>
    <col min="3" max="3" width="15.85546875" customWidth="1"/>
    <col min="4" max="6" width="11.140625" customWidth="1"/>
    <col min="7" max="7" width="5.5703125" customWidth="1"/>
    <col min="8" max="8" width="9.7109375" customWidth="1"/>
    <col min="9" max="9" width="5.5703125" customWidth="1"/>
    <col min="10" max="10" width="9.7109375" customWidth="1"/>
    <col min="11" max="11" width="5.5703125" customWidth="1"/>
    <col min="12" max="12" width="9.7109375" customWidth="1"/>
    <col min="13" max="13" width="5.5703125" customWidth="1"/>
    <col min="14" max="14" width="9.7109375" customWidth="1"/>
    <col min="15" max="21" width="11.140625" customWidth="1"/>
    <col min="22" max="26" width="8.7109375" customWidth="1"/>
  </cols>
  <sheetData>
    <row r="1" spans="1:21" ht="14.25" customHeight="1">
      <c r="A1" s="16" t="s">
        <v>1</v>
      </c>
      <c r="B1" s="14" t="s">
        <v>147</v>
      </c>
      <c r="C1" s="14" t="s">
        <v>148</v>
      </c>
      <c r="P1" s="1" t="s">
        <v>85</v>
      </c>
      <c r="Q1" s="14">
        <v>315</v>
      </c>
      <c r="R1" s="14" t="s">
        <v>149</v>
      </c>
      <c r="S1" s="14" t="s">
        <v>149</v>
      </c>
      <c r="T1" s="14" t="s">
        <v>149</v>
      </c>
      <c r="U1" s="14" t="s">
        <v>149</v>
      </c>
    </row>
    <row r="2" spans="1:21" ht="14.25" customHeight="1">
      <c r="A2" s="16" t="s">
        <v>0</v>
      </c>
      <c r="B2" s="14" t="s">
        <v>150</v>
      </c>
      <c r="P2" s="14" t="s">
        <v>151</v>
      </c>
      <c r="Q2" s="1" t="s">
        <v>83</v>
      </c>
      <c r="R2" s="1" t="s">
        <v>152</v>
      </c>
      <c r="S2" s="14" t="s">
        <v>149</v>
      </c>
      <c r="T2" s="14" t="s">
        <v>149</v>
      </c>
      <c r="U2" s="14" t="s">
        <v>149</v>
      </c>
    </row>
    <row r="3" spans="1:21" ht="14.25" customHeight="1">
      <c r="A3" s="16" t="s">
        <v>0</v>
      </c>
      <c r="B3" s="14" t="s">
        <v>153</v>
      </c>
      <c r="P3" s="14" t="s">
        <v>154</v>
      </c>
      <c r="Q3" s="14">
        <v>1</v>
      </c>
      <c r="R3" s="14" t="s">
        <v>149</v>
      </c>
      <c r="S3" s="1" t="s">
        <v>86</v>
      </c>
      <c r="T3" s="14" t="s">
        <v>149</v>
      </c>
      <c r="U3" s="14" t="s">
        <v>149</v>
      </c>
    </row>
    <row r="4" spans="1:21" ht="14.25" customHeight="1">
      <c r="A4" s="16" t="s">
        <v>155</v>
      </c>
      <c r="B4" s="14" t="s">
        <v>156</v>
      </c>
      <c r="P4" s="14" t="s">
        <v>149</v>
      </c>
      <c r="Q4" s="14">
        <v>2</v>
      </c>
      <c r="R4" s="14" t="s">
        <v>149</v>
      </c>
      <c r="S4" s="14" t="s">
        <v>157</v>
      </c>
      <c r="T4" s="1" t="s">
        <v>158</v>
      </c>
      <c r="U4" s="14" t="s">
        <v>149</v>
      </c>
    </row>
    <row r="5" spans="1:21" ht="14.25" customHeight="1">
      <c r="A5" s="16" t="s">
        <v>159</v>
      </c>
      <c r="B5" s="14" t="s">
        <v>160</v>
      </c>
      <c r="P5" s="14" t="s">
        <v>149</v>
      </c>
      <c r="Q5" s="14">
        <v>3</v>
      </c>
      <c r="R5" s="14" t="s">
        <v>149</v>
      </c>
      <c r="S5" s="14" t="s">
        <v>161</v>
      </c>
      <c r="T5" s="14" t="s">
        <v>162</v>
      </c>
      <c r="U5" s="1" t="s">
        <v>163</v>
      </c>
    </row>
    <row r="6" spans="1:21" ht="14.25" customHeight="1">
      <c r="A6" s="16" t="s">
        <v>164</v>
      </c>
      <c r="B6" s="14" t="s">
        <v>165</v>
      </c>
      <c r="P6" s="14" t="s">
        <v>149</v>
      </c>
      <c r="Q6" s="14">
        <v>4</v>
      </c>
      <c r="R6" s="14" t="s">
        <v>149</v>
      </c>
      <c r="S6" s="14" t="s">
        <v>166</v>
      </c>
      <c r="T6" s="14" t="s">
        <v>167</v>
      </c>
      <c r="U6" s="14" t="s">
        <v>168</v>
      </c>
    </row>
    <row r="7" spans="1:21" ht="14.25" customHeight="1">
      <c r="A7" s="16" t="s">
        <v>169</v>
      </c>
      <c r="B7" s="14" t="s">
        <v>170</v>
      </c>
      <c r="P7" s="14" t="s">
        <v>149</v>
      </c>
      <c r="Q7" s="14">
        <v>5</v>
      </c>
      <c r="R7" s="14" t="s">
        <v>149</v>
      </c>
      <c r="S7" s="14" t="s">
        <v>149</v>
      </c>
      <c r="T7" s="14" t="s">
        <v>171</v>
      </c>
      <c r="U7" s="14" t="s">
        <v>172</v>
      </c>
    </row>
    <row r="8" spans="1:21" ht="14.25" customHeight="1">
      <c r="A8" s="16" t="s">
        <v>173</v>
      </c>
      <c r="B8" s="14" t="s">
        <v>174</v>
      </c>
      <c r="P8" s="14" t="s">
        <v>149</v>
      </c>
      <c r="Q8" s="14">
        <v>6</v>
      </c>
      <c r="R8" s="14" t="s">
        <v>149</v>
      </c>
      <c r="S8" s="14" t="s">
        <v>149</v>
      </c>
      <c r="T8" s="14" t="s">
        <v>149</v>
      </c>
      <c r="U8" s="14" t="s">
        <v>175</v>
      </c>
    </row>
    <row r="9" spans="1:21" ht="14.25" customHeight="1">
      <c r="A9" s="16" t="s">
        <v>176</v>
      </c>
      <c r="B9" s="14" t="s">
        <v>177</v>
      </c>
      <c r="P9" s="14">
        <v>2</v>
      </c>
      <c r="Q9" s="14">
        <f>P9*6</f>
        <v>12</v>
      </c>
      <c r="R9" s="14" t="s">
        <v>149</v>
      </c>
      <c r="S9" s="14">
        <f>Q9*3</f>
        <v>36</v>
      </c>
      <c r="T9" s="14">
        <f t="shared" ref="T9:U9" si="0">S9*3</f>
        <v>108</v>
      </c>
      <c r="U9" s="14">
        <f t="shared" si="0"/>
        <v>324</v>
      </c>
    </row>
    <row r="10" spans="1:21" ht="14.25" customHeight="1">
      <c r="A10" s="16" t="s">
        <v>87</v>
      </c>
      <c r="B10" s="14" t="s">
        <v>178</v>
      </c>
      <c r="C10" s="14" t="s">
        <v>179</v>
      </c>
    </row>
    <row r="11" spans="1:21" ht="14.25" customHeight="1">
      <c r="A11" s="16" t="s">
        <v>95</v>
      </c>
      <c r="B11" s="14" t="s">
        <v>180</v>
      </c>
    </row>
    <row r="12" spans="1:21" ht="14.25" customHeight="1">
      <c r="A12" s="16" t="s">
        <v>96</v>
      </c>
      <c r="B12" s="14" t="s">
        <v>181</v>
      </c>
    </row>
    <row r="13" spans="1:21" ht="14.25" customHeight="1">
      <c r="A13" s="16" t="s">
        <v>88</v>
      </c>
      <c r="B13" s="14" t="s">
        <v>182</v>
      </c>
    </row>
    <row r="14" spans="1:21" ht="14.25" customHeight="1">
      <c r="A14" s="16" t="s">
        <v>101</v>
      </c>
      <c r="B14" s="14" t="s">
        <v>183</v>
      </c>
      <c r="P14" s="2" t="s">
        <v>83</v>
      </c>
      <c r="Q14" s="2" t="s">
        <v>1</v>
      </c>
      <c r="R14" s="2" t="s">
        <v>184</v>
      </c>
    </row>
    <row r="15" spans="1:21" ht="14.25" customHeight="1">
      <c r="A15" s="16" t="s">
        <v>102</v>
      </c>
      <c r="B15" s="14" t="s">
        <v>185</v>
      </c>
      <c r="D15" s="14" t="s">
        <v>186</v>
      </c>
      <c r="P15" s="25">
        <v>1</v>
      </c>
      <c r="Q15" s="26">
        <v>45168</v>
      </c>
      <c r="R15" s="58" t="s">
        <v>234</v>
      </c>
    </row>
    <row r="16" spans="1:21" ht="14.25" customHeight="1">
      <c r="A16" s="16" t="s">
        <v>103</v>
      </c>
      <c r="B16" s="14" t="s">
        <v>188</v>
      </c>
      <c r="C16" s="14" t="s">
        <v>189</v>
      </c>
      <c r="P16" s="27">
        <v>2</v>
      </c>
      <c r="Q16" s="26">
        <v>45210</v>
      </c>
      <c r="R16" s="2" t="s">
        <v>187</v>
      </c>
    </row>
    <row r="17" spans="1:18" ht="14.25" customHeight="1">
      <c r="A17" s="16" t="s">
        <v>105</v>
      </c>
      <c r="B17" s="14" t="s">
        <v>190</v>
      </c>
      <c r="P17" s="27">
        <v>3</v>
      </c>
      <c r="Q17" s="26">
        <v>45231</v>
      </c>
      <c r="R17" s="2" t="s">
        <v>191</v>
      </c>
    </row>
    <row r="18" spans="1:18" ht="14.25" customHeight="1">
      <c r="A18" s="16" t="s">
        <v>192</v>
      </c>
      <c r="B18" s="14" t="s">
        <v>193</v>
      </c>
      <c r="C18" s="14" t="s">
        <v>194</v>
      </c>
      <c r="P18" s="27">
        <v>4</v>
      </c>
      <c r="Q18" s="26">
        <v>45245</v>
      </c>
      <c r="R18" s="2" t="s">
        <v>191</v>
      </c>
    </row>
    <row r="19" spans="1:18" ht="14.25" customHeight="1">
      <c r="A19" s="16" t="s">
        <v>104</v>
      </c>
      <c r="B19" s="14" t="s">
        <v>195</v>
      </c>
      <c r="P19" s="27">
        <v>5</v>
      </c>
      <c r="Q19" s="28">
        <v>45322</v>
      </c>
      <c r="R19" s="2" t="s">
        <v>187</v>
      </c>
    </row>
    <row r="20" spans="1:18" ht="14.25" customHeight="1">
      <c r="A20" s="16" t="s">
        <v>196</v>
      </c>
      <c r="B20" s="14" t="s">
        <v>197</v>
      </c>
      <c r="P20" s="27">
        <v>6</v>
      </c>
      <c r="Q20" s="28">
        <v>45343</v>
      </c>
      <c r="R20" s="2" t="s">
        <v>187</v>
      </c>
    </row>
    <row r="21" spans="1:18" ht="14.25" customHeight="1">
      <c r="A21" s="16" t="s">
        <v>108</v>
      </c>
      <c r="B21" s="14" t="s">
        <v>108</v>
      </c>
    </row>
    <row r="22" spans="1:18" ht="14.25" customHeight="1">
      <c r="A22" s="16" t="s">
        <v>109</v>
      </c>
      <c r="B22" s="14" t="s">
        <v>109</v>
      </c>
    </row>
    <row r="23" spans="1:18" ht="14.25" customHeight="1">
      <c r="A23" s="16" t="s">
        <v>110</v>
      </c>
      <c r="B23" s="14" t="s">
        <v>198</v>
      </c>
    </row>
    <row r="24" spans="1:18" ht="14.25" customHeight="1">
      <c r="A24" s="16" t="s">
        <v>111</v>
      </c>
      <c r="B24" s="14" t="s">
        <v>199</v>
      </c>
    </row>
    <row r="25" spans="1:18" ht="14.25" customHeight="1">
      <c r="A25" s="16" t="s">
        <v>112</v>
      </c>
      <c r="B25" s="14" t="s">
        <v>112</v>
      </c>
    </row>
    <row r="26" spans="1:18" ht="14.25" customHeight="1">
      <c r="A26" s="16" t="s">
        <v>113</v>
      </c>
      <c r="B26" s="14" t="s">
        <v>200</v>
      </c>
    </row>
    <row r="27" spans="1:18" ht="14.25" customHeight="1">
      <c r="A27" s="16" t="s">
        <v>114</v>
      </c>
      <c r="B27" s="14" t="s">
        <v>201</v>
      </c>
    </row>
    <row r="28" spans="1:18" ht="14.25" customHeight="1">
      <c r="A28" s="16" t="s">
        <v>115</v>
      </c>
      <c r="B28" s="14" t="s">
        <v>202</v>
      </c>
      <c r="C28" s="14" t="s">
        <v>203</v>
      </c>
    </row>
    <row r="29" spans="1:18" ht="14.25" customHeight="1">
      <c r="A29" s="16" t="s">
        <v>116</v>
      </c>
      <c r="B29" s="14" t="s">
        <v>204</v>
      </c>
      <c r="C29" s="14" t="s">
        <v>205</v>
      </c>
    </row>
    <row r="30" spans="1:18" ht="14.25" customHeight="1">
      <c r="A30" s="16" t="s">
        <v>117</v>
      </c>
      <c r="B30" s="14" t="s">
        <v>206</v>
      </c>
      <c r="C30" s="14" t="s">
        <v>207</v>
      </c>
    </row>
    <row r="31" spans="1:18" ht="14.25" customHeight="1">
      <c r="A31" s="16" t="s">
        <v>118</v>
      </c>
      <c r="B31" s="14" t="s">
        <v>208</v>
      </c>
    </row>
    <row r="32" spans="1:18" ht="14.25" customHeight="1">
      <c r="A32" s="16" t="s">
        <v>119</v>
      </c>
      <c r="B32" s="14" t="s">
        <v>209</v>
      </c>
    </row>
    <row r="33" spans="1:15" ht="14.25" customHeight="1">
      <c r="A33" s="16" t="s">
        <v>120</v>
      </c>
      <c r="B33" s="14" t="s">
        <v>210</v>
      </c>
    </row>
    <row r="34" spans="1:15" ht="14.25" customHeight="1">
      <c r="A34" s="16" t="s">
        <v>121</v>
      </c>
      <c r="B34" s="14" t="s">
        <v>211</v>
      </c>
    </row>
    <row r="35" spans="1:15" ht="14.25" customHeight="1">
      <c r="A35" s="16" t="s">
        <v>212</v>
      </c>
      <c r="B35" s="14" t="s">
        <v>213</v>
      </c>
      <c r="C35" s="14" t="s">
        <v>214</v>
      </c>
    </row>
    <row r="36" spans="1:15" ht="14.25" customHeight="1">
      <c r="A36" s="16" t="s">
        <v>123</v>
      </c>
      <c r="B36" s="14" t="s">
        <v>215</v>
      </c>
      <c r="C36" s="14" t="s">
        <v>216</v>
      </c>
    </row>
    <row r="37" spans="1:15" ht="14.25" customHeight="1">
      <c r="A37" s="16" t="s">
        <v>124</v>
      </c>
      <c r="B37" s="14" t="s">
        <v>217</v>
      </c>
      <c r="C37" s="14" t="s">
        <v>218</v>
      </c>
    </row>
    <row r="38" spans="1:15" ht="14.25" customHeight="1">
      <c r="A38" s="16"/>
    </row>
    <row r="39" spans="1:15" ht="14.25" customHeight="1">
      <c r="A39" s="16"/>
    </row>
    <row r="40" spans="1:15" ht="14.25" customHeight="1">
      <c r="A40" s="16"/>
    </row>
    <row r="41" spans="1:15" ht="14.25" customHeight="1">
      <c r="A41" s="16"/>
    </row>
    <row r="42" spans="1:15" ht="14.25" customHeight="1">
      <c r="A42" s="16"/>
    </row>
    <row r="43" spans="1:15" ht="14.25" customHeight="1">
      <c r="A43" s="16"/>
      <c r="F43" s="29"/>
      <c r="G43" s="29"/>
      <c r="H43" s="29"/>
      <c r="I43" s="29"/>
      <c r="J43" s="29"/>
      <c r="K43" s="29"/>
      <c r="L43" s="29"/>
      <c r="M43" s="29"/>
      <c r="N43" s="29"/>
      <c r="O43" s="29"/>
    </row>
    <row r="44" spans="1:15" ht="14.25" customHeight="1">
      <c r="A44" s="16"/>
      <c r="F44" s="29"/>
      <c r="G44" s="29"/>
      <c r="H44" s="29"/>
      <c r="I44" s="29"/>
      <c r="J44" s="29"/>
      <c r="K44" s="29"/>
      <c r="L44" s="29"/>
      <c r="M44" s="29"/>
      <c r="N44" s="29"/>
      <c r="O44" s="29"/>
    </row>
    <row r="45" spans="1:15" ht="14.25" customHeight="1">
      <c r="A45" s="16"/>
      <c r="F45" s="29"/>
      <c r="G45" s="59">
        <v>1</v>
      </c>
      <c r="H45" s="30" t="s">
        <v>219</v>
      </c>
      <c r="I45" s="61">
        <v>2</v>
      </c>
      <c r="J45" s="30" t="s">
        <v>219</v>
      </c>
      <c r="K45" s="61">
        <v>3</v>
      </c>
      <c r="L45" s="30" t="s">
        <v>220</v>
      </c>
      <c r="M45" s="61">
        <v>4</v>
      </c>
      <c r="N45" s="30" t="s">
        <v>220</v>
      </c>
      <c r="O45" s="29"/>
    </row>
    <row r="46" spans="1:15" ht="14.25" customHeight="1">
      <c r="A46" s="16"/>
      <c r="F46" s="29"/>
      <c r="G46" s="60"/>
      <c r="H46" s="30" t="s">
        <v>221</v>
      </c>
      <c r="I46" s="60"/>
      <c r="J46" s="30" t="s">
        <v>222</v>
      </c>
      <c r="K46" s="60"/>
      <c r="L46" s="30" t="s">
        <v>221</v>
      </c>
      <c r="M46" s="60"/>
      <c r="N46" s="30" t="s">
        <v>222</v>
      </c>
      <c r="O46" s="29"/>
    </row>
    <row r="47" spans="1:15" ht="14.25" customHeight="1">
      <c r="A47" s="16"/>
      <c r="F47" s="29"/>
      <c r="G47" s="29"/>
      <c r="H47" s="29"/>
      <c r="I47" s="29"/>
      <c r="J47" s="29"/>
      <c r="K47" s="29"/>
      <c r="L47" s="29"/>
      <c r="M47" s="29"/>
      <c r="N47" s="29"/>
      <c r="O47" s="29"/>
    </row>
    <row r="48" spans="1:15" ht="14.25" customHeight="1">
      <c r="A48" s="16"/>
      <c r="F48" s="29"/>
      <c r="G48" s="29"/>
      <c r="H48" s="29"/>
      <c r="I48" s="29"/>
      <c r="J48" s="29"/>
      <c r="K48" s="29"/>
      <c r="L48" s="29"/>
      <c r="M48" s="29"/>
      <c r="N48" s="29"/>
      <c r="O48" s="29"/>
    </row>
    <row r="49" spans="1:2" ht="14.25" customHeight="1">
      <c r="A49" s="16"/>
    </row>
    <row r="50" spans="1:2" ht="14.25" customHeight="1">
      <c r="A50" s="16"/>
    </row>
    <row r="51" spans="1:2" ht="14.25" customHeight="1">
      <c r="A51" s="16"/>
    </row>
    <row r="52" spans="1:2" ht="14.25" customHeight="1">
      <c r="A52" s="16"/>
    </row>
    <row r="53" spans="1:2" ht="14.25" customHeight="1">
      <c r="A53" s="16"/>
    </row>
    <row r="54" spans="1:2" ht="14.25" customHeight="1">
      <c r="A54" s="16"/>
    </row>
    <row r="55" spans="1:2" ht="14.25" customHeight="1">
      <c r="A55" s="16"/>
    </row>
    <row r="56" spans="1:2" ht="14.25" customHeight="1">
      <c r="A56" s="16"/>
    </row>
    <row r="57" spans="1:2" ht="14.25" customHeight="1">
      <c r="A57" s="16" t="s">
        <v>223</v>
      </c>
    </row>
    <row r="58" spans="1:2" ht="14.25" customHeight="1">
      <c r="A58" s="16">
        <v>1</v>
      </c>
      <c r="B58" s="14" t="s">
        <v>224</v>
      </c>
    </row>
    <row r="59" spans="1:2" ht="14.25" customHeight="1">
      <c r="A59" s="16">
        <v>2</v>
      </c>
      <c r="B59" s="14" t="s">
        <v>225</v>
      </c>
    </row>
    <row r="60" spans="1:2" ht="14.25" customHeight="1">
      <c r="A60" s="16">
        <v>3</v>
      </c>
      <c r="B60" s="14" t="s">
        <v>226</v>
      </c>
    </row>
    <row r="61" spans="1:2" ht="14.25" customHeight="1">
      <c r="A61" s="16">
        <v>4</v>
      </c>
      <c r="B61" s="14" t="s">
        <v>227</v>
      </c>
    </row>
    <row r="62" spans="1:2" ht="14.25" customHeight="1">
      <c r="A62" s="16"/>
    </row>
    <row r="63" spans="1:2" ht="14.25" customHeight="1">
      <c r="A63" s="16"/>
    </row>
    <row r="64" spans="1:2" ht="14.25" customHeight="1">
      <c r="A64" s="16"/>
    </row>
    <row r="65" spans="1:1" ht="14.25" customHeight="1">
      <c r="A65" s="16"/>
    </row>
    <row r="66" spans="1:1" ht="14.25" customHeight="1">
      <c r="A66" s="16"/>
    </row>
    <row r="67" spans="1:1" ht="14.25" customHeight="1">
      <c r="A67" s="16"/>
    </row>
    <row r="68" spans="1:1" ht="14.25" customHeight="1">
      <c r="A68" s="16"/>
    </row>
    <row r="69" spans="1:1" ht="14.25" customHeight="1">
      <c r="A69" s="16"/>
    </row>
    <row r="70" spans="1:1" ht="14.25" customHeight="1">
      <c r="A70" s="16"/>
    </row>
    <row r="71" spans="1:1" ht="14.25" customHeight="1">
      <c r="A71" s="16"/>
    </row>
    <row r="72" spans="1:1" ht="14.25" customHeight="1">
      <c r="A72" s="16"/>
    </row>
    <row r="73" spans="1:1" ht="14.25" customHeight="1">
      <c r="A73" s="16"/>
    </row>
    <row r="74" spans="1:1" ht="14.25" customHeight="1">
      <c r="A74" s="16"/>
    </row>
    <row r="75" spans="1:1" ht="14.25" customHeight="1">
      <c r="A75" s="16"/>
    </row>
    <row r="76" spans="1:1" ht="14.25" customHeight="1">
      <c r="A76" s="16"/>
    </row>
    <row r="77" spans="1:1" ht="14.25" customHeight="1">
      <c r="A77" s="16"/>
    </row>
    <row r="78" spans="1:1" ht="14.25" customHeight="1">
      <c r="A78" s="16"/>
    </row>
    <row r="79" spans="1:1" ht="14.25" customHeight="1">
      <c r="A79" s="16"/>
    </row>
    <row r="80" spans="1:1" ht="14.25" customHeight="1">
      <c r="A80" s="16"/>
    </row>
    <row r="81" spans="1:1" ht="14.25" customHeight="1">
      <c r="A81" s="16"/>
    </row>
    <row r="82" spans="1:1" ht="14.25" customHeight="1">
      <c r="A82" s="16"/>
    </row>
    <row r="83" spans="1:1" ht="14.25" customHeight="1">
      <c r="A83" s="16"/>
    </row>
    <row r="84" spans="1:1" ht="14.25" customHeight="1">
      <c r="A84" s="16"/>
    </row>
    <row r="85" spans="1:1" ht="14.25" customHeight="1">
      <c r="A85" s="16"/>
    </row>
    <row r="86" spans="1:1" ht="14.25" customHeight="1">
      <c r="A86" s="16"/>
    </row>
    <row r="87" spans="1:1" ht="14.25" customHeight="1">
      <c r="A87" s="16"/>
    </row>
    <row r="88" spans="1:1" ht="14.25" customHeight="1">
      <c r="A88" s="16"/>
    </row>
    <row r="89" spans="1:1" ht="14.25" customHeight="1">
      <c r="A89" s="16"/>
    </row>
    <row r="90" spans="1:1" ht="14.25" customHeight="1">
      <c r="A90" s="16"/>
    </row>
    <row r="91" spans="1:1" ht="14.25" customHeight="1">
      <c r="A91" s="16"/>
    </row>
    <row r="92" spans="1:1" ht="14.25" customHeight="1">
      <c r="A92" s="16"/>
    </row>
    <row r="93" spans="1:1" ht="14.25" customHeight="1">
      <c r="A93" s="16"/>
    </row>
    <row r="94" spans="1:1" ht="14.25" customHeight="1">
      <c r="A94" s="16"/>
    </row>
    <row r="95" spans="1:1" ht="14.25" customHeight="1">
      <c r="A95" s="16"/>
    </row>
    <row r="96" spans="1:1" ht="14.25" customHeight="1">
      <c r="A96" s="16"/>
    </row>
    <row r="97" spans="1:1" ht="14.25" customHeight="1">
      <c r="A97" s="16"/>
    </row>
    <row r="98" spans="1:1" ht="14.25" customHeight="1">
      <c r="A98" s="16"/>
    </row>
    <row r="99" spans="1:1" ht="14.25" customHeight="1">
      <c r="A99" s="16"/>
    </row>
    <row r="100" spans="1:1" ht="14.25" customHeight="1">
      <c r="A100" s="16"/>
    </row>
    <row r="101" spans="1:1" ht="14.25" customHeight="1">
      <c r="A101" s="16"/>
    </row>
    <row r="102" spans="1:1" ht="14.25" customHeight="1">
      <c r="A102" s="16"/>
    </row>
    <row r="103" spans="1:1" ht="14.25" customHeight="1">
      <c r="A103" s="16"/>
    </row>
    <row r="104" spans="1:1" ht="14.25" customHeight="1">
      <c r="A104" s="16"/>
    </row>
    <row r="105" spans="1:1" ht="14.25" customHeight="1">
      <c r="A105" s="16"/>
    </row>
    <row r="106" spans="1:1" ht="14.25" customHeight="1">
      <c r="A106" s="16"/>
    </row>
    <row r="107" spans="1:1" ht="14.25" customHeight="1">
      <c r="A107" s="16"/>
    </row>
    <row r="108" spans="1:1" ht="14.25" customHeight="1">
      <c r="A108" s="16"/>
    </row>
    <row r="109" spans="1:1" ht="14.25" customHeight="1">
      <c r="A109" s="16"/>
    </row>
    <row r="110" spans="1:1" ht="14.25" customHeight="1">
      <c r="A110" s="16"/>
    </row>
    <row r="111" spans="1:1" ht="14.25" customHeight="1">
      <c r="A111" s="16"/>
    </row>
    <row r="112" spans="1:1" ht="14.25" customHeight="1">
      <c r="A112" s="16"/>
    </row>
    <row r="113" spans="1:1" ht="14.25" customHeight="1">
      <c r="A113" s="16"/>
    </row>
    <row r="114" spans="1:1" ht="14.25" customHeight="1">
      <c r="A114" s="16"/>
    </row>
    <row r="115" spans="1:1" ht="14.25" customHeight="1">
      <c r="A115" s="16"/>
    </row>
    <row r="116" spans="1:1" ht="14.25" customHeight="1">
      <c r="A116" s="16"/>
    </row>
    <row r="117" spans="1:1" ht="14.25" customHeight="1">
      <c r="A117" s="16"/>
    </row>
    <row r="118" spans="1:1" ht="14.25" customHeight="1">
      <c r="A118" s="16"/>
    </row>
    <row r="119" spans="1:1" ht="14.25" customHeight="1">
      <c r="A119" s="16"/>
    </row>
    <row r="120" spans="1:1" ht="14.25" customHeight="1">
      <c r="A120" s="16"/>
    </row>
    <row r="121" spans="1:1" ht="14.25" customHeight="1">
      <c r="A121" s="16"/>
    </row>
    <row r="122" spans="1:1" ht="14.25" customHeight="1">
      <c r="A122" s="16"/>
    </row>
    <row r="123" spans="1:1" ht="14.25" customHeight="1">
      <c r="A123" s="16"/>
    </row>
    <row r="124" spans="1:1" ht="14.25" customHeight="1">
      <c r="A124" s="16"/>
    </row>
    <row r="125" spans="1:1" ht="14.25" customHeight="1">
      <c r="A125" s="16"/>
    </row>
    <row r="126" spans="1:1" ht="14.25" customHeight="1">
      <c r="A126" s="16"/>
    </row>
    <row r="127" spans="1:1" ht="14.25" customHeight="1">
      <c r="A127" s="16"/>
    </row>
    <row r="128" spans="1:1" ht="14.25" customHeight="1">
      <c r="A128" s="16"/>
    </row>
    <row r="129" spans="1:1" ht="14.25" customHeight="1">
      <c r="A129" s="16"/>
    </row>
    <row r="130" spans="1:1" ht="14.25" customHeight="1">
      <c r="A130" s="16"/>
    </row>
    <row r="131" spans="1:1" ht="14.25" customHeight="1">
      <c r="A131" s="16"/>
    </row>
    <row r="132" spans="1:1" ht="14.25" customHeight="1">
      <c r="A132" s="16"/>
    </row>
    <row r="133" spans="1:1" ht="14.25" customHeight="1">
      <c r="A133" s="16"/>
    </row>
    <row r="134" spans="1:1" ht="14.25" customHeight="1">
      <c r="A134" s="16"/>
    </row>
    <row r="135" spans="1:1" ht="14.25" customHeight="1">
      <c r="A135" s="16"/>
    </row>
    <row r="136" spans="1:1" ht="14.25" customHeight="1">
      <c r="A136" s="16"/>
    </row>
    <row r="137" spans="1:1" ht="14.25" customHeight="1">
      <c r="A137" s="16"/>
    </row>
    <row r="138" spans="1:1" ht="14.25" customHeight="1">
      <c r="A138" s="16"/>
    </row>
    <row r="139" spans="1:1" ht="14.25" customHeight="1">
      <c r="A139" s="16"/>
    </row>
    <row r="140" spans="1:1" ht="14.25" customHeight="1">
      <c r="A140" s="16"/>
    </row>
    <row r="141" spans="1:1" ht="14.25" customHeight="1">
      <c r="A141" s="16"/>
    </row>
    <row r="142" spans="1:1" ht="14.25" customHeight="1">
      <c r="A142" s="16"/>
    </row>
    <row r="143" spans="1:1" ht="14.25" customHeight="1">
      <c r="A143" s="16"/>
    </row>
    <row r="144" spans="1:1" ht="14.25" customHeight="1">
      <c r="A144" s="16"/>
    </row>
    <row r="145" spans="1:1" ht="14.25" customHeight="1">
      <c r="A145" s="16"/>
    </row>
    <row r="146" spans="1:1" ht="14.25" customHeight="1">
      <c r="A146" s="16"/>
    </row>
    <row r="147" spans="1:1" ht="14.25" customHeight="1">
      <c r="A147" s="16"/>
    </row>
    <row r="148" spans="1:1" ht="14.25" customHeight="1">
      <c r="A148" s="16"/>
    </row>
    <row r="149" spans="1:1" ht="14.25" customHeight="1">
      <c r="A149" s="16"/>
    </row>
    <row r="150" spans="1:1" ht="14.25" customHeight="1">
      <c r="A150" s="16"/>
    </row>
    <row r="151" spans="1:1" ht="14.25" customHeight="1">
      <c r="A151" s="16"/>
    </row>
    <row r="152" spans="1:1" ht="14.25" customHeight="1">
      <c r="A152" s="16"/>
    </row>
    <row r="153" spans="1:1" ht="14.25" customHeight="1">
      <c r="A153" s="16"/>
    </row>
    <row r="154" spans="1:1" ht="14.25" customHeight="1">
      <c r="A154" s="16"/>
    </row>
    <row r="155" spans="1:1" ht="14.25" customHeight="1">
      <c r="A155" s="16"/>
    </row>
    <row r="156" spans="1:1" ht="14.25" customHeight="1">
      <c r="A156" s="16"/>
    </row>
    <row r="157" spans="1:1" ht="14.25" customHeight="1">
      <c r="A157" s="16"/>
    </row>
    <row r="158" spans="1:1" ht="14.25" customHeight="1">
      <c r="A158" s="16"/>
    </row>
    <row r="159" spans="1:1" ht="14.25" customHeight="1">
      <c r="A159" s="16"/>
    </row>
    <row r="160" spans="1:1" ht="14.25" customHeight="1">
      <c r="A160" s="16"/>
    </row>
    <row r="161" spans="1:1" ht="14.25" customHeight="1">
      <c r="A161" s="16"/>
    </row>
    <row r="162" spans="1:1" ht="14.25" customHeight="1">
      <c r="A162" s="16"/>
    </row>
    <row r="163" spans="1:1" ht="14.25" customHeight="1">
      <c r="A163" s="16"/>
    </row>
    <row r="164" spans="1:1" ht="14.25" customHeight="1">
      <c r="A164" s="16"/>
    </row>
    <row r="165" spans="1:1" ht="14.25" customHeight="1">
      <c r="A165" s="16"/>
    </row>
    <row r="166" spans="1:1" ht="14.25" customHeight="1">
      <c r="A166" s="16"/>
    </row>
    <row r="167" spans="1:1" ht="14.25" customHeight="1">
      <c r="A167" s="16"/>
    </row>
    <row r="168" spans="1:1" ht="14.25" customHeight="1">
      <c r="A168" s="16"/>
    </row>
    <row r="169" spans="1:1" ht="14.25" customHeight="1">
      <c r="A169" s="16"/>
    </row>
    <row r="170" spans="1:1" ht="14.25" customHeight="1">
      <c r="A170" s="16"/>
    </row>
    <row r="171" spans="1:1" ht="14.25" customHeight="1">
      <c r="A171" s="16"/>
    </row>
    <row r="172" spans="1:1" ht="14.25" customHeight="1">
      <c r="A172" s="16"/>
    </row>
    <row r="173" spans="1:1" ht="14.25" customHeight="1">
      <c r="A173" s="16"/>
    </row>
    <row r="174" spans="1:1" ht="14.25" customHeight="1">
      <c r="A174" s="16"/>
    </row>
    <row r="175" spans="1:1" ht="14.25" customHeight="1">
      <c r="A175" s="16"/>
    </row>
    <row r="176" spans="1:1" ht="14.25" customHeight="1">
      <c r="A176" s="16"/>
    </row>
    <row r="177" spans="1:1" ht="14.25" customHeight="1">
      <c r="A177" s="16"/>
    </row>
    <row r="178" spans="1:1" ht="14.25" customHeight="1">
      <c r="A178" s="16"/>
    </row>
    <row r="179" spans="1:1" ht="14.25" customHeight="1">
      <c r="A179" s="16"/>
    </row>
    <row r="180" spans="1:1" ht="14.25" customHeight="1">
      <c r="A180" s="16"/>
    </row>
    <row r="181" spans="1:1" ht="14.25" customHeight="1">
      <c r="A181" s="16"/>
    </row>
    <row r="182" spans="1:1" ht="14.25" customHeight="1">
      <c r="A182" s="16"/>
    </row>
    <row r="183" spans="1:1" ht="14.25" customHeight="1">
      <c r="A183" s="16"/>
    </row>
    <row r="184" spans="1:1" ht="14.25" customHeight="1">
      <c r="A184" s="16"/>
    </row>
    <row r="185" spans="1:1" ht="14.25" customHeight="1">
      <c r="A185" s="16"/>
    </row>
    <row r="186" spans="1:1" ht="14.25" customHeight="1">
      <c r="A186" s="16"/>
    </row>
    <row r="187" spans="1:1" ht="14.25" customHeight="1">
      <c r="A187" s="16"/>
    </row>
    <row r="188" spans="1:1" ht="14.25" customHeight="1">
      <c r="A188" s="16"/>
    </row>
    <row r="189" spans="1:1" ht="14.25" customHeight="1">
      <c r="A189" s="16"/>
    </row>
    <row r="190" spans="1:1" ht="14.25" customHeight="1">
      <c r="A190" s="16"/>
    </row>
    <row r="191" spans="1:1" ht="14.25" customHeight="1">
      <c r="A191" s="16"/>
    </row>
    <row r="192" spans="1:1" ht="14.25" customHeight="1">
      <c r="A192" s="16"/>
    </row>
    <row r="193" spans="1:1" ht="14.25" customHeight="1">
      <c r="A193" s="16"/>
    </row>
    <row r="194" spans="1:1" ht="14.25" customHeight="1">
      <c r="A194" s="16"/>
    </row>
    <row r="195" spans="1:1" ht="14.25" customHeight="1">
      <c r="A195" s="16"/>
    </row>
    <row r="196" spans="1:1" ht="14.25" customHeight="1">
      <c r="A196" s="16"/>
    </row>
    <row r="197" spans="1:1" ht="14.25" customHeight="1">
      <c r="A197" s="16"/>
    </row>
    <row r="198" spans="1:1" ht="14.25" customHeight="1">
      <c r="A198" s="16"/>
    </row>
    <row r="199" spans="1:1" ht="14.25" customHeight="1">
      <c r="A199" s="16"/>
    </row>
    <row r="200" spans="1:1" ht="14.25" customHeight="1">
      <c r="A200" s="16"/>
    </row>
    <row r="201" spans="1:1" ht="14.25" customHeight="1">
      <c r="A201" s="16"/>
    </row>
    <row r="202" spans="1:1" ht="14.25" customHeight="1">
      <c r="A202" s="16"/>
    </row>
    <row r="203" spans="1:1" ht="14.25" customHeight="1">
      <c r="A203" s="16"/>
    </row>
    <row r="204" spans="1:1" ht="14.25" customHeight="1">
      <c r="A204" s="16"/>
    </row>
    <row r="205" spans="1:1" ht="14.25" customHeight="1">
      <c r="A205" s="16"/>
    </row>
    <row r="206" spans="1:1" ht="14.25" customHeight="1">
      <c r="A206" s="16"/>
    </row>
    <row r="207" spans="1:1" ht="14.25" customHeight="1">
      <c r="A207" s="16"/>
    </row>
    <row r="208" spans="1:1" ht="14.25" customHeight="1">
      <c r="A208" s="16"/>
    </row>
    <row r="209" spans="1:1" ht="14.25" customHeight="1">
      <c r="A209" s="16"/>
    </row>
    <row r="210" spans="1:1" ht="14.25" customHeight="1">
      <c r="A210" s="16"/>
    </row>
    <row r="211" spans="1:1" ht="14.25" customHeight="1">
      <c r="A211" s="16"/>
    </row>
    <row r="212" spans="1:1" ht="14.25" customHeight="1">
      <c r="A212" s="16"/>
    </row>
    <row r="213" spans="1:1" ht="14.25" customHeight="1">
      <c r="A213" s="16"/>
    </row>
    <row r="214" spans="1:1" ht="14.25" customHeight="1">
      <c r="A214" s="16"/>
    </row>
    <row r="215" spans="1:1" ht="14.25" customHeight="1">
      <c r="A215" s="16"/>
    </row>
    <row r="216" spans="1:1" ht="14.25" customHeight="1">
      <c r="A216" s="16"/>
    </row>
    <row r="217" spans="1:1" ht="14.25" customHeight="1">
      <c r="A217" s="16"/>
    </row>
    <row r="218" spans="1:1" ht="14.25" customHeight="1">
      <c r="A218" s="16"/>
    </row>
    <row r="219" spans="1:1" ht="14.25" customHeight="1">
      <c r="A219" s="16"/>
    </row>
    <row r="220" spans="1:1" ht="14.25" customHeight="1">
      <c r="A220" s="16"/>
    </row>
    <row r="221" spans="1:1" ht="14.25" customHeight="1">
      <c r="A221" s="16"/>
    </row>
    <row r="222" spans="1:1" ht="14.25" customHeight="1">
      <c r="A222" s="16"/>
    </row>
    <row r="223" spans="1:1" ht="14.25" customHeight="1">
      <c r="A223" s="16"/>
    </row>
    <row r="224" spans="1:1" ht="14.25" customHeight="1">
      <c r="A224" s="16"/>
    </row>
    <row r="225" spans="1:1" ht="14.25" customHeight="1">
      <c r="A225" s="16"/>
    </row>
    <row r="226" spans="1:1" ht="14.25" customHeight="1">
      <c r="A226" s="16"/>
    </row>
    <row r="227" spans="1:1" ht="14.25" customHeight="1">
      <c r="A227" s="16"/>
    </row>
    <row r="228" spans="1:1" ht="14.25" customHeight="1">
      <c r="A228" s="16"/>
    </row>
    <row r="229" spans="1:1" ht="14.25" customHeight="1">
      <c r="A229" s="16"/>
    </row>
    <row r="230" spans="1:1" ht="14.25" customHeight="1">
      <c r="A230" s="16"/>
    </row>
    <row r="231" spans="1:1" ht="14.25" customHeight="1">
      <c r="A231" s="16"/>
    </row>
    <row r="232" spans="1:1" ht="14.25" customHeight="1">
      <c r="A232" s="16"/>
    </row>
    <row r="233" spans="1:1" ht="14.25" customHeight="1">
      <c r="A233" s="16"/>
    </row>
    <row r="234" spans="1:1" ht="14.25" customHeight="1">
      <c r="A234" s="16"/>
    </row>
    <row r="235" spans="1:1" ht="14.25" customHeight="1">
      <c r="A235" s="16"/>
    </row>
    <row r="236" spans="1:1" ht="14.25" customHeight="1">
      <c r="A236" s="16"/>
    </row>
    <row r="237" spans="1:1" ht="14.25" customHeight="1">
      <c r="A237" s="16"/>
    </row>
    <row r="238" spans="1:1" ht="14.25" customHeight="1">
      <c r="A238" s="16"/>
    </row>
    <row r="239" spans="1:1" ht="14.25" customHeight="1">
      <c r="A239" s="16"/>
    </row>
    <row r="240" spans="1:1" ht="14.25" customHeight="1">
      <c r="A240" s="16"/>
    </row>
    <row r="241" spans="1:1" ht="14.25" customHeight="1">
      <c r="A241" s="16"/>
    </row>
    <row r="242" spans="1:1" ht="14.25" customHeight="1">
      <c r="A242" s="16"/>
    </row>
    <row r="243" spans="1:1" ht="14.25" customHeight="1">
      <c r="A243" s="16"/>
    </row>
    <row r="244" spans="1:1" ht="14.25" customHeight="1">
      <c r="A244" s="16"/>
    </row>
    <row r="245" spans="1:1" ht="14.25" customHeight="1">
      <c r="A245" s="16"/>
    </row>
    <row r="246" spans="1:1" ht="14.25" customHeight="1">
      <c r="A246" s="16"/>
    </row>
    <row r="247" spans="1:1" ht="14.25" customHeight="1">
      <c r="A247" s="16"/>
    </row>
    <row r="248" spans="1:1" ht="14.25" customHeight="1">
      <c r="A248" s="16"/>
    </row>
    <row r="249" spans="1:1" ht="14.25" customHeight="1">
      <c r="A249" s="16"/>
    </row>
    <row r="250" spans="1:1" ht="14.25" customHeight="1">
      <c r="A250" s="16"/>
    </row>
    <row r="251" spans="1:1" ht="14.25" customHeight="1">
      <c r="A251" s="16"/>
    </row>
    <row r="252" spans="1:1" ht="14.25" customHeight="1">
      <c r="A252" s="16"/>
    </row>
    <row r="253" spans="1:1" ht="14.25" customHeight="1">
      <c r="A253" s="16"/>
    </row>
    <row r="254" spans="1:1" ht="14.25" customHeight="1">
      <c r="A254" s="16"/>
    </row>
    <row r="255" spans="1:1" ht="14.25" customHeight="1">
      <c r="A255" s="16"/>
    </row>
    <row r="256" spans="1:1" ht="14.25" customHeight="1">
      <c r="A256" s="16"/>
    </row>
    <row r="257" spans="1:1" ht="14.25" customHeight="1">
      <c r="A257" s="16"/>
    </row>
    <row r="258" spans="1:1" ht="14.25" customHeight="1">
      <c r="A258" s="16"/>
    </row>
    <row r="259" spans="1:1" ht="14.25" customHeight="1">
      <c r="A259" s="16"/>
    </row>
    <row r="260" spans="1:1" ht="14.25" customHeight="1">
      <c r="A260" s="16"/>
    </row>
    <row r="261" spans="1:1" ht="14.25" customHeight="1">
      <c r="A261" s="16"/>
    </row>
    <row r="262" spans="1:1" ht="14.25" customHeight="1">
      <c r="A262" s="16"/>
    </row>
    <row r="263" spans="1:1" ht="14.25" customHeight="1">
      <c r="A263" s="16"/>
    </row>
    <row r="264" spans="1:1" ht="14.25" customHeight="1">
      <c r="A264" s="16"/>
    </row>
    <row r="265" spans="1:1" ht="14.25" customHeight="1">
      <c r="A265" s="16"/>
    </row>
    <row r="266" spans="1:1" ht="14.25" customHeight="1">
      <c r="A266" s="16"/>
    </row>
    <row r="267" spans="1:1" ht="14.25" customHeight="1">
      <c r="A267" s="16"/>
    </row>
    <row r="268" spans="1:1" ht="14.25" customHeight="1">
      <c r="A268" s="16"/>
    </row>
    <row r="269" spans="1:1" ht="14.25" customHeight="1">
      <c r="A269" s="16"/>
    </row>
    <row r="270" spans="1:1" ht="14.25" customHeight="1">
      <c r="A270" s="16"/>
    </row>
    <row r="271" spans="1:1" ht="14.25" customHeight="1">
      <c r="A271" s="16"/>
    </row>
    <row r="272" spans="1:1" ht="14.25" customHeight="1">
      <c r="A272" s="16"/>
    </row>
    <row r="273" spans="1:1" ht="14.25" customHeight="1">
      <c r="A273" s="16"/>
    </row>
    <row r="274" spans="1:1" ht="14.25" customHeight="1">
      <c r="A274" s="16"/>
    </row>
    <row r="275" spans="1:1" ht="14.25" customHeight="1">
      <c r="A275" s="16"/>
    </row>
    <row r="276" spans="1:1" ht="14.25" customHeight="1">
      <c r="A276" s="16"/>
    </row>
    <row r="277" spans="1:1" ht="14.25" customHeight="1">
      <c r="A277" s="16"/>
    </row>
    <row r="278" spans="1:1" ht="14.25" customHeight="1">
      <c r="A278" s="16"/>
    </row>
    <row r="279" spans="1:1" ht="14.25" customHeight="1">
      <c r="A279" s="16"/>
    </row>
    <row r="280" spans="1:1" ht="14.25" customHeight="1">
      <c r="A280" s="16"/>
    </row>
    <row r="281" spans="1:1" ht="14.25" customHeight="1">
      <c r="A281" s="16"/>
    </row>
    <row r="282" spans="1:1" ht="14.25" customHeight="1">
      <c r="A282" s="16"/>
    </row>
    <row r="283" spans="1:1" ht="14.25" customHeight="1">
      <c r="A283" s="16"/>
    </row>
    <row r="284" spans="1:1" ht="14.25" customHeight="1">
      <c r="A284" s="16"/>
    </row>
    <row r="285" spans="1:1" ht="14.25" customHeight="1">
      <c r="A285" s="16"/>
    </row>
    <row r="286" spans="1:1" ht="14.25" customHeight="1">
      <c r="A286" s="16"/>
    </row>
    <row r="287" spans="1:1" ht="14.25" customHeight="1">
      <c r="A287" s="16"/>
    </row>
    <row r="288" spans="1:1" ht="14.25" customHeight="1">
      <c r="A288" s="16"/>
    </row>
    <row r="289" spans="1:1" ht="14.25" customHeight="1">
      <c r="A289" s="16"/>
    </row>
    <row r="290" spans="1:1" ht="14.25" customHeight="1">
      <c r="A290" s="16"/>
    </row>
    <row r="291" spans="1:1" ht="14.25" customHeight="1">
      <c r="A291" s="16"/>
    </row>
    <row r="292" spans="1:1" ht="14.25" customHeight="1">
      <c r="A292" s="16"/>
    </row>
    <row r="293" spans="1:1" ht="14.25" customHeight="1">
      <c r="A293" s="16"/>
    </row>
    <row r="294" spans="1:1" ht="14.25" customHeight="1">
      <c r="A294" s="16"/>
    </row>
    <row r="295" spans="1:1" ht="14.25" customHeight="1">
      <c r="A295" s="16"/>
    </row>
    <row r="296" spans="1:1" ht="14.25" customHeight="1">
      <c r="A296" s="16"/>
    </row>
    <row r="297" spans="1:1" ht="14.25" customHeight="1">
      <c r="A297" s="16"/>
    </row>
    <row r="298" spans="1:1" ht="14.25" customHeight="1">
      <c r="A298" s="16"/>
    </row>
    <row r="299" spans="1:1" ht="14.25" customHeight="1">
      <c r="A299" s="16"/>
    </row>
    <row r="300" spans="1:1" ht="14.25" customHeight="1">
      <c r="A300" s="16"/>
    </row>
    <row r="301" spans="1:1" ht="14.25" customHeight="1">
      <c r="A301" s="16"/>
    </row>
    <row r="302" spans="1:1" ht="14.25" customHeight="1">
      <c r="A302" s="16"/>
    </row>
    <row r="303" spans="1:1" ht="14.25" customHeight="1">
      <c r="A303" s="16"/>
    </row>
    <row r="304" spans="1:1" ht="14.25" customHeight="1">
      <c r="A304" s="16"/>
    </row>
    <row r="305" spans="1:1" ht="14.25" customHeight="1">
      <c r="A305" s="16"/>
    </row>
    <row r="306" spans="1:1" ht="14.25" customHeight="1">
      <c r="A306" s="16"/>
    </row>
    <row r="307" spans="1:1" ht="14.25" customHeight="1">
      <c r="A307" s="16"/>
    </row>
    <row r="308" spans="1:1" ht="14.25" customHeight="1">
      <c r="A308" s="16"/>
    </row>
    <row r="309" spans="1:1" ht="14.25" customHeight="1">
      <c r="A309" s="16"/>
    </row>
    <row r="310" spans="1:1" ht="14.25" customHeight="1">
      <c r="A310" s="16"/>
    </row>
    <row r="311" spans="1:1" ht="14.25" customHeight="1">
      <c r="A311" s="16"/>
    </row>
    <row r="312" spans="1:1" ht="14.25" customHeight="1">
      <c r="A312" s="16"/>
    </row>
    <row r="313" spans="1:1" ht="14.25" customHeight="1">
      <c r="A313" s="16"/>
    </row>
    <row r="314" spans="1:1" ht="14.25" customHeight="1">
      <c r="A314" s="16"/>
    </row>
    <row r="315" spans="1:1" ht="14.25" customHeight="1">
      <c r="A315" s="16"/>
    </row>
    <row r="316" spans="1:1" ht="14.25" customHeight="1">
      <c r="A316" s="16"/>
    </row>
    <row r="317" spans="1:1" ht="14.25" customHeight="1">
      <c r="A317" s="16"/>
    </row>
    <row r="318" spans="1:1" ht="14.25" customHeight="1">
      <c r="A318" s="16"/>
    </row>
    <row r="319" spans="1:1" ht="14.25" customHeight="1">
      <c r="A319" s="16"/>
    </row>
    <row r="320" spans="1:1" ht="14.25" customHeight="1">
      <c r="A320" s="16"/>
    </row>
    <row r="321" spans="1:1" ht="14.25" customHeight="1">
      <c r="A321" s="16"/>
    </row>
    <row r="322" spans="1:1" ht="14.25" customHeight="1">
      <c r="A322" s="16"/>
    </row>
    <row r="323" spans="1:1" ht="14.25" customHeight="1">
      <c r="A323" s="16"/>
    </row>
    <row r="324" spans="1:1" ht="14.25" customHeight="1">
      <c r="A324" s="16"/>
    </row>
    <row r="325" spans="1:1" ht="14.25" customHeight="1">
      <c r="A325" s="16"/>
    </row>
    <row r="326" spans="1:1" ht="14.25" customHeight="1">
      <c r="A326" s="16"/>
    </row>
    <row r="327" spans="1:1" ht="14.25" customHeight="1">
      <c r="A327" s="16"/>
    </row>
    <row r="328" spans="1:1" ht="14.25" customHeight="1">
      <c r="A328" s="16"/>
    </row>
    <row r="329" spans="1:1" ht="14.25" customHeight="1">
      <c r="A329" s="16"/>
    </row>
    <row r="330" spans="1:1" ht="14.25" customHeight="1">
      <c r="A330" s="16"/>
    </row>
    <row r="331" spans="1:1" ht="14.25" customHeight="1">
      <c r="A331" s="16"/>
    </row>
    <row r="332" spans="1:1" ht="14.25" customHeight="1">
      <c r="A332" s="16"/>
    </row>
    <row r="333" spans="1:1" ht="14.25" customHeight="1">
      <c r="A333" s="16"/>
    </row>
    <row r="334" spans="1:1" ht="14.25" customHeight="1">
      <c r="A334" s="16"/>
    </row>
    <row r="335" spans="1:1" ht="14.25" customHeight="1">
      <c r="A335" s="16"/>
    </row>
    <row r="336" spans="1:1" ht="14.25" customHeight="1">
      <c r="A336" s="16"/>
    </row>
    <row r="337" spans="1:1" ht="14.25" customHeight="1">
      <c r="A337" s="16"/>
    </row>
    <row r="338" spans="1:1" ht="14.25" customHeight="1">
      <c r="A338" s="16"/>
    </row>
    <row r="339" spans="1:1" ht="14.25" customHeight="1">
      <c r="A339" s="16"/>
    </row>
    <row r="340" spans="1:1" ht="14.25" customHeight="1">
      <c r="A340" s="16"/>
    </row>
    <row r="341" spans="1:1" ht="14.25" customHeight="1">
      <c r="A341" s="16"/>
    </row>
    <row r="342" spans="1:1" ht="14.25" customHeight="1">
      <c r="A342" s="16"/>
    </row>
    <row r="343" spans="1:1" ht="14.25" customHeight="1">
      <c r="A343" s="16"/>
    </row>
    <row r="344" spans="1:1" ht="14.25" customHeight="1">
      <c r="A344" s="16"/>
    </row>
    <row r="345" spans="1:1" ht="14.25" customHeight="1">
      <c r="A345" s="16"/>
    </row>
    <row r="346" spans="1:1" ht="14.25" customHeight="1">
      <c r="A346" s="16"/>
    </row>
    <row r="347" spans="1:1" ht="14.25" customHeight="1">
      <c r="A347" s="16"/>
    </row>
    <row r="348" spans="1:1" ht="14.25" customHeight="1">
      <c r="A348" s="16"/>
    </row>
    <row r="349" spans="1:1" ht="14.25" customHeight="1">
      <c r="A349" s="16"/>
    </row>
    <row r="350" spans="1:1" ht="14.25" customHeight="1">
      <c r="A350" s="16"/>
    </row>
    <row r="351" spans="1:1" ht="14.25" customHeight="1">
      <c r="A351" s="16"/>
    </row>
    <row r="352" spans="1:1" ht="14.25" customHeight="1">
      <c r="A352" s="16"/>
    </row>
    <row r="353" spans="1:1" ht="14.25" customHeight="1">
      <c r="A353" s="16"/>
    </row>
    <row r="354" spans="1:1" ht="14.25" customHeight="1">
      <c r="A354" s="16"/>
    </row>
    <row r="355" spans="1:1" ht="14.25" customHeight="1">
      <c r="A355" s="16"/>
    </row>
    <row r="356" spans="1:1" ht="14.25" customHeight="1">
      <c r="A356" s="16"/>
    </row>
    <row r="357" spans="1:1" ht="14.25" customHeight="1">
      <c r="A357" s="16"/>
    </row>
    <row r="358" spans="1:1" ht="14.25" customHeight="1">
      <c r="A358" s="16"/>
    </row>
    <row r="359" spans="1:1" ht="14.25" customHeight="1">
      <c r="A359" s="16"/>
    </row>
    <row r="360" spans="1:1" ht="14.25" customHeight="1">
      <c r="A360" s="16"/>
    </row>
    <row r="361" spans="1:1" ht="14.25" customHeight="1">
      <c r="A361" s="16"/>
    </row>
    <row r="362" spans="1:1" ht="14.25" customHeight="1">
      <c r="A362" s="16"/>
    </row>
    <row r="363" spans="1:1" ht="14.25" customHeight="1">
      <c r="A363" s="16"/>
    </row>
    <row r="364" spans="1:1" ht="14.25" customHeight="1">
      <c r="A364" s="16"/>
    </row>
    <row r="365" spans="1:1" ht="14.25" customHeight="1">
      <c r="A365" s="16"/>
    </row>
    <row r="366" spans="1:1" ht="14.25" customHeight="1">
      <c r="A366" s="16"/>
    </row>
    <row r="367" spans="1:1" ht="14.25" customHeight="1">
      <c r="A367" s="16"/>
    </row>
    <row r="368" spans="1:1" ht="14.25" customHeight="1">
      <c r="A368" s="16"/>
    </row>
    <row r="369" spans="1:1" ht="14.25" customHeight="1">
      <c r="A369" s="16"/>
    </row>
    <row r="370" spans="1:1" ht="14.25" customHeight="1">
      <c r="A370" s="16"/>
    </row>
    <row r="371" spans="1:1" ht="14.25" customHeight="1">
      <c r="A371" s="16"/>
    </row>
    <row r="372" spans="1:1" ht="14.25" customHeight="1">
      <c r="A372" s="16"/>
    </row>
    <row r="373" spans="1:1" ht="14.25" customHeight="1">
      <c r="A373" s="16"/>
    </row>
    <row r="374" spans="1:1" ht="14.25" customHeight="1">
      <c r="A374" s="16"/>
    </row>
    <row r="375" spans="1:1" ht="14.25" customHeight="1">
      <c r="A375" s="16"/>
    </row>
    <row r="376" spans="1:1" ht="14.25" customHeight="1">
      <c r="A376" s="16"/>
    </row>
    <row r="377" spans="1:1" ht="14.25" customHeight="1">
      <c r="A377" s="16"/>
    </row>
    <row r="378" spans="1:1" ht="14.25" customHeight="1">
      <c r="A378" s="16"/>
    </row>
    <row r="379" spans="1:1" ht="14.25" customHeight="1">
      <c r="A379" s="16"/>
    </row>
    <row r="380" spans="1:1" ht="14.25" customHeight="1">
      <c r="A380" s="16"/>
    </row>
    <row r="381" spans="1:1" ht="14.25" customHeight="1">
      <c r="A381" s="16"/>
    </row>
    <row r="382" spans="1:1" ht="14.25" customHeight="1">
      <c r="A382" s="16"/>
    </row>
    <row r="383" spans="1:1" ht="14.25" customHeight="1">
      <c r="A383" s="16"/>
    </row>
    <row r="384" spans="1:1" ht="14.25" customHeight="1">
      <c r="A384" s="16"/>
    </row>
    <row r="385" spans="1:1" ht="14.25" customHeight="1">
      <c r="A385" s="16"/>
    </row>
    <row r="386" spans="1:1" ht="14.25" customHeight="1">
      <c r="A386" s="16"/>
    </row>
    <row r="387" spans="1:1" ht="14.25" customHeight="1">
      <c r="A387" s="16"/>
    </row>
    <row r="388" spans="1:1" ht="14.25" customHeight="1">
      <c r="A388" s="16"/>
    </row>
    <row r="389" spans="1:1" ht="14.25" customHeight="1">
      <c r="A389" s="16"/>
    </row>
    <row r="390" spans="1:1" ht="14.25" customHeight="1">
      <c r="A390" s="16"/>
    </row>
    <row r="391" spans="1:1" ht="14.25" customHeight="1">
      <c r="A391" s="16"/>
    </row>
    <row r="392" spans="1:1" ht="14.25" customHeight="1">
      <c r="A392" s="16"/>
    </row>
    <row r="393" spans="1:1" ht="14.25" customHeight="1">
      <c r="A393" s="16"/>
    </row>
    <row r="394" spans="1:1" ht="14.25" customHeight="1">
      <c r="A394" s="16"/>
    </row>
    <row r="395" spans="1:1" ht="14.25" customHeight="1">
      <c r="A395" s="16"/>
    </row>
    <row r="396" spans="1:1" ht="14.25" customHeight="1">
      <c r="A396" s="16"/>
    </row>
    <row r="397" spans="1:1" ht="14.25" customHeight="1">
      <c r="A397" s="16"/>
    </row>
    <row r="398" spans="1:1" ht="14.25" customHeight="1">
      <c r="A398" s="16"/>
    </row>
    <row r="399" spans="1:1" ht="14.25" customHeight="1">
      <c r="A399" s="16"/>
    </row>
    <row r="400" spans="1:1" ht="14.25" customHeight="1">
      <c r="A400" s="16"/>
    </row>
    <row r="401" spans="1:1" ht="14.25" customHeight="1">
      <c r="A401" s="16"/>
    </row>
    <row r="402" spans="1:1" ht="14.25" customHeight="1">
      <c r="A402" s="16"/>
    </row>
    <row r="403" spans="1:1" ht="14.25" customHeight="1">
      <c r="A403" s="16"/>
    </row>
    <row r="404" spans="1:1" ht="14.25" customHeight="1">
      <c r="A404" s="16"/>
    </row>
    <row r="405" spans="1:1" ht="14.25" customHeight="1">
      <c r="A405" s="16"/>
    </row>
    <row r="406" spans="1:1" ht="14.25" customHeight="1">
      <c r="A406" s="16"/>
    </row>
    <row r="407" spans="1:1" ht="14.25" customHeight="1">
      <c r="A407" s="16"/>
    </row>
    <row r="408" spans="1:1" ht="14.25" customHeight="1">
      <c r="A408" s="16"/>
    </row>
    <row r="409" spans="1:1" ht="14.25" customHeight="1">
      <c r="A409" s="16"/>
    </row>
    <row r="410" spans="1:1" ht="14.25" customHeight="1">
      <c r="A410" s="16"/>
    </row>
    <row r="411" spans="1:1" ht="14.25" customHeight="1">
      <c r="A411" s="16"/>
    </row>
    <row r="412" spans="1:1" ht="14.25" customHeight="1">
      <c r="A412" s="16"/>
    </row>
    <row r="413" spans="1:1" ht="14.25" customHeight="1">
      <c r="A413" s="16"/>
    </row>
    <row r="414" spans="1:1" ht="14.25" customHeight="1">
      <c r="A414" s="16"/>
    </row>
    <row r="415" spans="1:1" ht="14.25" customHeight="1">
      <c r="A415" s="16"/>
    </row>
    <row r="416" spans="1:1" ht="14.25" customHeight="1">
      <c r="A416" s="16"/>
    </row>
    <row r="417" spans="1:1" ht="14.25" customHeight="1">
      <c r="A417" s="16"/>
    </row>
    <row r="418" spans="1:1" ht="14.25" customHeight="1">
      <c r="A418" s="16"/>
    </row>
    <row r="419" spans="1:1" ht="14.25" customHeight="1">
      <c r="A419" s="16"/>
    </row>
    <row r="420" spans="1:1" ht="14.25" customHeight="1">
      <c r="A420" s="16"/>
    </row>
    <row r="421" spans="1:1" ht="14.25" customHeight="1">
      <c r="A421" s="16"/>
    </row>
    <row r="422" spans="1:1" ht="14.25" customHeight="1">
      <c r="A422" s="16"/>
    </row>
    <row r="423" spans="1:1" ht="14.25" customHeight="1">
      <c r="A423" s="16"/>
    </row>
    <row r="424" spans="1:1" ht="14.25" customHeight="1">
      <c r="A424" s="16"/>
    </row>
    <row r="425" spans="1:1" ht="14.25" customHeight="1">
      <c r="A425" s="16"/>
    </row>
    <row r="426" spans="1:1" ht="14.25" customHeight="1">
      <c r="A426" s="16"/>
    </row>
    <row r="427" spans="1:1" ht="14.25" customHeight="1">
      <c r="A427" s="16"/>
    </row>
    <row r="428" spans="1:1" ht="14.25" customHeight="1">
      <c r="A428" s="16"/>
    </row>
    <row r="429" spans="1:1" ht="14.25" customHeight="1">
      <c r="A429" s="16"/>
    </row>
    <row r="430" spans="1:1" ht="14.25" customHeight="1">
      <c r="A430" s="16"/>
    </row>
    <row r="431" spans="1:1" ht="14.25" customHeight="1">
      <c r="A431" s="16"/>
    </row>
    <row r="432" spans="1:1" ht="14.25" customHeight="1">
      <c r="A432" s="16"/>
    </row>
    <row r="433" spans="1:1" ht="14.25" customHeight="1">
      <c r="A433" s="16"/>
    </row>
    <row r="434" spans="1:1" ht="14.25" customHeight="1">
      <c r="A434" s="16"/>
    </row>
    <row r="435" spans="1:1" ht="14.25" customHeight="1">
      <c r="A435" s="16"/>
    </row>
    <row r="436" spans="1:1" ht="14.25" customHeight="1">
      <c r="A436" s="16"/>
    </row>
    <row r="437" spans="1:1" ht="14.25" customHeight="1">
      <c r="A437" s="16"/>
    </row>
    <row r="438" spans="1:1" ht="14.25" customHeight="1">
      <c r="A438" s="16"/>
    </row>
    <row r="439" spans="1:1" ht="14.25" customHeight="1">
      <c r="A439" s="16"/>
    </row>
    <row r="440" spans="1:1" ht="14.25" customHeight="1">
      <c r="A440" s="16"/>
    </row>
    <row r="441" spans="1:1" ht="14.25" customHeight="1">
      <c r="A441" s="16"/>
    </row>
    <row r="442" spans="1:1" ht="14.25" customHeight="1">
      <c r="A442" s="16"/>
    </row>
    <row r="443" spans="1:1" ht="14.25" customHeight="1">
      <c r="A443" s="16"/>
    </row>
    <row r="444" spans="1:1" ht="14.25" customHeight="1">
      <c r="A444" s="16"/>
    </row>
    <row r="445" spans="1:1" ht="14.25" customHeight="1">
      <c r="A445" s="16"/>
    </row>
    <row r="446" spans="1:1" ht="14.25" customHeight="1">
      <c r="A446" s="16"/>
    </row>
    <row r="447" spans="1:1" ht="14.25" customHeight="1">
      <c r="A447" s="16"/>
    </row>
    <row r="448" spans="1:1" ht="14.25" customHeight="1">
      <c r="A448" s="16"/>
    </row>
    <row r="449" spans="1:1" ht="14.25" customHeight="1">
      <c r="A449" s="16"/>
    </row>
    <row r="450" spans="1:1" ht="14.25" customHeight="1">
      <c r="A450" s="16"/>
    </row>
    <row r="451" spans="1:1" ht="14.25" customHeight="1">
      <c r="A451" s="16"/>
    </row>
    <row r="452" spans="1:1" ht="14.25" customHeight="1">
      <c r="A452" s="16"/>
    </row>
    <row r="453" spans="1:1" ht="14.25" customHeight="1">
      <c r="A453" s="16"/>
    </row>
    <row r="454" spans="1:1" ht="14.25" customHeight="1">
      <c r="A454" s="16"/>
    </row>
    <row r="455" spans="1:1" ht="14.25" customHeight="1">
      <c r="A455" s="16"/>
    </row>
    <row r="456" spans="1:1" ht="14.25" customHeight="1">
      <c r="A456" s="16"/>
    </row>
    <row r="457" spans="1:1" ht="14.25" customHeight="1">
      <c r="A457" s="16"/>
    </row>
    <row r="458" spans="1:1" ht="14.25" customHeight="1">
      <c r="A458" s="16"/>
    </row>
    <row r="459" spans="1:1" ht="14.25" customHeight="1">
      <c r="A459" s="16"/>
    </row>
    <row r="460" spans="1:1" ht="14.25" customHeight="1">
      <c r="A460" s="16"/>
    </row>
    <row r="461" spans="1:1" ht="14.25" customHeight="1">
      <c r="A461" s="16"/>
    </row>
    <row r="462" spans="1:1" ht="14.25" customHeight="1">
      <c r="A462" s="16"/>
    </row>
    <row r="463" spans="1:1" ht="14.25" customHeight="1">
      <c r="A463" s="16"/>
    </row>
    <row r="464" spans="1:1" ht="14.25" customHeight="1">
      <c r="A464" s="16"/>
    </row>
    <row r="465" spans="1:1" ht="14.25" customHeight="1">
      <c r="A465" s="16"/>
    </row>
    <row r="466" spans="1:1" ht="14.25" customHeight="1">
      <c r="A466" s="16"/>
    </row>
    <row r="467" spans="1:1" ht="14.25" customHeight="1">
      <c r="A467" s="16"/>
    </row>
    <row r="468" spans="1:1" ht="14.25" customHeight="1">
      <c r="A468" s="16"/>
    </row>
    <row r="469" spans="1:1" ht="14.25" customHeight="1">
      <c r="A469" s="16"/>
    </row>
    <row r="470" spans="1:1" ht="14.25" customHeight="1">
      <c r="A470" s="16"/>
    </row>
    <row r="471" spans="1:1" ht="14.25" customHeight="1">
      <c r="A471" s="16"/>
    </row>
    <row r="472" spans="1:1" ht="14.25" customHeight="1">
      <c r="A472" s="16"/>
    </row>
    <row r="473" spans="1:1" ht="14.25" customHeight="1">
      <c r="A473" s="16"/>
    </row>
    <row r="474" spans="1:1" ht="14.25" customHeight="1">
      <c r="A474" s="16"/>
    </row>
    <row r="475" spans="1:1" ht="14.25" customHeight="1">
      <c r="A475" s="16"/>
    </row>
    <row r="476" spans="1:1" ht="14.25" customHeight="1">
      <c r="A476" s="16"/>
    </row>
    <row r="477" spans="1:1" ht="14.25" customHeight="1">
      <c r="A477" s="16"/>
    </row>
    <row r="478" spans="1:1" ht="14.25" customHeight="1">
      <c r="A478" s="16"/>
    </row>
    <row r="479" spans="1:1" ht="14.25" customHeight="1">
      <c r="A479" s="16"/>
    </row>
    <row r="480" spans="1:1" ht="14.25" customHeight="1">
      <c r="A480" s="16"/>
    </row>
    <row r="481" spans="1:1" ht="14.25" customHeight="1">
      <c r="A481" s="16"/>
    </row>
    <row r="482" spans="1:1" ht="14.25" customHeight="1">
      <c r="A482" s="16"/>
    </row>
    <row r="483" spans="1:1" ht="14.25" customHeight="1">
      <c r="A483" s="16"/>
    </row>
    <row r="484" spans="1:1" ht="14.25" customHeight="1">
      <c r="A484" s="16"/>
    </row>
    <row r="485" spans="1:1" ht="14.25" customHeight="1">
      <c r="A485" s="16"/>
    </row>
    <row r="486" spans="1:1" ht="14.25" customHeight="1">
      <c r="A486" s="16"/>
    </row>
    <row r="487" spans="1:1" ht="14.25" customHeight="1">
      <c r="A487" s="16"/>
    </row>
    <row r="488" spans="1:1" ht="14.25" customHeight="1">
      <c r="A488" s="16"/>
    </row>
    <row r="489" spans="1:1" ht="14.25" customHeight="1">
      <c r="A489" s="16"/>
    </row>
    <row r="490" spans="1:1" ht="14.25" customHeight="1">
      <c r="A490" s="16"/>
    </row>
    <row r="491" spans="1:1" ht="14.25" customHeight="1">
      <c r="A491" s="16"/>
    </row>
    <row r="492" spans="1:1" ht="14.25" customHeight="1">
      <c r="A492" s="16"/>
    </row>
    <row r="493" spans="1:1" ht="14.25" customHeight="1">
      <c r="A493" s="16"/>
    </row>
    <row r="494" spans="1:1" ht="14.25" customHeight="1">
      <c r="A494" s="16"/>
    </row>
    <row r="495" spans="1:1" ht="14.25" customHeight="1">
      <c r="A495" s="16"/>
    </row>
    <row r="496" spans="1:1" ht="14.25" customHeight="1">
      <c r="A496" s="16"/>
    </row>
    <row r="497" spans="1:1" ht="14.25" customHeight="1">
      <c r="A497" s="16"/>
    </row>
    <row r="498" spans="1:1" ht="14.25" customHeight="1">
      <c r="A498" s="16"/>
    </row>
    <row r="499" spans="1:1" ht="14.25" customHeight="1">
      <c r="A499" s="16"/>
    </row>
    <row r="500" spans="1:1" ht="14.25" customHeight="1">
      <c r="A500" s="16"/>
    </row>
    <row r="501" spans="1:1" ht="14.25" customHeight="1">
      <c r="A501" s="16"/>
    </row>
    <row r="502" spans="1:1" ht="14.25" customHeight="1">
      <c r="A502" s="16"/>
    </row>
    <row r="503" spans="1:1" ht="14.25" customHeight="1">
      <c r="A503" s="16"/>
    </row>
    <row r="504" spans="1:1" ht="14.25" customHeight="1">
      <c r="A504" s="16"/>
    </row>
    <row r="505" spans="1:1" ht="14.25" customHeight="1">
      <c r="A505" s="16"/>
    </row>
    <row r="506" spans="1:1" ht="14.25" customHeight="1">
      <c r="A506" s="16"/>
    </row>
    <row r="507" spans="1:1" ht="14.25" customHeight="1">
      <c r="A507" s="16"/>
    </row>
    <row r="508" spans="1:1" ht="14.25" customHeight="1">
      <c r="A508" s="16"/>
    </row>
    <row r="509" spans="1:1" ht="14.25" customHeight="1">
      <c r="A509" s="16"/>
    </row>
    <row r="510" spans="1:1" ht="14.25" customHeight="1">
      <c r="A510" s="16"/>
    </row>
    <row r="511" spans="1:1" ht="14.25" customHeight="1">
      <c r="A511" s="16"/>
    </row>
    <row r="512" spans="1:1" ht="14.25" customHeight="1">
      <c r="A512" s="16"/>
    </row>
    <row r="513" spans="1:1" ht="14.25" customHeight="1">
      <c r="A513" s="16"/>
    </row>
    <row r="514" spans="1:1" ht="14.25" customHeight="1">
      <c r="A514" s="16"/>
    </row>
    <row r="515" spans="1:1" ht="14.25" customHeight="1">
      <c r="A515" s="16"/>
    </row>
    <row r="516" spans="1:1" ht="14.25" customHeight="1">
      <c r="A516" s="16"/>
    </row>
    <row r="517" spans="1:1" ht="14.25" customHeight="1">
      <c r="A517" s="16"/>
    </row>
    <row r="518" spans="1:1" ht="14.25" customHeight="1">
      <c r="A518" s="16"/>
    </row>
    <row r="519" spans="1:1" ht="14.25" customHeight="1">
      <c r="A519" s="16"/>
    </row>
    <row r="520" spans="1:1" ht="14.25" customHeight="1">
      <c r="A520" s="16"/>
    </row>
    <row r="521" spans="1:1" ht="14.25" customHeight="1">
      <c r="A521" s="16"/>
    </row>
    <row r="522" spans="1:1" ht="14.25" customHeight="1">
      <c r="A522" s="16"/>
    </row>
    <row r="523" spans="1:1" ht="14.25" customHeight="1">
      <c r="A523" s="16"/>
    </row>
    <row r="524" spans="1:1" ht="14.25" customHeight="1">
      <c r="A524" s="16"/>
    </row>
    <row r="525" spans="1:1" ht="14.25" customHeight="1">
      <c r="A525" s="16"/>
    </row>
    <row r="526" spans="1:1" ht="14.25" customHeight="1">
      <c r="A526" s="16"/>
    </row>
    <row r="527" spans="1:1" ht="14.25" customHeight="1">
      <c r="A527" s="16"/>
    </row>
    <row r="528" spans="1:1" ht="14.25" customHeight="1">
      <c r="A528" s="16"/>
    </row>
    <row r="529" spans="1:1" ht="14.25" customHeight="1">
      <c r="A529" s="16"/>
    </row>
    <row r="530" spans="1:1" ht="14.25" customHeight="1">
      <c r="A530" s="16"/>
    </row>
    <row r="531" spans="1:1" ht="14.25" customHeight="1">
      <c r="A531" s="16"/>
    </row>
    <row r="532" spans="1:1" ht="14.25" customHeight="1">
      <c r="A532" s="16"/>
    </row>
    <row r="533" spans="1:1" ht="14.25" customHeight="1">
      <c r="A533" s="16"/>
    </row>
    <row r="534" spans="1:1" ht="14.25" customHeight="1">
      <c r="A534" s="16"/>
    </row>
    <row r="535" spans="1:1" ht="14.25" customHeight="1">
      <c r="A535" s="16"/>
    </row>
    <row r="536" spans="1:1" ht="14.25" customHeight="1">
      <c r="A536" s="16"/>
    </row>
    <row r="537" spans="1:1" ht="14.25" customHeight="1">
      <c r="A537" s="16"/>
    </row>
    <row r="538" spans="1:1" ht="14.25" customHeight="1">
      <c r="A538" s="16"/>
    </row>
    <row r="539" spans="1:1" ht="14.25" customHeight="1">
      <c r="A539" s="16"/>
    </row>
    <row r="540" spans="1:1" ht="14.25" customHeight="1">
      <c r="A540" s="16"/>
    </row>
    <row r="541" spans="1:1" ht="14.25" customHeight="1">
      <c r="A541" s="16"/>
    </row>
    <row r="542" spans="1:1" ht="14.25" customHeight="1">
      <c r="A542" s="16"/>
    </row>
    <row r="543" spans="1:1" ht="14.25" customHeight="1">
      <c r="A543" s="16"/>
    </row>
    <row r="544" spans="1:1" ht="14.25" customHeight="1">
      <c r="A544" s="16"/>
    </row>
    <row r="545" spans="1:1" ht="14.25" customHeight="1">
      <c r="A545" s="16"/>
    </row>
    <row r="546" spans="1:1" ht="14.25" customHeight="1">
      <c r="A546" s="16"/>
    </row>
    <row r="547" spans="1:1" ht="14.25" customHeight="1">
      <c r="A547" s="16"/>
    </row>
    <row r="548" spans="1:1" ht="14.25" customHeight="1">
      <c r="A548" s="16"/>
    </row>
    <row r="549" spans="1:1" ht="14.25" customHeight="1">
      <c r="A549" s="16"/>
    </row>
    <row r="550" spans="1:1" ht="14.25" customHeight="1">
      <c r="A550" s="16"/>
    </row>
    <row r="551" spans="1:1" ht="14.25" customHeight="1">
      <c r="A551" s="16"/>
    </row>
    <row r="552" spans="1:1" ht="14.25" customHeight="1">
      <c r="A552" s="16"/>
    </row>
    <row r="553" spans="1:1" ht="14.25" customHeight="1">
      <c r="A553" s="16"/>
    </row>
    <row r="554" spans="1:1" ht="14.25" customHeight="1">
      <c r="A554" s="16"/>
    </row>
    <row r="555" spans="1:1" ht="14.25" customHeight="1">
      <c r="A555" s="16"/>
    </row>
    <row r="556" spans="1:1" ht="14.25" customHeight="1">
      <c r="A556" s="16"/>
    </row>
    <row r="557" spans="1:1" ht="14.25" customHeight="1">
      <c r="A557" s="16"/>
    </row>
    <row r="558" spans="1:1" ht="14.25" customHeight="1">
      <c r="A558" s="16"/>
    </row>
    <row r="559" spans="1:1" ht="14.25" customHeight="1">
      <c r="A559" s="16"/>
    </row>
    <row r="560" spans="1:1" ht="14.25" customHeight="1">
      <c r="A560" s="16"/>
    </row>
    <row r="561" spans="1:1" ht="14.25" customHeight="1">
      <c r="A561" s="16"/>
    </row>
    <row r="562" spans="1:1" ht="14.25" customHeight="1">
      <c r="A562" s="16"/>
    </row>
    <row r="563" spans="1:1" ht="14.25" customHeight="1">
      <c r="A563" s="16"/>
    </row>
    <row r="564" spans="1:1" ht="14.25" customHeight="1">
      <c r="A564" s="16"/>
    </row>
    <row r="565" spans="1:1" ht="14.25" customHeight="1">
      <c r="A565" s="16"/>
    </row>
    <row r="566" spans="1:1" ht="14.25" customHeight="1">
      <c r="A566" s="16"/>
    </row>
    <row r="567" spans="1:1" ht="14.25" customHeight="1">
      <c r="A567" s="16"/>
    </row>
    <row r="568" spans="1:1" ht="14.25" customHeight="1">
      <c r="A568" s="16"/>
    </row>
    <row r="569" spans="1:1" ht="14.25" customHeight="1">
      <c r="A569" s="16"/>
    </row>
    <row r="570" spans="1:1" ht="14.25" customHeight="1">
      <c r="A570" s="16"/>
    </row>
    <row r="571" spans="1:1" ht="14.25" customHeight="1">
      <c r="A571" s="16"/>
    </row>
    <row r="572" spans="1:1" ht="14.25" customHeight="1">
      <c r="A572" s="16"/>
    </row>
    <row r="573" spans="1:1" ht="14.25" customHeight="1">
      <c r="A573" s="16"/>
    </row>
    <row r="574" spans="1:1" ht="14.25" customHeight="1">
      <c r="A574" s="16"/>
    </row>
    <row r="575" spans="1:1" ht="14.25" customHeight="1">
      <c r="A575" s="16"/>
    </row>
    <row r="576" spans="1:1" ht="14.25" customHeight="1">
      <c r="A576" s="16"/>
    </row>
    <row r="577" spans="1:1" ht="14.25" customHeight="1">
      <c r="A577" s="16"/>
    </row>
    <row r="578" spans="1:1" ht="14.25" customHeight="1">
      <c r="A578" s="16"/>
    </row>
    <row r="579" spans="1:1" ht="14.25" customHeight="1">
      <c r="A579" s="16"/>
    </row>
    <row r="580" spans="1:1" ht="14.25" customHeight="1">
      <c r="A580" s="16"/>
    </row>
    <row r="581" spans="1:1" ht="14.25" customHeight="1">
      <c r="A581" s="16"/>
    </row>
    <row r="582" spans="1:1" ht="14.25" customHeight="1">
      <c r="A582" s="16"/>
    </row>
    <row r="583" spans="1:1" ht="14.25" customHeight="1">
      <c r="A583" s="16"/>
    </row>
    <row r="584" spans="1:1" ht="14.25" customHeight="1">
      <c r="A584" s="16"/>
    </row>
    <row r="585" spans="1:1" ht="14.25" customHeight="1">
      <c r="A585" s="16"/>
    </row>
    <row r="586" spans="1:1" ht="14.25" customHeight="1">
      <c r="A586" s="16"/>
    </row>
    <row r="587" spans="1:1" ht="14.25" customHeight="1">
      <c r="A587" s="16"/>
    </row>
    <row r="588" spans="1:1" ht="14.25" customHeight="1">
      <c r="A588" s="16"/>
    </row>
    <row r="589" spans="1:1" ht="14.25" customHeight="1">
      <c r="A589" s="16"/>
    </row>
    <row r="590" spans="1:1" ht="14.25" customHeight="1">
      <c r="A590" s="16"/>
    </row>
    <row r="591" spans="1:1" ht="14.25" customHeight="1">
      <c r="A591" s="16"/>
    </row>
    <row r="592" spans="1:1" ht="14.25" customHeight="1">
      <c r="A592" s="16"/>
    </row>
    <row r="593" spans="1:1" ht="14.25" customHeight="1">
      <c r="A593" s="16"/>
    </row>
    <row r="594" spans="1:1" ht="14.25" customHeight="1">
      <c r="A594" s="16"/>
    </row>
    <row r="595" spans="1:1" ht="14.25" customHeight="1">
      <c r="A595" s="16"/>
    </row>
    <row r="596" spans="1:1" ht="14.25" customHeight="1">
      <c r="A596" s="16"/>
    </row>
    <row r="597" spans="1:1" ht="14.25" customHeight="1">
      <c r="A597" s="16"/>
    </row>
    <row r="598" spans="1:1" ht="14.25" customHeight="1">
      <c r="A598" s="16"/>
    </row>
    <row r="599" spans="1:1" ht="14.25" customHeight="1">
      <c r="A599" s="16"/>
    </row>
    <row r="600" spans="1:1" ht="14.25" customHeight="1">
      <c r="A600" s="16"/>
    </row>
    <row r="601" spans="1:1" ht="14.25" customHeight="1">
      <c r="A601" s="16"/>
    </row>
    <row r="602" spans="1:1" ht="14.25" customHeight="1">
      <c r="A602" s="16"/>
    </row>
    <row r="603" spans="1:1" ht="14.25" customHeight="1">
      <c r="A603" s="16"/>
    </row>
    <row r="604" spans="1:1" ht="14.25" customHeight="1">
      <c r="A604" s="16"/>
    </row>
    <row r="605" spans="1:1" ht="14.25" customHeight="1">
      <c r="A605" s="16"/>
    </row>
    <row r="606" spans="1:1" ht="14.25" customHeight="1">
      <c r="A606" s="16"/>
    </row>
    <row r="607" spans="1:1" ht="14.25" customHeight="1">
      <c r="A607" s="16"/>
    </row>
    <row r="608" spans="1:1" ht="14.25" customHeight="1">
      <c r="A608" s="16"/>
    </row>
    <row r="609" spans="1:1" ht="14.25" customHeight="1">
      <c r="A609" s="16"/>
    </row>
    <row r="610" spans="1:1" ht="14.25" customHeight="1">
      <c r="A610" s="16"/>
    </row>
    <row r="611" spans="1:1" ht="14.25" customHeight="1">
      <c r="A611" s="16"/>
    </row>
    <row r="612" spans="1:1" ht="14.25" customHeight="1">
      <c r="A612" s="16"/>
    </row>
    <row r="613" spans="1:1" ht="14.25" customHeight="1">
      <c r="A613" s="16"/>
    </row>
    <row r="614" spans="1:1" ht="14.25" customHeight="1">
      <c r="A614" s="16"/>
    </row>
    <row r="615" spans="1:1" ht="14.25" customHeight="1">
      <c r="A615" s="16"/>
    </row>
    <row r="616" spans="1:1" ht="14.25" customHeight="1">
      <c r="A616" s="16"/>
    </row>
    <row r="617" spans="1:1" ht="14.25" customHeight="1">
      <c r="A617" s="16"/>
    </row>
    <row r="618" spans="1:1" ht="14.25" customHeight="1">
      <c r="A618" s="16"/>
    </row>
    <row r="619" spans="1:1" ht="14.25" customHeight="1">
      <c r="A619" s="16"/>
    </row>
    <row r="620" spans="1:1" ht="14.25" customHeight="1">
      <c r="A620" s="16"/>
    </row>
    <row r="621" spans="1:1" ht="14.25" customHeight="1">
      <c r="A621" s="16"/>
    </row>
    <row r="622" spans="1:1" ht="14.25" customHeight="1">
      <c r="A622" s="16"/>
    </row>
    <row r="623" spans="1:1" ht="14.25" customHeight="1">
      <c r="A623" s="16"/>
    </row>
    <row r="624" spans="1:1" ht="14.25" customHeight="1">
      <c r="A624" s="16"/>
    </row>
    <row r="625" spans="1:1" ht="14.25" customHeight="1">
      <c r="A625" s="16"/>
    </row>
    <row r="626" spans="1:1" ht="14.25" customHeight="1">
      <c r="A626" s="16"/>
    </row>
    <row r="627" spans="1:1" ht="14.25" customHeight="1">
      <c r="A627" s="16"/>
    </row>
    <row r="628" spans="1:1" ht="14.25" customHeight="1">
      <c r="A628" s="16"/>
    </row>
    <row r="629" spans="1:1" ht="14.25" customHeight="1">
      <c r="A629" s="16"/>
    </row>
    <row r="630" spans="1:1" ht="14.25" customHeight="1">
      <c r="A630" s="16"/>
    </row>
    <row r="631" spans="1:1" ht="14.25" customHeight="1">
      <c r="A631" s="16"/>
    </row>
    <row r="632" spans="1:1" ht="14.25" customHeight="1">
      <c r="A632" s="16"/>
    </row>
    <row r="633" spans="1:1" ht="14.25" customHeight="1">
      <c r="A633" s="16"/>
    </row>
    <row r="634" spans="1:1" ht="14.25" customHeight="1">
      <c r="A634" s="16"/>
    </row>
    <row r="635" spans="1:1" ht="14.25" customHeight="1">
      <c r="A635" s="16"/>
    </row>
    <row r="636" spans="1:1" ht="14.25" customHeight="1">
      <c r="A636" s="16"/>
    </row>
    <row r="637" spans="1:1" ht="14.25" customHeight="1">
      <c r="A637" s="16"/>
    </row>
    <row r="638" spans="1:1" ht="14.25" customHeight="1">
      <c r="A638" s="16"/>
    </row>
    <row r="639" spans="1:1" ht="14.25" customHeight="1">
      <c r="A639" s="16"/>
    </row>
    <row r="640" spans="1:1" ht="14.25" customHeight="1">
      <c r="A640" s="16"/>
    </row>
    <row r="641" spans="1:1" ht="14.25" customHeight="1">
      <c r="A641" s="16"/>
    </row>
    <row r="642" spans="1:1" ht="14.25" customHeight="1">
      <c r="A642" s="16"/>
    </row>
    <row r="643" spans="1:1" ht="14.25" customHeight="1">
      <c r="A643" s="16"/>
    </row>
    <row r="644" spans="1:1" ht="14.25" customHeight="1">
      <c r="A644" s="16"/>
    </row>
    <row r="645" spans="1:1" ht="14.25" customHeight="1">
      <c r="A645" s="16"/>
    </row>
    <row r="646" spans="1:1" ht="14.25" customHeight="1">
      <c r="A646" s="16"/>
    </row>
    <row r="647" spans="1:1" ht="14.25" customHeight="1">
      <c r="A647" s="16"/>
    </row>
    <row r="648" spans="1:1" ht="14.25" customHeight="1">
      <c r="A648" s="16"/>
    </row>
    <row r="649" spans="1:1" ht="14.25" customHeight="1">
      <c r="A649" s="16"/>
    </row>
    <row r="650" spans="1:1" ht="14.25" customHeight="1">
      <c r="A650" s="16"/>
    </row>
    <row r="651" spans="1:1" ht="14.25" customHeight="1">
      <c r="A651" s="16"/>
    </row>
    <row r="652" spans="1:1" ht="14.25" customHeight="1">
      <c r="A652" s="16"/>
    </row>
    <row r="653" spans="1:1" ht="14.25" customHeight="1">
      <c r="A653" s="16"/>
    </row>
    <row r="654" spans="1:1" ht="14.25" customHeight="1">
      <c r="A654" s="16"/>
    </row>
    <row r="655" spans="1:1" ht="14.25" customHeight="1">
      <c r="A655" s="16"/>
    </row>
    <row r="656" spans="1:1" ht="14.25" customHeight="1">
      <c r="A656" s="16"/>
    </row>
    <row r="657" spans="1:1" ht="14.25" customHeight="1">
      <c r="A657" s="16"/>
    </row>
    <row r="658" spans="1:1" ht="14.25" customHeight="1">
      <c r="A658" s="16"/>
    </row>
    <row r="659" spans="1:1" ht="14.25" customHeight="1">
      <c r="A659" s="16"/>
    </row>
    <row r="660" spans="1:1" ht="14.25" customHeight="1">
      <c r="A660" s="16"/>
    </row>
    <row r="661" spans="1:1" ht="14.25" customHeight="1">
      <c r="A661" s="16"/>
    </row>
    <row r="662" spans="1:1" ht="14.25" customHeight="1">
      <c r="A662" s="16"/>
    </row>
    <row r="663" spans="1:1" ht="14.25" customHeight="1">
      <c r="A663" s="16"/>
    </row>
    <row r="664" spans="1:1" ht="14.25" customHeight="1">
      <c r="A664" s="16"/>
    </row>
    <row r="665" spans="1:1" ht="14.25" customHeight="1">
      <c r="A665" s="16"/>
    </row>
    <row r="666" spans="1:1" ht="14.25" customHeight="1">
      <c r="A666" s="16"/>
    </row>
    <row r="667" spans="1:1" ht="14.25" customHeight="1">
      <c r="A667" s="16"/>
    </row>
    <row r="668" spans="1:1" ht="14.25" customHeight="1">
      <c r="A668" s="16"/>
    </row>
    <row r="669" spans="1:1" ht="14.25" customHeight="1">
      <c r="A669" s="16"/>
    </row>
    <row r="670" spans="1:1" ht="14.25" customHeight="1">
      <c r="A670" s="16"/>
    </row>
    <row r="671" spans="1:1" ht="14.25" customHeight="1">
      <c r="A671" s="16"/>
    </row>
    <row r="672" spans="1:1" ht="14.25" customHeight="1">
      <c r="A672" s="16"/>
    </row>
    <row r="673" spans="1:1" ht="14.25" customHeight="1">
      <c r="A673" s="16"/>
    </row>
    <row r="674" spans="1:1" ht="14.25" customHeight="1">
      <c r="A674" s="16"/>
    </row>
    <row r="675" spans="1:1" ht="14.25" customHeight="1">
      <c r="A675" s="16"/>
    </row>
    <row r="676" spans="1:1" ht="14.25" customHeight="1">
      <c r="A676" s="16"/>
    </row>
    <row r="677" spans="1:1" ht="14.25" customHeight="1">
      <c r="A677" s="16"/>
    </row>
    <row r="678" spans="1:1" ht="14.25" customHeight="1">
      <c r="A678" s="16"/>
    </row>
    <row r="679" spans="1:1" ht="14.25" customHeight="1">
      <c r="A679" s="16"/>
    </row>
    <row r="680" spans="1:1" ht="14.25" customHeight="1">
      <c r="A680" s="16"/>
    </row>
    <row r="681" spans="1:1" ht="14.25" customHeight="1">
      <c r="A681" s="16"/>
    </row>
    <row r="682" spans="1:1" ht="14.25" customHeight="1">
      <c r="A682" s="16"/>
    </row>
    <row r="683" spans="1:1" ht="14.25" customHeight="1">
      <c r="A683" s="16"/>
    </row>
    <row r="684" spans="1:1" ht="14.25" customHeight="1">
      <c r="A684" s="16"/>
    </row>
    <row r="685" spans="1:1" ht="14.25" customHeight="1">
      <c r="A685" s="16"/>
    </row>
    <row r="686" spans="1:1" ht="14.25" customHeight="1">
      <c r="A686" s="16"/>
    </row>
    <row r="687" spans="1:1" ht="14.25" customHeight="1">
      <c r="A687" s="16"/>
    </row>
    <row r="688" spans="1:1" ht="14.25" customHeight="1">
      <c r="A688" s="16"/>
    </row>
    <row r="689" spans="1:1" ht="14.25" customHeight="1">
      <c r="A689" s="16"/>
    </row>
    <row r="690" spans="1:1" ht="14.25" customHeight="1">
      <c r="A690" s="16"/>
    </row>
    <row r="691" spans="1:1" ht="14.25" customHeight="1">
      <c r="A691" s="16"/>
    </row>
    <row r="692" spans="1:1" ht="14.25" customHeight="1">
      <c r="A692" s="16"/>
    </row>
    <row r="693" spans="1:1" ht="14.25" customHeight="1">
      <c r="A693" s="16"/>
    </row>
    <row r="694" spans="1:1" ht="14.25" customHeight="1">
      <c r="A694" s="16"/>
    </row>
    <row r="695" spans="1:1" ht="14.25" customHeight="1">
      <c r="A695" s="16"/>
    </row>
    <row r="696" spans="1:1" ht="14.25" customHeight="1">
      <c r="A696" s="16"/>
    </row>
    <row r="697" spans="1:1" ht="14.25" customHeight="1">
      <c r="A697" s="16"/>
    </row>
    <row r="698" spans="1:1" ht="14.25" customHeight="1">
      <c r="A698" s="16"/>
    </row>
    <row r="699" spans="1:1" ht="14.25" customHeight="1">
      <c r="A699" s="16"/>
    </row>
    <row r="700" spans="1:1" ht="14.25" customHeight="1">
      <c r="A700" s="16"/>
    </row>
    <row r="701" spans="1:1" ht="14.25" customHeight="1">
      <c r="A701" s="16"/>
    </row>
    <row r="702" spans="1:1" ht="14.25" customHeight="1">
      <c r="A702" s="16"/>
    </row>
    <row r="703" spans="1:1" ht="14.25" customHeight="1">
      <c r="A703" s="16"/>
    </row>
    <row r="704" spans="1:1" ht="14.25" customHeight="1">
      <c r="A704" s="16"/>
    </row>
    <row r="705" spans="1:1" ht="14.25" customHeight="1">
      <c r="A705" s="16"/>
    </row>
    <row r="706" spans="1:1" ht="14.25" customHeight="1">
      <c r="A706" s="16"/>
    </row>
    <row r="707" spans="1:1" ht="14.25" customHeight="1">
      <c r="A707" s="16"/>
    </row>
    <row r="708" spans="1:1" ht="14.25" customHeight="1">
      <c r="A708" s="16"/>
    </row>
    <row r="709" spans="1:1" ht="14.25" customHeight="1">
      <c r="A709" s="16"/>
    </row>
    <row r="710" spans="1:1" ht="14.25" customHeight="1">
      <c r="A710" s="16"/>
    </row>
    <row r="711" spans="1:1" ht="14.25" customHeight="1">
      <c r="A711" s="16"/>
    </row>
    <row r="712" spans="1:1" ht="14.25" customHeight="1">
      <c r="A712" s="16"/>
    </row>
    <row r="713" spans="1:1" ht="14.25" customHeight="1">
      <c r="A713" s="16"/>
    </row>
    <row r="714" spans="1:1" ht="14.25" customHeight="1">
      <c r="A714" s="16"/>
    </row>
    <row r="715" spans="1:1" ht="14.25" customHeight="1">
      <c r="A715" s="16"/>
    </row>
    <row r="716" spans="1:1" ht="14.25" customHeight="1">
      <c r="A716" s="16"/>
    </row>
    <row r="717" spans="1:1" ht="14.25" customHeight="1">
      <c r="A717" s="16"/>
    </row>
    <row r="718" spans="1:1" ht="14.25" customHeight="1">
      <c r="A718" s="16"/>
    </row>
    <row r="719" spans="1:1" ht="14.25" customHeight="1">
      <c r="A719" s="16"/>
    </row>
    <row r="720" spans="1:1" ht="14.25" customHeight="1">
      <c r="A720" s="16"/>
    </row>
    <row r="721" spans="1:1" ht="14.25" customHeight="1">
      <c r="A721" s="16"/>
    </row>
    <row r="722" spans="1:1" ht="14.25" customHeight="1">
      <c r="A722" s="16"/>
    </row>
    <row r="723" spans="1:1" ht="14.25" customHeight="1">
      <c r="A723" s="16"/>
    </row>
    <row r="724" spans="1:1" ht="14.25" customHeight="1">
      <c r="A724" s="16"/>
    </row>
    <row r="725" spans="1:1" ht="14.25" customHeight="1">
      <c r="A725" s="16"/>
    </row>
    <row r="726" spans="1:1" ht="14.25" customHeight="1">
      <c r="A726" s="16"/>
    </row>
    <row r="727" spans="1:1" ht="14.25" customHeight="1">
      <c r="A727" s="16"/>
    </row>
    <row r="728" spans="1:1" ht="14.25" customHeight="1">
      <c r="A728" s="16"/>
    </row>
    <row r="729" spans="1:1" ht="14.25" customHeight="1">
      <c r="A729" s="16"/>
    </row>
    <row r="730" spans="1:1" ht="14.25" customHeight="1">
      <c r="A730" s="16"/>
    </row>
    <row r="731" spans="1:1" ht="14.25" customHeight="1">
      <c r="A731" s="16"/>
    </row>
    <row r="732" spans="1:1" ht="14.25" customHeight="1">
      <c r="A732" s="16"/>
    </row>
    <row r="733" spans="1:1" ht="14.25" customHeight="1">
      <c r="A733" s="16"/>
    </row>
    <row r="734" spans="1:1" ht="14.25" customHeight="1">
      <c r="A734" s="16"/>
    </row>
    <row r="735" spans="1:1" ht="14.25" customHeight="1">
      <c r="A735" s="16"/>
    </row>
    <row r="736" spans="1:1" ht="14.25" customHeight="1">
      <c r="A736" s="16"/>
    </row>
    <row r="737" spans="1:1" ht="14.25" customHeight="1">
      <c r="A737" s="16"/>
    </row>
    <row r="738" spans="1:1" ht="14.25" customHeight="1">
      <c r="A738" s="16"/>
    </row>
    <row r="739" spans="1:1" ht="14.25" customHeight="1">
      <c r="A739" s="16"/>
    </row>
    <row r="740" spans="1:1" ht="14.25" customHeight="1">
      <c r="A740" s="16"/>
    </row>
    <row r="741" spans="1:1" ht="14.25" customHeight="1">
      <c r="A741" s="16"/>
    </row>
    <row r="742" spans="1:1" ht="14.25" customHeight="1">
      <c r="A742" s="16"/>
    </row>
    <row r="743" spans="1:1" ht="14.25" customHeight="1">
      <c r="A743" s="16"/>
    </row>
    <row r="744" spans="1:1" ht="14.25" customHeight="1">
      <c r="A744" s="16"/>
    </row>
    <row r="745" spans="1:1" ht="14.25" customHeight="1">
      <c r="A745" s="16"/>
    </row>
    <row r="746" spans="1:1" ht="14.25" customHeight="1">
      <c r="A746" s="16"/>
    </row>
    <row r="747" spans="1:1" ht="14.25" customHeight="1">
      <c r="A747" s="16"/>
    </row>
    <row r="748" spans="1:1" ht="14.25" customHeight="1">
      <c r="A748" s="16"/>
    </row>
    <row r="749" spans="1:1" ht="14.25" customHeight="1">
      <c r="A749" s="16"/>
    </row>
    <row r="750" spans="1:1" ht="14.25" customHeight="1">
      <c r="A750" s="16"/>
    </row>
    <row r="751" spans="1:1" ht="14.25" customHeight="1">
      <c r="A751" s="16"/>
    </row>
    <row r="752" spans="1:1" ht="14.25" customHeight="1">
      <c r="A752" s="16"/>
    </row>
    <row r="753" spans="1:1" ht="14.25" customHeight="1">
      <c r="A753" s="16"/>
    </row>
    <row r="754" spans="1:1" ht="14.25" customHeight="1">
      <c r="A754" s="16"/>
    </row>
    <row r="755" spans="1:1" ht="14.25" customHeight="1">
      <c r="A755" s="16"/>
    </row>
    <row r="756" spans="1:1" ht="14.25" customHeight="1">
      <c r="A756" s="16"/>
    </row>
    <row r="757" spans="1:1" ht="14.25" customHeight="1">
      <c r="A757" s="16"/>
    </row>
    <row r="758" spans="1:1" ht="14.25" customHeight="1">
      <c r="A758" s="16"/>
    </row>
    <row r="759" spans="1:1" ht="14.25" customHeight="1">
      <c r="A759" s="16"/>
    </row>
    <row r="760" spans="1:1" ht="14.25" customHeight="1">
      <c r="A760" s="16"/>
    </row>
    <row r="761" spans="1:1" ht="14.25" customHeight="1">
      <c r="A761" s="16"/>
    </row>
    <row r="762" spans="1:1" ht="14.25" customHeight="1">
      <c r="A762" s="16"/>
    </row>
    <row r="763" spans="1:1" ht="14.25" customHeight="1">
      <c r="A763" s="16"/>
    </row>
    <row r="764" spans="1:1" ht="14.25" customHeight="1">
      <c r="A764" s="16"/>
    </row>
    <row r="765" spans="1:1" ht="14.25" customHeight="1">
      <c r="A765" s="16"/>
    </row>
    <row r="766" spans="1:1" ht="14.25" customHeight="1">
      <c r="A766" s="16"/>
    </row>
    <row r="767" spans="1:1" ht="14.25" customHeight="1">
      <c r="A767" s="16"/>
    </row>
    <row r="768" spans="1:1" ht="14.25" customHeight="1">
      <c r="A768" s="16"/>
    </row>
    <row r="769" spans="1:1" ht="14.25" customHeight="1">
      <c r="A769" s="16"/>
    </row>
    <row r="770" spans="1:1" ht="14.25" customHeight="1">
      <c r="A770" s="16"/>
    </row>
    <row r="771" spans="1:1" ht="14.25" customHeight="1">
      <c r="A771" s="16"/>
    </row>
    <row r="772" spans="1:1" ht="14.25" customHeight="1">
      <c r="A772" s="16"/>
    </row>
    <row r="773" spans="1:1" ht="14.25" customHeight="1">
      <c r="A773" s="16"/>
    </row>
    <row r="774" spans="1:1" ht="14.25" customHeight="1">
      <c r="A774" s="16"/>
    </row>
    <row r="775" spans="1:1" ht="14.25" customHeight="1">
      <c r="A775" s="16"/>
    </row>
    <row r="776" spans="1:1" ht="14.25" customHeight="1">
      <c r="A776" s="16"/>
    </row>
    <row r="777" spans="1:1" ht="14.25" customHeight="1">
      <c r="A777" s="16"/>
    </row>
    <row r="778" spans="1:1" ht="14.25" customHeight="1">
      <c r="A778" s="16"/>
    </row>
    <row r="779" spans="1:1" ht="14.25" customHeight="1">
      <c r="A779" s="16"/>
    </row>
    <row r="780" spans="1:1" ht="14.25" customHeight="1">
      <c r="A780" s="16"/>
    </row>
    <row r="781" spans="1:1" ht="14.25" customHeight="1">
      <c r="A781" s="16"/>
    </row>
    <row r="782" spans="1:1" ht="14.25" customHeight="1">
      <c r="A782" s="16"/>
    </row>
    <row r="783" spans="1:1" ht="14.25" customHeight="1">
      <c r="A783" s="16"/>
    </row>
    <row r="784" spans="1:1" ht="14.25" customHeight="1">
      <c r="A784" s="16"/>
    </row>
    <row r="785" spans="1:1" ht="14.25" customHeight="1">
      <c r="A785" s="16"/>
    </row>
    <row r="786" spans="1:1" ht="14.25" customHeight="1">
      <c r="A786" s="16"/>
    </row>
    <row r="787" spans="1:1" ht="14.25" customHeight="1">
      <c r="A787" s="16"/>
    </row>
    <row r="788" spans="1:1" ht="14.25" customHeight="1">
      <c r="A788" s="16"/>
    </row>
    <row r="789" spans="1:1" ht="14.25" customHeight="1">
      <c r="A789" s="16"/>
    </row>
    <row r="790" spans="1:1" ht="14.25" customHeight="1">
      <c r="A790" s="16"/>
    </row>
    <row r="791" spans="1:1" ht="14.25" customHeight="1">
      <c r="A791" s="16"/>
    </row>
    <row r="792" spans="1:1" ht="14.25" customHeight="1">
      <c r="A792" s="16"/>
    </row>
    <row r="793" spans="1:1" ht="14.25" customHeight="1">
      <c r="A793" s="16"/>
    </row>
    <row r="794" spans="1:1" ht="14.25" customHeight="1">
      <c r="A794" s="16"/>
    </row>
    <row r="795" spans="1:1" ht="14.25" customHeight="1">
      <c r="A795" s="16"/>
    </row>
    <row r="796" spans="1:1" ht="14.25" customHeight="1">
      <c r="A796" s="16"/>
    </row>
    <row r="797" spans="1:1" ht="14.25" customHeight="1">
      <c r="A797" s="16"/>
    </row>
    <row r="798" spans="1:1" ht="14.25" customHeight="1">
      <c r="A798" s="16"/>
    </row>
    <row r="799" spans="1:1" ht="14.25" customHeight="1">
      <c r="A799" s="16"/>
    </row>
    <row r="800" spans="1:1" ht="14.25" customHeight="1">
      <c r="A800" s="16"/>
    </row>
    <row r="801" spans="1:1" ht="14.25" customHeight="1">
      <c r="A801" s="16"/>
    </row>
    <row r="802" spans="1:1" ht="14.25" customHeight="1">
      <c r="A802" s="16"/>
    </row>
    <row r="803" spans="1:1" ht="14.25" customHeight="1">
      <c r="A803" s="16"/>
    </row>
    <row r="804" spans="1:1" ht="14.25" customHeight="1">
      <c r="A804" s="16"/>
    </row>
    <row r="805" spans="1:1" ht="14.25" customHeight="1">
      <c r="A805" s="16"/>
    </row>
    <row r="806" spans="1:1" ht="14.25" customHeight="1">
      <c r="A806" s="16"/>
    </row>
    <row r="807" spans="1:1" ht="14.25" customHeight="1">
      <c r="A807" s="16"/>
    </row>
    <row r="808" spans="1:1" ht="14.25" customHeight="1">
      <c r="A808" s="16"/>
    </row>
    <row r="809" spans="1:1" ht="14.25" customHeight="1">
      <c r="A809" s="16"/>
    </row>
    <row r="810" spans="1:1" ht="14.25" customHeight="1">
      <c r="A810" s="16"/>
    </row>
    <row r="811" spans="1:1" ht="14.25" customHeight="1">
      <c r="A811" s="16"/>
    </row>
    <row r="812" spans="1:1" ht="14.25" customHeight="1">
      <c r="A812" s="16"/>
    </row>
    <row r="813" spans="1:1" ht="14.25" customHeight="1">
      <c r="A813" s="16"/>
    </row>
    <row r="814" spans="1:1" ht="14.25" customHeight="1">
      <c r="A814" s="16"/>
    </row>
    <row r="815" spans="1:1" ht="14.25" customHeight="1">
      <c r="A815" s="16"/>
    </row>
    <row r="816" spans="1:1" ht="14.25" customHeight="1">
      <c r="A816" s="16"/>
    </row>
    <row r="817" spans="1:1" ht="14.25" customHeight="1">
      <c r="A817" s="16"/>
    </row>
    <row r="818" spans="1:1" ht="14.25" customHeight="1">
      <c r="A818" s="16"/>
    </row>
    <row r="819" spans="1:1" ht="14.25" customHeight="1">
      <c r="A819" s="16"/>
    </row>
    <row r="820" spans="1:1" ht="14.25" customHeight="1">
      <c r="A820" s="16"/>
    </row>
    <row r="821" spans="1:1" ht="14.25" customHeight="1">
      <c r="A821" s="16"/>
    </row>
    <row r="822" spans="1:1" ht="14.25" customHeight="1">
      <c r="A822" s="16"/>
    </row>
    <row r="823" spans="1:1" ht="14.25" customHeight="1">
      <c r="A823" s="16"/>
    </row>
    <row r="824" spans="1:1" ht="14.25" customHeight="1">
      <c r="A824" s="16"/>
    </row>
    <row r="825" spans="1:1" ht="14.25" customHeight="1">
      <c r="A825" s="16"/>
    </row>
    <row r="826" spans="1:1" ht="14.25" customHeight="1">
      <c r="A826" s="16"/>
    </row>
    <row r="827" spans="1:1" ht="14.25" customHeight="1">
      <c r="A827" s="16"/>
    </row>
    <row r="828" spans="1:1" ht="14.25" customHeight="1">
      <c r="A828" s="16"/>
    </row>
    <row r="829" spans="1:1" ht="14.25" customHeight="1">
      <c r="A829" s="16"/>
    </row>
    <row r="830" spans="1:1" ht="14.25" customHeight="1">
      <c r="A830" s="16"/>
    </row>
    <row r="831" spans="1:1" ht="14.25" customHeight="1">
      <c r="A831" s="16"/>
    </row>
    <row r="832" spans="1:1" ht="14.25" customHeight="1">
      <c r="A832" s="16"/>
    </row>
    <row r="833" spans="1:1" ht="14.25" customHeight="1">
      <c r="A833" s="16"/>
    </row>
    <row r="834" spans="1:1" ht="14.25" customHeight="1">
      <c r="A834" s="16"/>
    </row>
    <row r="835" spans="1:1" ht="14.25" customHeight="1">
      <c r="A835" s="16"/>
    </row>
    <row r="836" spans="1:1" ht="14.25" customHeight="1">
      <c r="A836" s="16"/>
    </row>
    <row r="837" spans="1:1" ht="14.25" customHeight="1">
      <c r="A837" s="16"/>
    </row>
    <row r="838" spans="1:1" ht="14.25" customHeight="1">
      <c r="A838" s="16"/>
    </row>
    <row r="839" spans="1:1" ht="14.25" customHeight="1">
      <c r="A839" s="16"/>
    </row>
    <row r="840" spans="1:1" ht="14.25" customHeight="1">
      <c r="A840" s="16"/>
    </row>
    <row r="841" spans="1:1" ht="14.25" customHeight="1">
      <c r="A841" s="16"/>
    </row>
    <row r="842" spans="1:1" ht="14.25" customHeight="1">
      <c r="A842" s="16"/>
    </row>
    <row r="843" spans="1:1" ht="14.25" customHeight="1">
      <c r="A843" s="16"/>
    </row>
    <row r="844" spans="1:1" ht="14.25" customHeight="1">
      <c r="A844" s="16"/>
    </row>
    <row r="845" spans="1:1" ht="14.25" customHeight="1">
      <c r="A845" s="16"/>
    </row>
    <row r="846" spans="1:1" ht="14.25" customHeight="1">
      <c r="A846" s="16"/>
    </row>
    <row r="847" spans="1:1" ht="14.25" customHeight="1">
      <c r="A847" s="16"/>
    </row>
    <row r="848" spans="1:1" ht="14.25" customHeight="1">
      <c r="A848" s="16"/>
    </row>
    <row r="849" spans="1:1" ht="14.25" customHeight="1">
      <c r="A849" s="16"/>
    </row>
    <row r="850" spans="1:1" ht="14.25" customHeight="1">
      <c r="A850" s="16"/>
    </row>
    <row r="851" spans="1:1" ht="14.25" customHeight="1">
      <c r="A851" s="16"/>
    </row>
    <row r="852" spans="1:1" ht="14.25" customHeight="1">
      <c r="A852" s="16"/>
    </row>
    <row r="853" spans="1:1" ht="14.25" customHeight="1">
      <c r="A853" s="16"/>
    </row>
    <row r="854" spans="1:1" ht="14.25" customHeight="1">
      <c r="A854" s="16"/>
    </row>
    <row r="855" spans="1:1" ht="14.25" customHeight="1">
      <c r="A855" s="16"/>
    </row>
    <row r="856" spans="1:1" ht="14.25" customHeight="1">
      <c r="A856" s="16"/>
    </row>
    <row r="857" spans="1:1" ht="14.25" customHeight="1">
      <c r="A857" s="16"/>
    </row>
    <row r="858" spans="1:1" ht="14.25" customHeight="1">
      <c r="A858" s="16"/>
    </row>
    <row r="859" spans="1:1" ht="14.25" customHeight="1">
      <c r="A859" s="16"/>
    </row>
    <row r="860" spans="1:1" ht="14.25" customHeight="1">
      <c r="A860" s="16"/>
    </row>
    <row r="861" spans="1:1" ht="14.25" customHeight="1">
      <c r="A861" s="16"/>
    </row>
    <row r="862" spans="1:1" ht="14.25" customHeight="1">
      <c r="A862" s="16"/>
    </row>
    <row r="863" spans="1:1" ht="14.25" customHeight="1">
      <c r="A863" s="16"/>
    </row>
    <row r="864" spans="1:1" ht="14.25" customHeight="1">
      <c r="A864" s="16"/>
    </row>
    <row r="865" spans="1:1" ht="14.25" customHeight="1">
      <c r="A865" s="16"/>
    </row>
    <row r="866" spans="1:1" ht="14.25" customHeight="1">
      <c r="A866" s="16"/>
    </row>
    <row r="867" spans="1:1" ht="14.25" customHeight="1">
      <c r="A867" s="16"/>
    </row>
    <row r="868" spans="1:1" ht="14.25" customHeight="1">
      <c r="A868" s="16"/>
    </row>
    <row r="869" spans="1:1" ht="14.25" customHeight="1">
      <c r="A869" s="16"/>
    </row>
    <row r="870" spans="1:1" ht="14.25" customHeight="1">
      <c r="A870" s="16"/>
    </row>
    <row r="871" spans="1:1" ht="14.25" customHeight="1">
      <c r="A871" s="16"/>
    </row>
    <row r="872" spans="1:1" ht="14.25" customHeight="1">
      <c r="A872" s="16"/>
    </row>
    <row r="873" spans="1:1" ht="14.25" customHeight="1">
      <c r="A873" s="16"/>
    </row>
    <row r="874" spans="1:1" ht="14.25" customHeight="1">
      <c r="A874" s="16"/>
    </row>
    <row r="875" spans="1:1" ht="14.25" customHeight="1">
      <c r="A875" s="16"/>
    </row>
    <row r="876" spans="1:1" ht="14.25" customHeight="1">
      <c r="A876" s="16"/>
    </row>
    <row r="877" spans="1:1" ht="14.25" customHeight="1">
      <c r="A877" s="16"/>
    </row>
    <row r="878" spans="1:1" ht="14.25" customHeight="1">
      <c r="A878" s="16"/>
    </row>
    <row r="879" spans="1:1" ht="14.25" customHeight="1">
      <c r="A879" s="16"/>
    </row>
    <row r="880" spans="1:1" ht="14.25" customHeight="1">
      <c r="A880" s="16"/>
    </row>
    <row r="881" spans="1:1" ht="14.25" customHeight="1">
      <c r="A881" s="16"/>
    </row>
    <row r="882" spans="1:1" ht="14.25" customHeight="1">
      <c r="A882" s="16"/>
    </row>
    <row r="883" spans="1:1" ht="14.25" customHeight="1">
      <c r="A883" s="16"/>
    </row>
    <row r="884" spans="1:1" ht="14.25" customHeight="1">
      <c r="A884" s="16"/>
    </row>
    <row r="885" spans="1:1" ht="14.25" customHeight="1">
      <c r="A885" s="16"/>
    </row>
    <row r="886" spans="1:1" ht="14.25" customHeight="1">
      <c r="A886" s="16"/>
    </row>
    <row r="887" spans="1:1" ht="14.25" customHeight="1">
      <c r="A887" s="16"/>
    </row>
    <row r="888" spans="1:1" ht="14.25" customHeight="1">
      <c r="A888" s="16"/>
    </row>
    <row r="889" spans="1:1" ht="14.25" customHeight="1">
      <c r="A889" s="16"/>
    </row>
    <row r="890" spans="1:1" ht="14.25" customHeight="1">
      <c r="A890" s="16"/>
    </row>
    <row r="891" spans="1:1" ht="14.25" customHeight="1">
      <c r="A891" s="16"/>
    </row>
    <row r="892" spans="1:1" ht="14.25" customHeight="1">
      <c r="A892" s="16"/>
    </row>
    <row r="893" spans="1:1" ht="14.25" customHeight="1">
      <c r="A893" s="16"/>
    </row>
    <row r="894" spans="1:1" ht="14.25" customHeight="1">
      <c r="A894" s="16"/>
    </row>
    <row r="895" spans="1:1" ht="14.25" customHeight="1">
      <c r="A895" s="16"/>
    </row>
    <row r="896" spans="1:1" ht="14.25" customHeight="1">
      <c r="A896" s="16"/>
    </row>
    <row r="897" spans="1:1" ht="14.25" customHeight="1">
      <c r="A897" s="16"/>
    </row>
    <row r="898" spans="1:1" ht="14.25" customHeight="1">
      <c r="A898" s="16"/>
    </row>
    <row r="899" spans="1:1" ht="14.25" customHeight="1">
      <c r="A899" s="16"/>
    </row>
    <row r="900" spans="1:1" ht="14.25" customHeight="1">
      <c r="A900" s="16"/>
    </row>
    <row r="901" spans="1:1" ht="14.25" customHeight="1">
      <c r="A901" s="16"/>
    </row>
    <row r="902" spans="1:1" ht="14.25" customHeight="1">
      <c r="A902" s="16"/>
    </row>
    <row r="903" spans="1:1" ht="14.25" customHeight="1">
      <c r="A903" s="16"/>
    </row>
    <row r="904" spans="1:1" ht="14.25" customHeight="1">
      <c r="A904" s="16"/>
    </row>
    <row r="905" spans="1:1" ht="14.25" customHeight="1">
      <c r="A905" s="16"/>
    </row>
    <row r="906" spans="1:1" ht="14.25" customHeight="1">
      <c r="A906" s="16"/>
    </row>
    <row r="907" spans="1:1" ht="14.25" customHeight="1">
      <c r="A907" s="16"/>
    </row>
    <row r="908" spans="1:1" ht="14.25" customHeight="1">
      <c r="A908" s="16"/>
    </row>
    <row r="909" spans="1:1" ht="14.25" customHeight="1">
      <c r="A909" s="16"/>
    </row>
    <row r="910" spans="1:1" ht="14.25" customHeight="1">
      <c r="A910" s="16"/>
    </row>
    <row r="911" spans="1:1" ht="14.25" customHeight="1">
      <c r="A911" s="16"/>
    </row>
    <row r="912" spans="1:1" ht="14.25" customHeight="1">
      <c r="A912" s="16"/>
    </row>
    <row r="913" spans="1:1" ht="14.25" customHeight="1">
      <c r="A913" s="16"/>
    </row>
    <row r="914" spans="1:1" ht="14.25" customHeight="1">
      <c r="A914" s="16"/>
    </row>
    <row r="915" spans="1:1" ht="14.25" customHeight="1">
      <c r="A915" s="16"/>
    </row>
    <row r="916" spans="1:1" ht="14.25" customHeight="1">
      <c r="A916" s="16"/>
    </row>
    <row r="917" spans="1:1" ht="14.25" customHeight="1">
      <c r="A917" s="16"/>
    </row>
    <row r="918" spans="1:1" ht="14.25" customHeight="1">
      <c r="A918" s="16"/>
    </row>
    <row r="919" spans="1:1" ht="14.25" customHeight="1">
      <c r="A919" s="16"/>
    </row>
    <row r="920" spans="1:1" ht="14.25" customHeight="1">
      <c r="A920" s="16"/>
    </row>
    <row r="921" spans="1:1" ht="14.25" customHeight="1">
      <c r="A921" s="16"/>
    </row>
    <row r="922" spans="1:1" ht="14.25" customHeight="1">
      <c r="A922" s="16"/>
    </row>
    <row r="923" spans="1:1" ht="14.25" customHeight="1">
      <c r="A923" s="16"/>
    </row>
    <row r="924" spans="1:1" ht="14.25" customHeight="1">
      <c r="A924" s="16"/>
    </row>
    <row r="925" spans="1:1" ht="14.25" customHeight="1">
      <c r="A925" s="16"/>
    </row>
    <row r="926" spans="1:1" ht="14.25" customHeight="1">
      <c r="A926" s="16"/>
    </row>
    <row r="927" spans="1:1" ht="14.25" customHeight="1">
      <c r="A927" s="16"/>
    </row>
    <row r="928" spans="1:1" ht="14.25" customHeight="1">
      <c r="A928" s="16"/>
    </row>
    <row r="929" spans="1:1" ht="14.25" customHeight="1">
      <c r="A929" s="16"/>
    </row>
    <row r="930" spans="1:1" ht="14.25" customHeight="1">
      <c r="A930" s="16"/>
    </row>
    <row r="931" spans="1:1" ht="14.25" customHeight="1">
      <c r="A931" s="16"/>
    </row>
    <row r="932" spans="1:1" ht="14.25" customHeight="1">
      <c r="A932" s="16"/>
    </row>
    <row r="933" spans="1:1" ht="14.25" customHeight="1">
      <c r="A933" s="16"/>
    </row>
    <row r="934" spans="1:1" ht="14.25" customHeight="1">
      <c r="A934" s="16"/>
    </row>
    <row r="935" spans="1:1" ht="14.25" customHeight="1">
      <c r="A935" s="16"/>
    </row>
    <row r="936" spans="1:1" ht="14.25" customHeight="1">
      <c r="A936" s="16"/>
    </row>
    <row r="937" spans="1:1" ht="14.25" customHeight="1">
      <c r="A937" s="16"/>
    </row>
    <row r="938" spans="1:1" ht="14.25" customHeight="1">
      <c r="A938" s="16"/>
    </row>
    <row r="939" spans="1:1" ht="14.25" customHeight="1">
      <c r="A939" s="16"/>
    </row>
    <row r="940" spans="1:1" ht="14.25" customHeight="1">
      <c r="A940" s="16"/>
    </row>
    <row r="941" spans="1:1" ht="14.25" customHeight="1">
      <c r="A941" s="16"/>
    </row>
    <row r="942" spans="1:1" ht="14.25" customHeight="1">
      <c r="A942" s="16"/>
    </row>
    <row r="943" spans="1:1" ht="14.25" customHeight="1">
      <c r="A943" s="16"/>
    </row>
    <row r="944" spans="1:1" ht="14.25" customHeight="1">
      <c r="A944" s="16"/>
    </row>
    <row r="945" spans="1:1" ht="14.25" customHeight="1">
      <c r="A945" s="16"/>
    </row>
    <row r="946" spans="1:1" ht="14.25" customHeight="1">
      <c r="A946" s="16"/>
    </row>
    <row r="947" spans="1:1" ht="14.25" customHeight="1">
      <c r="A947" s="16"/>
    </row>
    <row r="948" spans="1:1" ht="14.25" customHeight="1">
      <c r="A948" s="16"/>
    </row>
    <row r="949" spans="1:1" ht="14.25" customHeight="1">
      <c r="A949" s="16"/>
    </row>
    <row r="950" spans="1:1" ht="14.25" customHeight="1">
      <c r="A950" s="16"/>
    </row>
    <row r="951" spans="1:1" ht="14.25" customHeight="1">
      <c r="A951" s="16"/>
    </row>
    <row r="952" spans="1:1" ht="14.25" customHeight="1">
      <c r="A952" s="16"/>
    </row>
    <row r="953" spans="1:1" ht="14.25" customHeight="1">
      <c r="A953" s="16"/>
    </row>
    <row r="954" spans="1:1" ht="14.25" customHeight="1">
      <c r="A954" s="16"/>
    </row>
    <row r="955" spans="1:1" ht="14.25" customHeight="1">
      <c r="A955" s="16"/>
    </row>
    <row r="956" spans="1:1" ht="14.25" customHeight="1">
      <c r="A956" s="16"/>
    </row>
    <row r="957" spans="1:1" ht="14.25" customHeight="1">
      <c r="A957" s="16"/>
    </row>
    <row r="958" spans="1:1" ht="14.25" customHeight="1">
      <c r="A958" s="16"/>
    </row>
    <row r="959" spans="1:1" ht="14.25" customHeight="1">
      <c r="A959" s="16"/>
    </row>
    <row r="960" spans="1:1" ht="14.25" customHeight="1">
      <c r="A960" s="16"/>
    </row>
    <row r="961" spans="1:1" ht="14.25" customHeight="1">
      <c r="A961" s="16"/>
    </row>
    <row r="962" spans="1:1" ht="14.25" customHeight="1">
      <c r="A962" s="16"/>
    </row>
    <row r="963" spans="1:1" ht="14.25" customHeight="1">
      <c r="A963" s="16"/>
    </row>
    <row r="964" spans="1:1" ht="14.25" customHeight="1">
      <c r="A964" s="16"/>
    </row>
    <row r="965" spans="1:1" ht="14.25" customHeight="1">
      <c r="A965" s="16"/>
    </row>
    <row r="966" spans="1:1" ht="14.25" customHeight="1">
      <c r="A966" s="16"/>
    </row>
    <row r="967" spans="1:1" ht="14.25" customHeight="1">
      <c r="A967" s="16"/>
    </row>
    <row r="968" spans="1:1" ht="14.25" customHeight="1">
      <c r="A968" s="16"/>
    </row>
    <row r="969" spans="1:1" ht="14.25" customHeight="1">
      <c r="A969" s="16"/>
    </row>
    <row r="970" spans="1:1" ht="14.25" customHeight="1">
      <c r="A970" s="16"/>
    </row>
    <row r="971" spans="1:1" ht="14.25" customHeight="1">
      <c r="A971" s="16"/>
    </row>
    <row r="972" spans="1:1" ht="14.25" customHeight="1">
      <c r="A972" s="16"/>
    </row>
    <row r="973" spans="1:1" ht="14.25" customHeight="1">
      <c r="A973" s="16"/>
    </row>
    <row r="974" spans="1:1" ht="14.25" customHeight="1">
      <c r="A974" s="16"/>
    </row>
    <row r="975" spans="1:1" ht="14.25" customHeight="1">
      <c r="A975" s="16"/>
    </row>
    <row r="976" spans="1:1" ht="14.25" customHeight="1">
      <c r="A976" s="16"/>
    </row>
    <row r="977" spans="1:1" ht="14.25" customHeight="1">
      <c r="A977" s="16"/>
    </row>
    <row r="978" spans="1:1" ht="14.25" customHeight="1">
      <c r="A978" s="16"/>
    </row>
    <row r="979" spans="1:1" ht="14.25" customHeight="1">
      <c r="A979" s="16"/>
    </row>
    <row r="980" spans="1:1" ht="14.25" customHeight="1">
      <c r="A980" s="16"/>
    </row>
    <row r="981" spans="1:1" ht="14.25" customHeight="1">
      <c r="A981" s="16"/>
    </row>
    <row r="982" spans="1:1" ht="14.25" customHeight="1">
      <c r="A982" s="16"/>
    </row>
    <row r="983" spans="1:1" ht="14.25" customHeight="1">
      <c r="A983" s="16"/>
    </row>
    <row r="984" spans="1:1" ht="14.25" customHeight="1">
      <c r="A984" s="16"/>
    </row>
    <row r="985" spans="1:1" ht="14.25" customHeight="1">
      <c r="A985" s="16"/>
    </row>
    <row r="986" spans="1:1" ht="14.25" customHeight="1">
      <c r="A986" s="16"/>
    </row>
    <row r="987" spans="1:1" ht="14.25" customHeight="1">
      <c r="A987" s="16"/>
    </row>
    <row r="988" spans="1:1" ht="14.25" customHeight="1">
      <c r="A988" s="16"/>
    </row>
    <row r="989" spans="1:1" ht="14.25" customHeight="1">
      <c r="A989" s="16"/>
    </row>
    <row r="990" spans="1:1" ht="14.25" customHeight="1">
      <c r="A990" s="16"/>
    </row>
    <row r="991" spans="1:1" ht="14.25" customHeight="1">
      <c r="A991" s="16"/>
    </row>
    <row r="992" spans="1:1" ht="14.25" customHeight="1">
      <c r="A992" s="16"/>
    </row>
    <row r="993" spans="1:1" ht="14.25" customHeight="1">
      <c r="A993" s="16"/>
    </row>
    <row r="994" spans="1:1" ht="14.25" customHeight="1">
      <c r="A994" s="16"/>
    </row>
    <row r="995" spans="1:1" ht="14.25" customHeight="1">
      <c r="A995" s="16"/>
    </row>
    <row r="996" spans="1:1" ht="14.25" customHeight="1">
      <c r="A996" s="16"/>
    </row>
    <row r="997" spans="1:1" ht="14.25" customHeight="1">
      <c r="A997" s="16"/>
    </row>
    <row r="998" spans="1:1" ht="14.25" customHeight="1">
      <c r="A998" s="16"/>
    </row>
    <row r="999" spans="1:1" ht="14.25" customHeight="1">
      <c r="A999" s="16"/>
    </row>
    <row r="1000" spans="1:1" ht="14.25" customHeight="1">
      <c r="A1000" s="16"/>
    </row>
  </sheetData>
  <mergeCells count="4">
    <mergeCell ref="G45:G46"/>
    <mergeCell ref="I45:I46"/>
    <mergeCell ref="K45:K46"/>
    <mergeCell ref="M45:M46"/>
  </mergeCells>
  <pageMargins left="0.51181102362204722" right="0.51181102362204722" top="1.1811023622047245" bottom="1.181102362204724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datapoints</vt:lpstr>
      <vt:lpstr>habitat_m</vt:lpstr>
      <vt:lpstr>habitat_t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Adriene</dc:creator>
  <cp:lastModifiedBy>Elvio Medeiros</cp:lastModifiedBy>
  <dcterms:created xsi:type="dcterms:W3CDTF">2012-08-10T11:52:31Z</dcterms:created>
  <dcterms:modified xsi:type="dcterms:W3CDTF">2024-02-11T21:19:50Z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</Properties>
</file>