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0d9b848b88e342/MSS/_rebio23-mxr/mxr23_Q/data/"/>
    </mc:Choice>
  </mc:AlternateContent>
  <xr:revisionPtr revIDLastSave="942" documentId="11_87A01740D38F142439A96272557A2286C1160297" xr6:coauthVersionLast="47" xr6:coauthVersionMax="47" xr10:uidLastSave="{0F98FCEA-235E-4318-90FA-38C05C6E7CDB}"/>
  <bookViews>
    <workbookView xWindow="-120" yWindow="-120" windowWidth="29040" windowHeight="15720" tabRatio="637" firstSheet="2" activeTab="2" xr2:uid="{00000000-000D-0000-FFFF-FFFF00000000}"/>
  </bookViews>
  <sheets>
    <sheet name="original" sheetId="1" r:id="rId1"/>
    <sheet name="peixes-x" sheetId="2" r:id="rId2"/>
    <sheet name="peixes-fisio" sheetId="5" r:id="rId3"/>
    <sheet name="codes" sheetId="3" r:id="rId4"/>
    <sheet name="comunidade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W2" i="5" l="1"/>
  <c r="T425" i="5"/>
  <c r="T424" i="5"/>
  <c r="T423" i="5"/>
  <c r="T422" i="5"/>
  <c r="T208" i="5"/>
  <c r="AH339" i="5"/>
  <c r="AD339" i="5"/>
  <c r="AI339" i="5" s="1"/>
  <c r="AH338" i="5"/>
  <c r="AD338" i="5"/>
  <c r="AI338" i="5" s="1"/>
  <c r="AH337" i="5"/>
  <c r="AD337" i="5"/>
  <c r="AI337" i="5" s="1"/>
  <c r="AH336" i="5"/>
  <c r="AD336" i="5"/>
  <c r="AI336" i="5" s="1"/>
  <c r="AH335" i="5"/>
  <c r="AD335" i="5"/>
  <c r="AI335" i="5" s="1"/>
  <c r="AH334" i="5"/>
  <c r="AD334" i="5"/>
  <c r="AI334" i="5" s="1"/>
  <c r="AH333" i="5"/>
  <c r="AD333" i="5"/>
  <c r="AI333" i="5" s="1"/>
  <c r="AH332" i="5"/>
  <c r="AD332" i="5"/>
  <c r="AI332" i="5" s="1"/>
  <c r="AH331" i="5"/>
  <c r="AD331" i="5"/>
  <c r="AI331" i="5" s="1"/>
  <c r="AH330" i="5"/>
  <c r="AD330" i="5"/>
  <c r="AI330" i="5" s="1"/>
  <c r="AH329" i="5"/>
  <c r="AD329" i="5"/>
  <c r="AI329" i="5" s="1"/>
  <c r="AH328" i="5"/>
  <c r="AD328" i="5"/>
  <c r="AI328" i="5" s="1"/>
  <c r="AH327" i="5"/>
  <c r="AD327" i="5"/>
  <c r="AI327" i="5" s="1"/>
  <c r="AH326" i="5"/>
  <c r="AD326" i="5"/>
  <c r="AI326" i="5" s="1"/>
  <c r="AH325" i="5"/>
  <c r="AD325" i="5"/>
  <c r="AI325" i="5" s="1"/>
  <c r="AH324" i="5"/>
  <c r="AD324" i="5"/>
  <c r="AI324" i="5" s="1"/>
  <c r="AH323" i="5"/>
  <c r="AD323" i="5"/>
  <c r="AI323" i="5" s="1"/>
  <c r="AH322" i="5"/>
  <c r="AD322" i="5"/>
  <c r="AI322" i="5" s="1"/>
  <c r="AH321" i="5"/>
  <c r="AD321" i="5"/>
  <c r="AI321" i="5" s="1"/>
  <c r="AH320" i="5"/>
  <c r="AD320" i="5"/>
  <c r="AI320" i="5" s="1"/>
  <c r="AH319" i="5"/>
  <c r="AD319" i="5"/>
  <c r="AI319" i="5" s="1"/>
  <c r="AH318" i="5"/>
  <c r="AD318" i="5"/>
  <c r="AI318" i="5" s="1"/>
  <c r="AH214" i="5"/>
  <c r="AD214" i="5"/>
  <c r="AI214" i="5" s="1"/>
  <c r="AH213" i="5"/>
  <c r="AD213" i="5"/>
  <c r="AI213" i="5" s="1"/>
  <c r="AH212" i="5"/>
  <c r="AD212" i="5"/>
  <c r="AI212" i="5" s="1"/>
  <c r="AH211" i="5"/>
  <c r="AD211" i="5"/>
  <c r="AI211" i="5" s="1"/>
  <c r="AH210" i="5"/>
  <c r="AD210" i="5"/>
  <c r="AI210" i="5" s="1"/>
  <c r="AH209" i="5"/>
  <c r="AD209" i="5"/>
  <c r="AI209" i="5" s="1"/>
  <c r="AH207" i="5"/>
  <c r="AD207" i="5"/>
  <c r="AI207" i="5" s="1"/>
  <c r="AH206" i="5"/>
  <c r="AD206" i="5"/>
  <c r="AI206" i="5" s="1"/>
  <c r="AH205" i="5"/>
  <c r="AD205" i="5"/>
  <c r="AI205" i="5" s="1"/>
  <c r="AH204" i="5"/>
  <c r="AD204" i="5"/>
  <c r="AI204" i="5" s="1"/>
  <c r="AH203" i="5"/>
  <c r="AD203" i="5"/>
  <c r="AI203" i="5" s="1"/>
  <c r="AH202" i="5"/>
  <c r="AD202" i="5"/>
  <c r="AI202" i="5" s="1"/>
  <c r="AH201" i="5"/>
  <c r="AD201" i="5"/>
  <c r="AI201" i="5" s="1"/>
  <c r="AH200" i="5"/>
  <c r="AD200" i="5"/>
  <c r="AI200" i="5" s="1"/>
  <c r="AH199" i="5"/>
  <c r="AD199" i="5"/>
  <c r="AI199" i="5" s="1"/>
  <c r="AH198" i="5"/>
  <c r="AD198" i="5"/>
  <c r="AI198" i="5" s="1"/>
  <c r="AH197" i="5"/>
  <c r="AD197" i="5"/>
  <c r="AI197" i="5" s="1"/>
  <c r="AH196" i="5"/>
  <c r="AD196" i="5"/>
  <c r="AI196" i="5" s="1"/>
  <c r="AH195" i="5"/>
  <c r="AD195" i="5"/>
  <c r="AI195" i="5" s="1"/>
  <c r="AH194" i="5"/>
  <c r="AD194" i="5"/>
  <c r="AI194" i="5" s="1"/>
  <c r="AH193" i="5"/>
  <c r="AD193" i="5"/>
  <c r="AI193" i="5" s="1"/>
  <c r="AH128" i="5"/>
  <c r="AD128" i="5"/>
  <c r="AI128" i="5" s="1"/>
  <c r="AH127" i="5"/>
  <c r="AD127" i="5"/>
  <c r="AI127" i="5" s="1"/>
  <c r="AH126" i="5"/>
  <c r="AD126" i="5"/>
  <c r="AI126" i="5" s="1"/>
  <c r="AH125" i="5"/>
  <c r="AD125" i="5"/>
  <c r="AI125" i="5" s="1"/>
  <c r="AH124" i="5"/>
  <c r="AD124" i="5"/>
  <c r="AH123" i="5"/>
  <c r="AD123" i="5"/>
  <c r="AI123" i="5" s="1"/>
  <c r="AH122" i="5"/>
  <c r="AD122" i="5"/>
  <c r="AI122" i="5" s="1"/>
  <c r="AH121" i="5"/>
  <c r="AD121" i="5"/>
  <c r="AH120" i="5"/>
  <c r="AD120" i="5"/>
  <c r="AI120" i="5" s="1"/>
  <c r="AH119" i="5"/>
  <c r="AD119" i="5"/>
  <c r="AI119" i="5" s="1"/>
  <c r="AH118" i="5"/>
  <c r="AD118" i="5"/>
  <c r="AI118" i="5" s="1"/>
  <c r="AH117" i="5"/>
  <c r="AD117" i="5"/>
  <c r="AI117" i="5" s="1"/>
  <c r="AH116" i="5"/>
  <c r="AD116" i="5"/>
  <c r="AI116" i="5" s="1"/>
  <c r="AH115" i="5"/>
  <c r="AD115" i="5"/>
  <c r="AI115" i="5" s="1"/>
  <c r="AH114" i="5"/>
  <c r="AD114" i="5"/>
  <c r="AI114" i="5" s="1"/>
  <c r="AH113" i="5"/>
  <c r="AD113" i="5"/>
  <c r="AI113" i="5" s="1"/>
  <c r="AH101" i="5"/>
  <c r="AD101" i="5"/>
  <c r="AI101" i="5" s="1"/>
  <c r="AH100" i="5"/>
  <c r="AD100" i="5"/>
  <c r="AI100" i="5" s="1"/>
  <c r="AH99" i="5"/>
  <c r="AD99" i="5"/>
  <c r="AI99" i="5" s="1"/>
  <c r="AH98" i="5"/>
  <c r="AD98" i="5"/>
  <c r="AI98" i="5" s="1"/>
  <c r="AH97" i="5"/>
  <c r="AD97" i="5"/>
  <c r="AI97" i="5" s="1"/>
  <c r="AH96" i="5"/>
  <c r="AD96" i="5"/>
  <c r="AI96" i="5" s="1"/>
  <c r="AH95" i="5"/>
  <c r="AD95" i="5"/>
  <c r="AI95" i="5" s="1"/>
  <c r="AH94" i="5"/>
  <c r="AD94" i="5"/>
  <c r="AI94" i="5" s="1"/>
  <c r="AH93" i="5"/>
  <c r="AD93" i="5"/>
  <c r="AI93" i="5" s="1"/>
  <c r="AH92" i="5"/>
  <c r="AD92" i="5"/>
  <c r="AI92" i="5" s="1"/>
  <c r="AH91" i="5"/>
  <c r="AD91" i="5"/>
  <c r="AI91" i="5" s="1"/>
  <c r="AH90" i="5"/>
  <c r="AD90" i="5"/>
  <c r="AI90" i="5" s="1"/>
  <c r="AH89" i="5"/>
  <c r="AD89" i="5"/>
  <c r="AI89" i="5" s="1"/>
  <c r="AH88" i="5"/>
  <c r="AD88" i="5"/>
  <c r="AI88" i="5" s="1"/>
  <c r="AH87" i="5"/>
  <c r="AD87" i="5"/>
  <c r="AI87" i="5" s="1"/>
  <c r="AH86" i="5"/>
  <c r="AD86" i="5"/>
  <c r="AI86" i="5" s="1"/>
  <c r="AH64" i="5"/>
  <c r="AD64" i="5"/>
  <c r="AI64" i="5" s="1"/>
  <c r="AH63" i="5"/>
  <c r="AD63" i="5"/>
  <c r="AI63" i="5" s="1"/>
  <c r="AH62" i="5"/>
  <c r="AD62" i="5"/>
  <c r="AI62" i="5" s="1"/>
  <c r="AH61" i="5"/>
  <c r="AD61" i="5"/>
  <c r="AI61" i="5" s="1"/>
  <c r="AH60" i="5"/>
  <c r="AD60" i="5"/>
  <c r="AI60" i="5" s="1"/>
  <c r="AH59" i="5"/>
  <c r="AD59" i="5"/>
  <c r="AI59" i="5" s="1"/>
  <c r="AH58" i="5"/>
  <c r="AD58" i="5"/>
  <c r="AI58" i="5" s="1"/>
  <c r="AH57" i="5"/>
  <c r="AD57" i="5"/>
  <c r="AI57" i="5" s="1"/>
  <c r="AH56" i="5"/>
  <c r="AD56" i="5"/>
  <c r="AI56" i="5" s="1"/>
  <c r="AH46" i="5"/>
  <c r="AD46" i="5"/>
  <c r="AI46" i="5" s="1"/>
  <c r="AH45" i="5"/>
  <c r="AD45" i="5"/>
  <c r="AI45" i="5" s="1"/>
  <c r="AH44" i="5"/>
  <c r="AD44" i="5"/>
  <c r="AI44" i="5" s="1"/>
  <c r="AH43" i="5"/>
  <c r="AD43" i="5"/>
  <c r="AI43" i="5" s="1"/>
  <c r="AH42" i="5"/>
  <c r="AD42" i="5"/>
  <c r="AI42" i="5" s="1"/>
  <c r="AH41" i="5"/>
  <c r="AD41" i="5"/>
  <c r="AI41" i="5" s="1"/>
  <c r="AH40" i="5"/>
  <c r="AD40" i="5"/>
  <c r="AI40" i="5" s="1"/>
  <c r="AH39" i="5"/>
  <c r="AD39" i="5"/>
  <c r="AI39" i="5" s="1"/>
  <c r="AH38" i="5"/>
  <c r="AD38" i="5"/>
  <c r="AI38" i="5" s="1"/>
  <c r="AH37" i="5"/>
  <c r="AD37" i="5"/>
  <c r="AI37" i="5" s="1"/>
  <c r="AH36" i="5"/>
  <c r="AD36" i="5"/>
  <c r="AI36" i="5" s="1"/>
  <c r="AH35" i="5"/>
  <c r="AD35" i="5"/>
  <c r="AI35" i="5" s="1"/>
  <c r="AH34" i="5"/>
  <c r="AD34" i="5"/>
  <c r="AI34" i="5" s="1"/>
  <c r="AH33" i="5"/>
  <c r="AD33" i="5"/>
  <c r="AI33" i="5" s="1"/>
  <c r="AH32" i="5"/>
  <c r="AD32" i="5"/>
  <c r="AI32" i="5" s="1"/>
  <c r="AH31" i="5"/>
  <c r="AD31" i="5"/>
  <c r="AI31" i="5" s="1"/>
  <c r="AH30" i="5"/>
  <c r="AD30" i="5"/>
  <c r="AI30" i="5" s="1"/>
  <c r="AH29" i="5"/>
  <c r="AD29" i="5"/>
  <c r="AI29" i="5" s="1"/>
  <c r="AH28" i="5"/>
  <c r="AD28" i="5"/>
  <c r="AI28" i="5" s="1"/>
  <c r="AH27" i="5"/>
  <c r="AD27" i="5"/>
  <c r="AI27" i="5" s="1"/>
  <c r="AH23" i="5"/>
  <c r="AD23" i="5"/>
  <c r="AI23" i="5" s="1"/>
  <c r="AH22" i="5"/>
  <c r="AD22" i="5"/>
  <c r="AI22" i="5" s="1"/>
  <c r="AH21" i="5"/>
  <c r="AD21" i="5"/>
  <c r="AI21" i="5" s="1"/>
  <c r="AH14" i="5"/>
  <c r="AD14" i="5"/>
  <c r="AI14" i="5" s="1"/>
  <c r="AH13" i="5"/>
  <c r="AD13" i="5"/>
  <c r="AI13" i="5" s="1"/>
  <c r="AH12" i="5"/>
  <c r="AD12" i="5"/>
  <c r="AI12" i="5" s="1"/>
  <c r="AH11" i="5"/>
  <c r="AD11" i="5"/>
  <c r="AI11" i="5" s="1"/>
  <c r="AH10" i="5"/>
  <c r="AD10" i="5"/>
  <c r="AI10" i="5" s="1"/>
  <c r="AH9" i="5"/>
  <c r="AD9" i="5"/>
  <c r="AI9" i="5" s="1"/>
  <c r="AI6" i="5"/>
  <c r="AH6" i="5"/>
  <c r="AI5" i="5"/>
  <c r="AH5" i="5"/>
  <c r="AI4" i="5"/>
  <c r="AH4" i="5"/>
  <c r="AI3" i="5"/>
  <c r="AH3" i="5"/>
  <c r="AI2" i="5"/>
  <c r="AH2" i="5"/>
  <c r="S421" i="5"/>
  <c r="T421" i="5" s="1"/>
  <c r="S420" i="5"/>
  <c r="T420" i="5" s="1"/>
  <c r="S419" i="5"/>
  <c r="T419" i="5" s="1"/>
  <c r="S418" i="5"/>
  <c r="T418" i="5" s="1"/>
  <c r="S417" i="5"/>
  <c r="T417" i="5" s="1"/>
  <c r="S416" i="5"/>
  <c r="T416" i="5" s="1"/>
  <c r="S415" i="5"/>
  <c r="T415" i="5" s="1"/>
  <c r="S414" i="5"/>
  <c r="T414" i="5" s="1"/>
  <c r="S413" i="5"/>
  <c r="T413" i="5" s="1"/>
  <c r="S412" i="5"/>
  <c r="T412" i="5" s="1"/>
  <c r="S411" i="5"/>
  <c r="T411" i="5" s="1"/>
  <c r="S410" i="5"/>
  <c r="T410" i="5" s="1"/>
  <c r="S409" i="5"/>
  <c r="T409" i="5" s="1"/>
  <c r="S408" i="5"/>
  <c r="T408" i="5" s="1"/>
  <c r="S407" i="5"/>
  <c r="T407" i="5" s="1"/>
  <c r="S406" i="5"/>
  <c r="T406" i="5" s="1"/>
  <c r="S405" i="5"/>
  <c r="T405" i="5" s="1"/>
  <c r="S404" i="5"/>
  <c r="T404" i="5" s="1"/>
  <c r="S403" i="5"/>
  <c r="T403" i="5" s="1"/>
  <c r="S402" i="5"/>
  <c r="T402" i="5" s="1"/>
  <c r="S401" i="5"/>
  <c r="T401" i="5" s="1"/>
  <c r="S400" i="5"/>
  <c r="T400" i="5" s="1"/>
  <c r="S399" i="5"/>
  <c r="T399" i="5" s="1"/>
  <c r="S398" i="5"/>
  <c r="T398" i="5" s="1"/>
  <c r="S397" i="5"/>
  <c r="T397" i="5" s="1"/>
  <c r="S396" i="5"/>
  <c r="T396" i="5" s="1"/>
  <c r="S395" i="5"/>
  <c r="T395" i="5" s="1"/>
  <c r="S394" i="5"/>
  <c r="T394" i="5" s="1"/>
  <c r="S393" i="5"/>
  <c r="T393" i="5" s="1"/>
  <c r="S392" i="5"/>
  <c r="T392" i="5" s="1"/>
  <c r="S391" i="5"/>
  <c r="T391" i="5" s="1"/>
  <c r="S390" i="5"/>
  <c r="T390" i="5" s="1"/>
  <c r="S389" i="5"/>
  <c r="T389" i="5" s="1"/>
  <c r="S388" i="5"/>
  <c r="T388" i="5" s="1"/>
  <c r="S387" i="5"/>
  <c r="T387" i="5" s="1"/>
  <c r="S386" i="5"/>
  <c r="T386" i="5" s="1"/>
  <c r="S385" i="5"/>
  <c r="T385" i="5" s="1"/>
  <c r="S384" i="5"/>
  <c r="T384" i="5" s="1"/>
  <c r="S383" i="5"/>
  <c r="T383" i="5" s="1"/>
  <c r="S382" i="5"/>
  <c r="T382" i="5" s="1"/>
  <c r="S381" i="5"/>
  <c r="T381" i="5" s="1"/>
  <c r="S380" i="5"/>
  <c r="T380" i="5" s="1"/>
  <c r="S379" i="5"/>
  <c r="T379" i="5" s="1"/>
  <c r="S378" i="5"/>
  <c r="T378" i="5" s="1"/>
  <c r="S377" i="5"/>
  <c r="T377" i="5" s="1"/>
  <c r="S376" i="5"/>
  <c r="T376" i="5" s="1"/>
  <c r="S375" i="5"/>
  <c r="T375" i="5" s="1"/>
  <c r="S374" i="5"/>
  <c r="T374" i="5" s="1"/>
  <c r="S373" i="5"/>
  <c r="T373" i="5" s="1"/>
  <c r="S372" i="5"/>
  <c r="T372" i="5" s="1"/>
  <c r="S371" i="5"/>
  <c r="T371" i="5" s="1"/>
  <c r="S370" i="5"/>
  <c r="T370" i="5" s="1"/>
  <c r="S369" i="5"/>
  <c r="T369" i="5" s="1"/>
  <c r="S368" i="5"/>
  <c r="T368" i="5" s="1"/>
  <c r="S367" i="5"/>
  <c r="T367" i="5" s="1"/>
  <c r="S366" i="5"/>
  <c r="T366" i="5" s="1"/>
  <c r="S365" i="5"/>
  <c r="T365" i="5" s="1"/>
  <c r="S364" i="5"/>
  <c r="T364" i="5" s="1"/>
  <c r="S363" i="5"/>
  <c r="T363" i="5" s="1"/>
  <c r="S362" i="5"/>
  <c r="T362" i="5" s="1"/>
  <c r="S361" i="5"/>
  <c r="T361" i="5" s="1"/>
  <c r="S360" i="5"/>
  <c r="T360" i="5" s="1"/>
  <c r="S359" i="5"/>
  <c r="T359" i="5" s="1"/>
  <c r="S358" i="5"/>
  <c r="T358" i="5" s="1"/>
  <c r="S357" i="5"/>
  <c r="T357" i="5" s="1"/>
  <c r="S356" i="5"/>
  <c r="T356" i="5" s="1"/>
  <c r="S355" i="5"/>
  <c r="T355" i="5" s="1"/>
  <c r="S354" i="5"/>
  <c r="T354" i="5" s="1"/>
  <c r="S353" i="5"/>
  <c r="T353" i="5" s="1"/>
  <c r="S352" i="5"/>
  <c r="T352" i="5" s="1"/>
  <c r="S351" i="5"/>
  <c r="T351" i="5" s="1"/>
  <c r="S350" i="5"/>
  <c r="T350" i="5" s="1"/>
  <c r="S349" i="5"/>
  <c r="T349" i="5" s="1"/>
  <c r="S348" i="5"/>
  <c r="T348" i="5" s="1"/>
  <c r="S347" i="5"/>
  <c r="T347" i="5" s="1"/>
  <c r="S346" i="5"/>
  <c r="T346" i="5" s="1"/>
  <c r="S345" i="5"/>
  <c r="T345" i="5" s="1"/>
  <c r="S344" i="5"/>
  <c r="T344" i="5" s="1"/>
  <c r="S343" i="5"/>
  <c r="T343" i="5" s="1"/>
  <c r="S342" i="5"/>
  <c r="T342" i="5" s="1"/>
  <c r="S341" i="5"/>
  <c r="T341" i="5" s="1"/>
  <c r="S340" i="5"/>
  <c r="T340" i="5" s="1"/>
  <c r="S339" i="5"/>
  <c r="T339" i="5" s="1"/>
  <c r="S338" i="5"/>
  <c r="T338" i="5" s="1"/>
  <c r="S337" i="5"/>
  <c r="T337" i="5" s="1"/>
  <c r="S336" i="5"/>
  <c r="T336" i="5" s="1"/>
  <c r="S335" i="5"/>
  <c r="T335" i="5" s="1"/>
  <c r="S334" i="5"/>
  <c r="T334" i="5" s="1"/>
  <c r="S333" i="5"/>
  <c r="T333" i="5" s="1"/>
  <c r="S332" i="5"/>
  <c r="T332" i="5" s="1"/>
  <c r="S331" i="5"/>
  <c r="T331" i="5" s="1"/>
  <c r="S330" i="5"/>
  <c r="T330" i="5" s="1"/>
  <c r="S329" i="5"/>
  <c r="T329" i="5" s="1"/>
  <c r="S328" i="5"/>
  <c r="T328" i="5" s="1"/>
  <c r="S327" i="5"/>
  <c r="T327" i="5" s="1"/>
  <c r="S326" i="5"/>
  <c r="T326" i="5" s="1"/>
  <c r="S325" i="5"/>
  <c r="T325" i="5" s="1"/>
  <c r="S324" i="5"/>
  <c r="T324" i="5" s="1"/>
  <c r="S323" i="5"/>
  <c r="T323" i="5" s="1"/>
  <c r="S322" i="5"/>
  <c r="T322" i="5" s="1"/>
  <c r="S321" i="5"/>
  <c r="T321" i="5" s="1"/>
  <c r="S320" i="5"/>
  <c r="T320" i="5" s="1"/>
  <c r="S319" i="5"/>
  <c r="T319" i="5" s="1"/>
  <c r="S318" i="5"/>
  <c r="T318" i="5" s="1"/>
  <c r="S317" i="5"/>
  <c r="T317" i="5" s="1"/>
  <c r="S316" i="5"/>
  <c r="T316" i="5" s="1"/>
  <c r="S315" i="5"/>
  <c r="T315" i="5" s="1"/>
  <c r="S314" i="5"/>
  <c r="T314" i="5" s="1"/>
  <c r="S313" i="5"/>
  <c r="T313" i="5" s="1"/>
  <c r="S312" i="5"/>
  <c r="T312" i="5" s="1"/>
  <c r="S311" i="5"/>
  <c r="T311" i="5" s="1"/>
  <c r="S310" i="5"/>
  <c r="T310" i="5" s="1"/>
  <c r="S309" i="5"/>
  <c r="T309" i="5" s="1"/>
  <c r="S308" i="5"/>
  <c r="T308" i="5" s="1"/>
  <c r="S307" i="5"/>
  <c r="T307" i="5" s="1"/>
  <c r="S306" i="5"/>
  <c r="T306" i="5" s="1"/>
  <c r="S305" i="5"/>
  <c r="T305" i="5" s="1"/>
  <c r="S304" i="5"/>
  <c r="T304" i="5" s="1"/>
  <c r="S303" i="5"/>
  <c r="T303" i="5" s="1"/>
  <c r="S302" i="5"/>
  <c r="T302" i="5" s="1"/>
  <c r="S301" i="5"/>
  <c r="T301" i="5" s="1"/>
  <c r="S300" i="5"/>
  <c r="T300" i="5" s="1"/>
  <c r="S299" i="5"/>
  <c r="T299" i="5" s="1"/>
  <c r="S298" i="5"/>
  <c r="T298" i="5" s="1"/>
  <c r="S297" i="5"/>
  <c r="T297" i="5" s="1"/>
  <c r="S296" i="5"/>
  <c r="T296" i="5" s="1"/>
  <c r="S295" i="5"/>
  <c r="T295" i="5" s="1"/>
  <c r="S294" i="5"/>
  <c r="T294" i="5" s="1"/>
  <c r="S293" i="5"/>
  <c r="T293" i="5" s="1"/>
  <c r="S292" i="5"/>
  <c r="T292" i="5" s="1"/>
  <c r="S291" i="5"/>
  <c r="T291" i="5" s="1"/>
  <c r="S290" i="5"/>
  <c r="T290" i="5" s="1"/>
  <c r="S289" i="5"/>
  <c r="T289" i="5" s="1"/>
  <c r="S288" i="5"/>
  <c r="T288" i="5" s="1"/>
  <c r="S287" i="5"/>
  <c r="T287" i="5" s="1"/>
  <c r="S286" i="5"/>
  <c r="T286" i="5" s="1"/>
  <c r="S285" i="5"/>
  <c r="T285" i="5" s="1"/>
  <c r="S284" i="5"/>
  <c r="T284" i="5" s="1"/>
  <c r="S283" i="5"/>
  <c r="T283" i="5" s="1"/>
  <c r="S282" i="5"/>
  <c r="T282" i="5" s="1"/>
  <c r="S281" i="5"/>
  <c r="T281" i="5" s="1"/>
  <c r="S280" i="5"/>
  <c r="T280" i="5" s="1"/>
  <c r="S279" i="5"/>
  <c r="T279" i="5" s="1"/>
  <c r="S278" i="5"/>
  <c r="T278" i="5" s="1"/>
  <c r="S277" i="5"/>
  <c r="T277" i="5" s="1"/>
  <c r="S276" i="5"/>
  <c r="T276" i="5" s="1"/>
  <c r="S275" i="5"/>
  <c r="T275" i="5" s="1"/>
  <c r="S274" i="5"/>
  <c r="T274" i="5" s="1"/>
  <c r="S273" i="5"/>
  <c r="T273" i="5" s="1"/>
  <c r="S272" i="5"/>
  <c r="T272" i="5" s="1"/>
  <c r="S271" i="5"/>
  <c r="T271" i="5" s="1"/>
  <c r="S270" i="5"/>
  <c r="T270" i="5" s="1"/>
  <c r="S269" i="5"/>
  <c r="T269" i="5" s="1"/>
  <c r="S268" i="5"/>
  <c r="T268" i="5" s="1"/>
  <c r="S267" i="5"/>
  <c r="T267" i="5" s="1"/>
  <c r="S266" i="5"/>
  <c r="T266" i="5" s="1"/>
  <c r="S265" i="5"/>
  <c r="T265" i="5" s="1"/>
  <c r="S264" i="5"/>
  <c r="T264" i="5" s="1"/>
  <c r="S263" i="5"/>
  <c r="T263" i="5" s="1"/>
  <c r="S262" i="5"/>
  <c r="T262" i="5" s="1"/>
  <c r="S261" i="5"/>
  <c r="T261" i="5" s="1"/>
  <c r="S260" i="5"/>
  <c r="T260" i="5" s="1"/>
  <c r="S259" i="5"/>
  <c r="T259" i="5" s="1"/>
  <c r="S258" i="5"/>
  <c r="T258" i="5" s="1"/>
  <c r="S257" i="5"/>
  <c r="T257" i="5" s="1"/>
  <c r="S256" i="5"/>
  <c r="T256" i="5" s="1"/>
  <c r="S255" i="5"/>
  <c r="T255" i="5" s="1"/>
  <c r="S254" i="5"/>
  <c r="T254" i="5" s="1"/>
  <c r="S253" i="5"/>
  <c r="T253" i="5" s="1"/>
  <c r="S252" i="5"/>
  <c r="T252" i="5" s="1"/>
  <c r="S251" i="5"/>
  <c r="T251" i="5" s="1"/>
  <c r="S250" i="5"/>
  <c r="T250" i="5" s="1"/>
  <c r="S249" i="5"/>
  <c r="T249" i="5" s="1"/>
  <c r="S248" i="5"/>
  <c r="T248" i="5" s="1"/>
  <c r="S247" i="5"/>
  <c r="T247" i="5" s="1"/>
  <c r="S246" i="5"/>
  <c r="T246" i="5" s="1"/>
  <c r="S245" i="5"/>
  <c r="T245" i="5" s="1"/>
  <c r="S244" i="5"/>
  <c r="T244" i="5" s="1"/>
  <c r="S243" i="5"/>
  <c r="T243" i="5" s="1"/>
  <c r="S242" i="5"/>
  <c r="T242" i="5" s="1"/>
  <c r="S241" i="5"/>
  <c r="T241" i="5" s="1"/>
  <c r="S240" i="5"/>
  <c r="T240" i="5" s="1"/>
  <c r="S239" i="5"/>
  <c r="T239" i="5" s="1"/>
  <c r="S238" i="5"/>
  <c r="T238" i="5" s="1"/>
  <c r="S237" i="5"/>
  <c r="T237" i="5" s="1"/>
  <c r="S236" i="5"/>
  <c r="T236" i="5" s="1"/>
  <c r="S235" i="5"/>
  <c r="T235" i="5" s="1"/>
  <c r="S234" i="5"/>
  <c r="T234" i="5" s="1"/>
  <c r="S233" i="5"/>
  <c r="T233" i="5" s="1"/>
  <c r="S232" i="5"/>
  <c r="T232" i="5" s="1"/>
  <c r="S231" i="5"/>
  <c r="T231" i="5" s="1"/>
  <c r="S230" i="5"/>
  <c r="T230" i="5" s="1"/>
  <c r="S229" i="5"/>
  <c r="T229" i="5" s="1"/>
  <c r="S228" i="5"/>
  <c r="T228" i="5" s="1"/>
  <c r="S227" i="5"/>
  <c r="T227" i="5" s="1"/>
  <c r="S226" i="5"/>
  <c r="T226" i="5" s="1"/>
  <c r="S225" i="5"/>
  <c r="T225" i="5" s="1"/>
  <c r="S224" i="5"/>
  <c r="T224" i="5" s="1"/>
  <c r="S223" i="5"/>
  <c r="T223" i="5" s="1"/>
  <c r="S222" i="5"/>
  <c r="T222" i="5" s="1"/>
  <c r="S221" i="5"/>
  <c r="T221" i="5" s="1"/>
  <c r="S220" i="5"/>
  <c r="T220" i="5" s="1"/>
  <c r="S219" i="5"/>
  <c r="T219" i="5" s="1"/>
  <c r="S218" i="5"/>
  <c r="T218" i="5" s="1"/>
  <c r="S217" i="5"/>
  <c r="T217" i="5" s="1"/>
  <c r="S216" i="5"/>
  <c r="T216" i="5" s="1"/>
  <c r="S215" i="5"/>
  <c r="T215" i="5" s="1"/>
  <c r="S214" i="5"/>
  <c r="T214" i="5" s="1"/>
  <c r="S213" i="5"/>
  <c r="T213" i="5" s="1"/>
  <c r="S212" i="5"/>
  <c r="T212" i="5" s="1"/>
  <c r="S211" i="5"/>
  <c r="T211" i="5" s="1"/>
  <c r="S210" i="5"/>
  <c r="T210" i="5" s="1"/>
  <c r="S209" i="5"/>
  <c r="T209" i="5" s="1"/>
  <c r="S207" i="5"/>
  <c r="T207" i="5" s="1"/>
  <c r="S206" i="5"/>
  <c r="T206" i="5" s="1"/>
  <c r="S205" i="5"/>
  <c r="T205" i="5" s="1"/>
  <c r="S204" i="5"/>
  <c r="T204" i="5" s="1"/>
  <c r="S203" i="5"/>
  <c r="T203" i="5" s="1"/>
  <c r="S202" i="5"/>
  <c r="T202" i="5" s="1"/>
  <c r="S201" i="5"/>
  <c r="T201" i="5" s="1"/>
  <c r="S200" i="5"/>
  <c r="T200" i="5" s="1"/>
  <c r="S199" i="5"/>
  <c r="T199" i="5" s="1"/>
  <c r="S198" i="5"/>
  <c r="T198" i="5" s="1"/>
  <c r="S197" i="5"/>
  <c r="T197" i="5" s="1"/>
  <c r="S196" i="5"/>
  <c r="T196" i="5" s="1"/>
  <c r="S195" i="5"/>
  <c r="T195" i="5" s="1"/>
  <c r="S194" i="5"/>
  <c r="T194" i="5" s="1"/>
  <c r="S193" i="5"/>
  <c r="T193" i="5" s="1"/>
  <c r="S192" i="5"/>
  <c r="T192" i="5" s="1"/>
  <c r="S191" i="5"/>
  <c r="T191" i="5" s="1"/>
  <c r="S190" i="5"/>
  <c r="T190" i="5" s="1"/>
  <c r="S189" i="5"/>
  <c r="T189" i="5" s="1"/>
  <c r="S188" i="5"/>
  <c r="T188" i="5" s="1"/>
  <c r="S187" i="5"/>
  <c r="T187" i="5" s="1"/>
  <c r="S186" i="5"/>
  <c r="T186" i="5" s="1"/>
  <c r="S185" i="5"/>
  <c r="T185" i="5" s="1"/>
  <c r="S184" i="5"/>
  <c r="T184" i="5" s="1"/>
  <c r="S183" i="5"/>
  <c r="T183" i="5" s="1"/>
  <c r="S182" i="5"/>
  <c r="T182" i="5" s="1"/>
  <c r="S181" i="5"/>
  <c r="T181" i="5" s="1"/>
  <c r="S180" i="5"/>
  <c r="T180" i="5" s="1"/>
  <c r="S179" i="5"/>
  <c r="T179" i="5" s="1"/>
  <c r="S178" i="5"/>
  <c r="T178" i="5" s="1"/>
  <c r="S177" i="5"/>
  <c r="T177" i="5" s="1"/>
  <c r="S176" i="5"/>
  <c r="T176" i="5" s="1"/>
  <c r="S175" i="5"/>
  <c r="T175" i="5" s="1"/>
  <c r="S174" i="5"/>
  <c r="T174" i="5" s="1"/>
  <c r="S173" i="5"/>
  <c r="T173" i="5" s="1"/>
  <c r="S172" i="5"/>
  <c r="T172" i="5" s="1"/>
  <c r="S171" i="5"/>
  <c r="T171" i="5" s="1"/>
  <c r="S170" i="5"/>
  <c r="T170" i="5" s="1"/>
  <c r="S169" i="5"/>
  <c r="T169" i="5" s="1"/>
  <c r="S168" i="5"/>
  <c r="T168" i="5" s="1"/>
  <c r="S167" i="5"/>
  <c r="T167" i="5" s="1"/>
  <c r="S166" i="5"/>
  <c r="T166" i="5" s="1"/>
  <c r="S165" i="5"/>
  <c r="T165" i="5" s="1"/>
  <c r="S164" i="5"/>
  <c r="T164" i="5" s="1"/>
  <c r="S163" i="5"/>
  <c r="T163" i="5" s="1"/>
  <c r="S162" i="5"/>
  <c r="T162" i="5" s="1"/>
  <c r="S161" i="5"/>
  <c r="T161" i="5" s="1"/>
  <c r="S160" i="5"/>
  <c r="T160" i="5" s="1"/>
  <c r="S159" i="5"/>
  <c r="T159" i="5" s="1"/>
  <c r="S158" i="5"/>
  <c r="T158" i="5" s="1"/>
  <c r="S157" i="5"/>
  <c r="T157" i="5" s="1"/>
  <c r="S156" i="5"/>
  <c r="T156" i="5" s="1"/>
  <c r="S155" i="5"/>
  <c r="T155" i="5" s="1"/>
  <c r="S154" i="5"/>
  <c r="T154" i="5" s="1"/>
  <c r="S153" i="5"/>
  <c r="T153" i="5" s="1"/>
  <c r="S152" i="5"/>
  <c r="T152" i="5" s="1"/>
  <c r="S151" i="5"/>
  <c r="T151" i="5" s="1"/>
  <c r="S150" i="5"/>
  <c r="T150" i="5" s="1"/>
  <c r="S149" i="5"/>
  <c r="T149" i="5" s="1"/>
  <c r="S148" i="5"/>
  <c r="T148" i="5" s="1"/>
  <c r="S147" i="5"/>
  <c r="T147" i="5" s="1"/>
  <c r="S146" i="5"/>
  <c r="T146" i="5" s="1"/>
  <c r="S145" i="5"/>
  <c r="T145" i="5" s="1"/>
  <c r="S144" i="5"/>
  <c r="T144" i="5" s="1"/>
  <c r="S143" i="5"/>
  <c r="T143" i="5" s="1"/>
  <c r="S142" i="5"/>
  <c r="T142" i="5" s="1"/>
  <c r="S141" i="5"/>
  <c r="T141" i="5" s="1"/>
  <c r="S140" i="5"/>
  <c r="T140" i="5" s="1"/>
  <c r="S139" i="5"/>
  <c r="T139" i="5" s="1"/>
  <c r="S138" i="5"/>
  <c r="T138" i="5" s="1"/>
  <c r="S137" i="5"/>
  <c r="T137" i="5" s="1"/>
  <c r="S136" i="5"/>
  <c r="T136" i="5" s="1"/>
  <c r="S135" i="5"/>
  <c r="T135" i="5" s="1"/>
  <c r="S134" i="5"/>
  <c r="T134" i="5" s="1"/>
  <c r="S133" i="5"/>
  <c r="T133" i="5" s="1"/>
  <c r="S132" i="5"/>
  <c r="T132" i="5" s="1"/>
  <c r="S131" i="5"/>
  <c r="T131" i="5" s="1"/>
  <c r="S130" i="5"/>
  <c r="T130" i="5" s="1"/>
  <c r="S129" i="5"/>
  <c r="T129" i="5" s="1"/>
  <c r="S128" i="5"/>
  <c r="T128" i="5" s="1"/>
  <c r="S127" i="5"/>
  <c r="T127" i="5" s="1"/>
  <c r="S126" i="5"/>
  <c r="T126" i="5" s="1"/>
  <c r="S125" i="5"/>
  <c r="T125" i="5" s="1"/>
  <c r="S124" i="5"/>
  <c r="T124" i="5" s="1"/>
  <c r="S123" i="5"/>
  <c r="T123" i="5" s="1"/>
  <c r="S122" i="5"/>
  <c r="T122" i="5" s="1"/>
  <c r="S121" i="5"/>
  <c r="T121" i="5" s="1"/>
  <c r="S120" i="5"/>
  <c r="T120" i="5" s="1"/>
  <c r="S119" i="5"/>
  <c r="T119" i="5" s="1"/>
  <c r="S118" i="5"/>
  <c r="T118" i="5" s="1"/>
  <c r="S117" i="5"/>
  <c r="T117" i="5" s="1"/>
  <c r="S116" i="5"/>
  <c r="T116" i="5" s="1"/>
  <c r="S115" i="5"/>
  <c r="T115" i="5" s="1"/>
  <c r="S114" i="5"/>
  <c r="T114" i="5" s="1"/>
  <c r="S113" i="5"/>
  <c r="T113" i="5" s="1"/>
  <c r="S112" i="5"/>
  <c r="T112" i="5" s="1"/>
  <c r="S111" i="5"/>
  <c r="T111" i="5" s="1"/>
  <c r="S110" i="5"/>
  <c r="T110" i="5" s="1"/>
  <c r="S109" i="5"/>
  <c r="T109" i="5" s="1"/>
  <c r="S108" i="5"/>
  <c r="T108" i="5" s="1"/>
  <c r="S107" i="5"/>
  <c r="T107" i="5" s="1"/>
  <c r="S106" i="5"/>
  <c r="T106" i="5" s="1"/>
  <c r="S105" i="5"/>
  <c r="T105" i="5" s="1"/>
  <c r="S104" i="5"/>
  <c r="T104" i="5" s="1"/>
  <c r="S103" i="5"/>
  <c r="T103" i="5" s="1"/>
  <c r="S102" i="5"/>
  <c r="T102" i="5" s="1"/>
  <c r="S101" i="5"/>
  <c r="T101" i="5" s="1"/>
  <c r="S100" i="5"/>
  <c r="T100" i="5" s="1"/>
  <c r="S99" i="5"/>
  <c r="T99" i="5" s="1"/>
  <c r="S98" i="5"/>
  <c r="T98" i="5" s="1"/>
  <c r="S97" i="5"/>
  <c r="T97" i="5" s="1"/>
  <c r="S96" i="5"/>
  <c r="T96" i="5" s="1"/>
  <c r="S95" i="5"/>
  <c r="T95" i="5" s="1"/>
  <c r="S94" i="5"/>
  <c r="T94" i="5" s="1"/>
  <c r="S93" i="5"/>
  <c r="T93" i="5" s="1"/>
  <c r="S92" i="5"/>
  <c r="T92" i="5" s="1"/>
  <c r="S91" i="5"/>
  <c r="T91" i="5" s="1"/>
  <c r="S90" i="5"/>
  <c r="T90" i="5" s="1"/>
  <c r="S89" i="5"/>
  <c r="T89" i="5" s="1"/>
  <c r="S88" i="5"/>
  <c r="T88" i="5" s="1"/>
  <c r="S87" i="5"/>
  <c r="T87" i="5" s="1"/>
  <c r="S86" i="5"/>
  <c r="T86" i="5" s="1"/>
  <c r="S85" i="5"/>
  <c r="T85" i="5" s="1"/>
  <c r="S84" i="5"/>
  <c r="T84" i="5" s="1"/>
  <c r="S83" i="5"/>
  <c r="T83" i="5" s="1"/>
  <c r="S82" i="5"/>
  <c r="T82" i="5" s="1"/>
  <c r="S81" i="5"/>
  <c r="T81" i="5" s="1"/>
  <c r="S80" i="5"/>
  <c r="T80" i="5" s="1"/>
  <c r="S79" i="5"/>
  <c r="T79" i="5" s="1"/>
  <c r="S78" i="5"/>
  <c r="T78" i="5" s="1"/>
  <c r="S77" i="5"/>
  <c r="T77" i="5" s="1"/>
  <c r="S76" i="5"/>
  <c r="T76" i="5" s="1"/>
  <c r="S75" i="5"/>
  <c r="T75" i="5" s="1"/>
  <c r="S74" i="5"/>
  <c r="T74" i="5" s="1"/>
  <c r="S73" i="5"/>
  <c r="T73" i="5" s="1"/>
  <c r="S72" i="5"/>
  <c r="T72" i="5" s="1"/>
  <c r="S71" i="5"/>
  <c r="T71" i="5" s="1"/>
  <c r="S70" i="5"/>
  <c r="T70" i="5" s="1"/>
  <c r="S69" i="5"/>
  <c r="T69" i="5" s="1"/>
  <c r="S68" i="5"/>
  <c r="T68" i="5" s="1"/>
  <c r="S67" i="5"/>
  <c r="T67" i="5" s="1"/>
  <c r="S66" i="5"/>
  <c r="T66" i="5" s="1"/>
  <c r="S65" i="5"/>
  <c r="T65" i="5" s="1"/>
  <c r="S64" i="5"/>
  <c r="T64" i="5" s="1"/>
  <c r="S63" i="5"/>
  <c r="T63" i="5" s="1"/>
  <c r="S62" i="5"/>
  <c r="T62" i="5" s="1"/>
  <c r="S61" i="5"/>
  <c r="T61" i="5" s="1"/>
  <c r="S60" i="5"/>
  <c r="T60" i="5" s="1"/>
  <c r="S59" i="5"/>
  <c r="T59" i="5" s="1"/>
  <c r="S58" i="5"/>
  <c r="T58" i="5" s="1"/>
  <c r="S57" i="5"/>
  <c r="T57" i="5" s="1"/>
  <c r="S56" i="5"/>
  <c r="T56" i="5" s="1"/>
  <c r="S55" i="5"/>
  <c r="T55" i="5" s="1"/>
  <c r="S54" i="5"/>
  <c r="T54" i="5" s="1"/>
  <c r="S53" i="5"/>
  <c r="T53" i="5" s="1"/>
  <c r="S52" i="5"/>
  <c r="T52" i="5" s="1"/>
  <c r="S51" i="5"/>
  <c r="T51" i="5" s="1"/>
  <c r="S50" i="5"/>
  <c r="T50" i="5" s="1"/>
  <c r="S49" i="5"/>
  <c r="T49" i="5" s="1"/>
  <c r="S48" i="5"/>
  <c r="T48" i="5" s="1"/>
  <c r="S47" i="5"/>
  <c r="T47" i="5" s="1"/>
  <c r="S46" i="5"/>
  <c r="T46" i="5" s="1"/>
  <c r="S45" i="5"/>
  <c r="T45" i="5" s="1"/>
  <c r="S44" i="5"/>
  <c r="T44" i="5" s="1"/>
  <c r="S43" i="5"/>
  <c r="T43" i="5" s="1"/>
  <c r="S42" i="5"/>
  <c r="T42" i="5" s="1"/>
  <c r="S41" i="5"/>
  <c r="T41" i="5" s="1"/>
  <c r="S40" i="5"/>
  <c r="T40" i="5" s="1"/>
  <c r="S39" i="5"/>
  <c r="T39" i="5" s="1"/>
  <c r="S38" i="5"/>
  <c r="T38" i="5" s="1"/>
  <c r="S37" i="5"/>
  <c r="T37" i="5" s="1"/>
  <c r="S36" i="5"/>
  <c r="T36" i="5" s="1"/>
  <c r="S35" i="5"/>
  <c r="T35" i="5" s="1"/>
  <c r="S34" i="5"/>
  <c r="T34" i="5" s="1"/>
  <c r="S33" i="5"/>
  <c r="T33" i="5" s="1"/>
  <c r="S32" i="5"/>
  <c r="T32" i="5" s="1"/>
  <c r="S31" i="5"/>
  <c r="T31" i="5" s="1"/>
  <c r="S30" i="5"/>
  <c r="T30" i="5" s="1"/>
  <c r="S29" i="5"/>
  <c r="T29" i="5" s="1"/>
  <c r="S28" i="5"/>
  <c r="T28" i="5" s="1"/>
  <c r="S27" i="5"/>
  <c r="T27" i="5" s="1"/>
  <c r="S26" i="5"/>
  <c r="T26" i="5" s="1"/>
  <c r="S25" i="5"/>
  <c r="T25" i="5" s="1"/>
  <c r="S24" i="5"/>
  <c r="T24" i="5" s="1"/>
  <c r="S23" i="5"/>
  <c r="T23" i="5" s="1"/>
  <c r="S22" i="5"/>
  <c r="T22" i="5" s="1"/>
  <c r="S21" i="5"/>
  <c r="T21" i="5" s="1"/>
  <c r="S20" i="5"/>
  <c r="T20" i="5" s="1"/>
  <c r="S19" i="5"/>
  <c r="T19" i="5" s="1"/>
  <c r="S18" i="5"/>
  <c r="T18" i="5" s="1"/>
  <c r="S17" i="5"/>
  <c r="T17" i="5" s="1"/>
  <c r="S16" i="5"/>
  <c r="T16" i="5" s="1"/>
  <c r="S15" i="5"/>
  <c r="T15" i="5" s="1"/>
  <c r="S14" i="5"/>
  <c r="T14" i="5" s="1"/>
  <c r="S13" i="5"/>
  <c r="T13" i="5" s="1"/>
  <c r="S12" i="5"/>
  <c r="T12" i="5" s="1"/>
  <c r="S11" i="5"/>
  <c r="T11" i="5" s="1"/>
  <c r="S10" i="5"/>
  <c r="T10" i="5" s="1"/>
  <c r="S9" i="5"/>
  <c r="T9" i="5" s="1"/>
  <c r="S8" i="5"/>
  <c r="T8" i="5" s="1"/>
  <c r="S7" i="5"/>
  <c r="T7" i="5" s="1"/>
  <c r="S6" i="5"/>
  <c r="T6" i="5" s="1"/>
  <c r="S5" i="5"/>
  <c r="T5" i="5" s="1"/>
  <c r="S4" i="5"/>
  <c r="T4" i="5" s="1"/>
  <c r="S3" i="5"/>
  <c r="T3" i="5" s="1"/>
  <c r="S2" i="5"/>
  <c r="T2" i="5" s="1"/>
  <c r="G15" i="3"/>
  <c r="H15" i="3" s="1"/>
  <c r="I15" i="3" s="1"/>
  <c r="E15" i="3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<sst xmlns="http://schemas.openxmlformats.org/spreadsheetml/2006/main" count="10735" uniqueCount="730">
  <si>
    <t>Etiqueta (C-P-P)</t>
  </si>
  <si>
    <t>Espécie</t>
  </si>
  <si>
    <t>Compr. padrão (mm)</t>
  </si>
  <si>
    <t>Compr. total (mm)</t>
  </si>
  <si>
    <t>Altura (mm)</t>
  </si>
  <si>
    <t>Peso (mg)</t>
  </si>
  <si>
    <t>Data (dd/mm/aa)</t>
  </si>
  <si>
    <t>Observação (*)</t>
  </si>
  <si>
    <t>1-10-1</t>
  </si>
  <si>
    <t>1-10-2</t>
  </si>
  <si>
    <t>1-10-3</t>
  </si>
  <si>
    <t>1-10-4</t>
  </si>
  <si>
    <t>1-10-5</t>
  </si>
  <si>
    <t>1-10-6</t>
  </si>
  <si>
    <t>1-10-7</t>
  </si>
  <si>
    <t>*</t>
  </si>
  <si>
    <t>*nadadeira caudal ausente</t>
  </si>
  <si>
    <t>2-6-1</t>
  </si>
  <si>
    <t>Hemmigramus unnileatus</t>
  </si>
  <si>
    <t>2-6-2</t>
  </si>
  <si>
    <t>2-6-3</t>
  </si>
  <si>
    <t>2-6-4</t>
  </si>
  <si>
    <t>2-6-5</t>
  </si>
  <si>
    <t>2-6-6</t>
  </si>
  <si>
    <t>AD 2-6-1</t>
  </si>
  <si>
    <t>AD 2-6-2</t>
  </si>
  <si>
    <t>AD 2-6-3</t>
  </si>
  <si>
    <t>AD 2-6-4</t>
  </si>
  <si>
    <t>AD 2-6-5</t>
  </si>
  <si>
    <t>AD 2-6-6</t>
  </si>
  <si>
    <t>2-7-1</t>
  </si>
  <si>
    <t>2-7-2</t>
  </si>
  <si>
    <t>2-7-3</t>
  </si>
  <si>
    <t>AD 2-7-1</t>
  </si>
  <si>
    <t>AD 2-7-2</t>
  </si>
  <si>
    <t>AD 2-7-3</t>
  </si>
  <si>
    <t>3-5-1</t>
  </si>
  <si>
    <t>3-5-2</t>
  </si>
  <si>
    <t>3-5-3</t>
  </si>
  <si>
    <t>3-5-4</t>
  </si>
  <si>
    <t>3-5-5</t>
  </si>
  <si>
    <t>3-5-6</t>
  </si>
  <si>
    <t>3-5-7</t>
  </si>
  <si>
    <t>3-5-8</t>
  </si>
  <si>
    <t>3-5-9</t>
  </si>
  <si>
    <t>3-5-10</t>
  </si>
  <si>
    <t>3-5-11</t>
  </si>
  <si>
    <t>3-5-12</t>
  </si>
  <si>
    <t>3-5-13</t>
  </si>
  <si>
    <t>3-5-14</t>
  </si>
  <si>
    <t>3-5-15</t>
  </si>
  <si>
    <t>3-5-16</t>
  </si>
  <si>
    <t>3-5-17</t>
  </si>
  <si>
    <t>3-5-18</t>
  </si>
  <si>
    <t>3-5-19</t>
  </si>
  <si>
    <t>3-5-20</t>
  </si>
  <si>
    <t>AD 3-5-1</t>
  </si>
  <si>
    <t>AD 3-5-2</t>
  </si>
  <si>
    <t>AD 3-5-3</t>
  </si>
  <si>
    <t>AD 3-5-4</t>
  </si>
  <si>
    <t>AD 3-5-5</t>
  </si>
  <si>
    <t>AD 3-5-6</t>
  </si>
  <si>
    <t>AD 3-5-7</t>
  </si>
  <si>
    <t>AD 3-5-8</t>
  </si>
  <si>
    <t>AD 3-5-9</t>
  </si>
  <si>
    <t>3-6-1</t>
  </si>
  <si>
    <t>3-6-2</t>
  </si>
  <si>
    <t>3-6-3</t>
  </si>
  <si>
    <t>3-6-4</t>
  </si>
  <si>
    <t>3-6-5</t>
  </si>
  <si>
    <t>3-6-6</t>
  </si>
  <si>
    <t>3-6-7</t>
  </si>
  <si>
    <t>3-6-8</t>
  </si>
  <si>
    <t>3-6-9</t>
  </si>
  <si>
    <t>AD 3-6-1</t>
  </si>
  <si>
    <t>AD 3-6-2</t>
  </si>
  <si>
    <t>AD 3-6-3</t>
  </si>
  <si>
    <t>AD 3-6-4</t>
  </si>
  <si>
    <t>AD 3-6-5</t>
  </si>
  <si>
    <t>AD 3-6-6</t>
  </si>
  <si>
    <t>AD 3-6-7</t>
  </si>
  <si>
    <t>AD 3-6-8</t>
  </si>
  <si>
    <t>AD 3-6-9</t>
  </si>
  <si>
    <t>19*</t>
  </si>
  <si>
    <t>28*</t>
  </si>
  <si>
    <t>185*</t>
  </si>
  <si>
    <t>*estimado (AD 3-6-6)</t>
  </si>
  <si>
    <t>AD 3-6-10</t>
  </si>
  <si>
    <t>3-6-XcRB:1</t>
  </si>
  <si>
    <t>3-6-XsRB:1</t>
  </si>
  <si>
    <t>3-6-XsRB:2</t>
  </si>
  <si>
    <t>3-6-XsRB:3</t>
  </si>
  <si>
    <t>3-6-XsRB:4</t>
  </si>
  <si>
    <t>3-6-XsRB:5</t>
  </si>
  <si>
    <t>3-6-XsRB:6</t>
  </si>
  <si>
    <t>3-6-XsRB:7</t>
  </si>
  <si>
    <t>3-6-XsRB:8</t>
  </si>
  <si>
    <t>3-6-XsRB:9</t>
  </si>
  <si>
    <t>3-6-XsRB:10</t>
  </si>
  <si>
    <t>3-7-1</t>
  </si>
  <si>
    <t>3-7-2</t>
  </si>
  <si>
    <t>3-7-3</t>
  </si>
  <si>
    <t>3-7-4</t>
  </si>
  <si>
    <t>3-7-5</t>
  </si>
  <si>
    <t>3-7-6</t>
  </si>
  <si>
    <t>3-7-8</t>
  </si>
  <si>
    <t>3-7-9</t>
  </si>
  <si>
    <t>3-7-10</t>
  </si>
  <si>
    <t>3-7-11</t>
  </si>
  <si>
    <t>3-7-12</t>
  </si>
  <si>
    <t>3-7-13</t>
  </si>
  <si>
    <t>3-7-14</t>
  </si>
  <si>
    <t>3-7-15</t>
  </si>
  <si>
    <t>3-7-16</t>
  </si>
  <si>
    <t>3-7-17</t>
  </si>
  <si>
    <t>3-7-XcRB:1</t>
  </si>
  <si>
    <t>AD 3-7-1</t>
  </si>
  <si>
    <t>AD 3-7-2</t>
  </si>
  <si>
    <t>AD 3-7-3</t>
  </si>
  <si>
    <t>AD 3-7-4</t>
  </si>
  <si>
    <t>AD 3-7-5</t>
  </si>
  <si>
    <t>AD 3-7-6</t>
  </si>
  <si>
    <t>AD 3-7-7</t>
  </si>
  <si>
    <t>AD 3-7-8</t>
  </si>
  <si>
    <t>AD 3-7-9</t>
  </si>
  <si>
    <t>AD 3-7-10</t>
  </si>
  <si>
    <t>4-8-54</t>
  </si>
  <si>
    <t>4-8-55</t>
  </si>
  <si>
    <t>4-8-56</t>
  </si>
  <si>
    <t>4-8-57</t>
  </si>
  <si>
    <t>4-8-58</t>
  </si>
  <si>
    <t>4-8-59</t>
  </si>
  <si>
    <t>4-8-60</t>
  </si>
  <si>
    <t>4-8-61</t>
  </si>
  <si>
    <t>4-8-62</t>
  </si>
  <si>
    <t>4-8-63</t>
  </si>
  <si>
    <t>4-8-64</t>
  </si>
  <si>
    <t>4-8-65</t>
  </si>
  <si>
    <t>4-8-66</t>
  </si>
  <si>
    <t>4-8-67</t>
  </si>
  <si>
    <t>27*</t>
  </si>
  <si>
    <t>230*</t>
  </si>
  <si>
    <t>*estimado (4-8-66)</t>
  </si>
  <si>
    <t>4-8-68</t>
  </si>
  <si>
    <t>4-8-69</t>
  </si>
  <si>
    <t>4-8-XcRB:1</t>
  </si>
  <si>
    <t>4-8-XcRB:2</t>
  </si>
  <si>
    <t>4-8-XcRB:3</t>
  </si>
  <si>
    <t>4-8-XcRB:4</t>
  </si>
  <si>
    <t>4-8-XcRB:5</t>
  </si>
  <si>
    <t>4-8-XcRB:6</t>
  </si>
  <si>
    <t>4-8-XcRB:7</t>
  </si>
  <si>
    <t>4-8-XcRB:8</t>
  </si>
  <si>
    <t>4-8-XcRB:9</t>
  </si>
  <si>
    <t>4-8-XcRB:10</t>
  </si>
  <si>
    <t>4-8-XcRB:11</t>
  </si>
  <si>
    <t>4-8-XcRB:12</t>
  </si>
  <si>
    <t>4-8-XcRB:13</t>
  </si>
  <si>
    <t>4-8-XcRB:14</t>
  </si>
  <si>
    <t>4-8-XcRB:15</t>
  </si>
  <si>
    <t>4-8-XcRB:16</t>
  </si>
  <si>
    <t>4-8-XcRB:17</t>
  </si>
  <si>
    <t>4-8-XcRB:18</t>
  </si>
  <si>
    <t>4-8-XcRB:19</t>
  </si>
  <si>
    <t>4-8-XcRB:20</t>
  </si>
  <si>
    <t>4-8-XsRB:1</t>
  </si>
  <si>
    <t>4-8-XsRB:2</t>
  </si>
  <si>
    <t>4-8-XsRB:3</t>
  </si>
  <si>
    <t>4-8-XsRB:4</t>
  </si>
  <si>
    <t>4-8-XsRB:5</t>
  </si>
  <si>
    <t>4-8-XsRB:6</t>
  </si>
  <si>
    <t>4-8-XsRB:7</t>
  </si>
  <si>
    <t>4-8-XsRB:8</t>
  </si>
  <si>
    <t>4-8-XsRB:9</t>
  </si>
  <si>
    <t>29*</t>
  </si>
  <si>
    <t>*estimado (4-8-XcRB-17)</t>
  </si>
  <si>
    <t>4-8-XsRB:10</t>
  </si>
  <si>
    <t>4-8-XsRB:11</t>
  </si>
  <si>
    <t>4-8-XsRB:12</t>
  </si>
  <si>
    <t>4-8-XsRB:13</t>
  </si>
  <si>
    <t>4-8-XsRB:14</t>
  </si>
  <si>
    <t>4-8-XsRB:15</t>
  </si>
  <si>
    <t>4-8-XsRB:16</t>
  </si>
  <si>
    <t>4-8-XsRB:17</t>
  </si>
  <si>
    <t>4-8-XsRB:18</t>
  </si>
  <si>
    <t>4-8-XsRB:19</t>
  </si>
  <si>
    <t>4-8-XsRB:20</t>
  </si>
  <si>
    <t>4-8-XsRB:21</t>
  </si>
  <si>
    <t>4-8-XsRB:22</t>
  </si>
  <si>
    <t>4-8-XsRB:23</t>
  </si>
  <si>
    <t>4-8-XsRB:24</t>
  </si>
  <si>
    <t>4-8-XsRB:25</t>
  </si>
  <si>
    <t>4-8-XsRB:26</t>
  </si>
  <si>
    <t>4-8-XsRB:27</t>
  </si>
  <si>
    <t>4-8-XsRB:28</t>
  </si>
  <si>
    <t>4-8-XsRB:29</t>
  </si>
  <si>
    <t>4-8-XsRB:30</t>
  </si>
  <si>
    <t>AD 4-8-1</t>
  </si>
  <si>
    <t>AD 4-8-2</t>
  </si>
  <si>
    <t>AD 4-8-3</t>
  </si>
  <si>
    <t>AD 4-8-4</t>
  </si>
  <si>
    <t>AD 4-8-5</t>
  </si>
  <si>
    <t>AD 4-8-6</t>
  </si>
  <si>
    <t>AD 4-8-7</t>
  </si>
  <si>
    <t>AD 4-8-8</t>
  </si>
  <si>
    <t>AD 4-8-9</t>
  </si>
  <si>
    <t xml:space="preserve">Hemmigramus </t>
  </si>
  <si>
    <t>AD 4-8-10</t>
  </si>
  <si>
    <t>AD 4-8-11</t>
  </si>
  <si>
    <t>AD 4-8-12</t>
  </si>
  <si>
    <t>AD 4-8-13</t>
  </si>
  <si>
    <t>AD 4-8-X:1</t>
  </si>
  <si>
    <t>4-9-70</t>
  </si>
  <si>
    <t>4-9-71</t>
  </si>
  <si>
    <t>4-9-72</t>
  </si>
  <si>
    <t>4-9-73</t>
  </si>
  <si>
    <t>4-9-74</t>
  </si>
  <si>
    <t>4-9-75</t>
  </si>
  <si>
    <t>4-9-76</t>
  </si>
  <si>
    <t>4-9-77</t>
  </si>
  <si>
    <t>4-9-78</t>
  </si>
  <si>
    <t>4-9-79</t>
  </si>
  <si>
    <t>4-9-80</t>
  </si>
  <si>
    <t>4-9-81</t>
  </si>
  <si>
    <t>4-9-82</t>
  </si>
  <si>
    <t>4-9-83</t>
  </si>
  <si>
    <t>4-9-84</t>
  </si>
  <si>
    <t>4-9-86</t>
  </si>
  <si>
    <t>4-9-87</t>
  </si>
  <si>
    <t>4-9-88</t>
  </si>
  <si>
    <t>Characidium bimaculatum</t>
  </si>
  <si>
    <t>4-9-89</t>
  </si>
  <si>
    <t>4-9-90</t>
  </si>
  <si>
    <t>4-9-91</t>
  </si>
  <si>
    <t>4-9-XcRB:1</t>
  </si>
  <si>
    <t>4-9-XcRB:2</t>
  </si>
  <si>
    <t>4-9-XcRB:3</t>
  </si>
  <si>
    <t>4-9-XcRB:4</t>
  </si>
  <si>
    <t>4-9-XcRB:5</t>
  </si>
  <si>
    <t>4-9-XcRB:6</t>
  </si>
  <si>
    <t>4-9-XcRB:7</t>
  </si>
  <si>
    <t>4-9-XcRB:8</t>
  </si>
  <si>
    <t>4-9-XcRB:9</t>
  </si>
  <si>
    <t>4-9-XcRB:10</t>
  </si>
  <si>
    <t>4-9-XcRB:11</t>
  </si>
  <si>
    <t>4-9-XsRB:1</t>
  </si>
  <si>
    <t>4-9-XsRB:2</t>
  </si>
  <si>
    <t>4-9-XsRB:3</t>
  </si>
  <si>
    <t>4-9-XsRB:4</t>
  </si>
  <si>
    <t>4-9-XsRB:5</t>
  </si>
  <si>
    <t>4-9-XsRB:6</t>
  </si>
  <si>
    <t>4-9-XsRB:7</t>
  </si>
  <si>
    <t>4-9-XsRB:8</t>
  </si>
  <si>
    <t>4-9-XsRB:9</t>
  </si>
  <si>
    <t>4-9-XsRB:10</t>
  </si>
  <si>
    <t>4-9-XsRB:11</t>
  </si>
  <si>
    <t>4-9-XsRB:12</t>
  </si>
  <si>
    <t>4-9-XsRB:13</t>
  </si>
  <si>
    <t>4-9-XsRB:14</t>
  </si>
  <si>
    <t>4-9-XsRB:15</t>
  </si>
  <si>
    <t>4-9-XsRB:16</t>
  </si>
  <si>
    <t>4-9-XsRB:17</t>
  </si>
  <si>
    <t>4-9-XsRB:18</t>
  </si>
  <si>
    <t>4-9-XsRB:19</t>
  </si>
  <si>
    <t>4-9-XsRB:20</t>
  </si>
  <si>
    <t>4-9-XsRB:21</t>
  </si>
  <si>
    <t>4-9-XsRB:22</t>
  </si>
  <si>
    <t>4-9-XsRB:23</t>
  </si>
  <si>
    <t>4-9-XsRB:24</t>
  </si>
  <si>
    <t>4-9-XsRB:25</t>
  </si>
  <si>
    <t>4-9-XsRB:26</t>
  </si>
  <si>
    <t>4-9-XsRB:27</t>
  </si>
  <si>
    <t>4-9-XsRB:28</t>
  </si>
  <si>
    <t>4-9-XsRB:29</t>
  </si>
  <si>
    <t>4-9-XsRB:30</t>
  </si>
  <si>
    <t>4-9-XsRB:31</t>
  </si>
  <si>
    <t>4-9-XsRB:32</t>
  </si>
  <si>
    <t>4-9-XsRB:33</t>
  </si>
  <si>
    <t>4-9-XsRB:34</t>
  </si>
  <si>
    <t>4-9-XsRB:35</t>
  </si>
  <si>
    <t>4-9-XsRB:36</t>
  </si>
  <si>
    <t>4-9-XsRB:37</t>
  </si>
  <si>
    <t>4-9-XsRB:38</t>
  </si>
  <si>
    <t>4-9-XsRB:39</t>
  </si>
  <si>
    <t>4-9-XsRB:40</t>
  </si>
  <si>
    <t>4-9-XsRB:41</t>
  </si>
  <si>
    <t>4-9-XsRB:42</t>
  </si>
  <si>
    <t>4-9-XsRB:43</t>
  </si>
  <si>
    <t>4-9-XsRB:44</t>
  </si>
  <si>
    <t>4-9-XsRB:45</t>
  </si>
  <si>
    <t>4-9-XsRB:46</t>
  </si>
  <si>
    <t>4-9-XsRB:47</t>
  </si>
  <si>
    <t>4-9-XsRB:48</t>
  </si>
  <si>
    <t>4-9-XsRB:49</t>
  </si>
  <si>
    <t>4-9-XsRB:50</t>
  </si>
  <si>
    <t>4-9-XsRB:51</t>
  </si>
  <si>
    <t>4-9-XsRB:52</t>
  </si>
  <si>
    <t>4-9-XsRB:53</t>
  </si>
  <si>
    <t>4-9-XsRB:54</t>
  </si>
  <si>
    <t>4-9-XsRB:55</t>
  </si>
  <si>
    <t>4-9-XsRB:56</t>
  </si>
  <si>
    <t>4-9-XsRB:57</t>
  </si>
  <si>
    <t>235*</t>
  </si>
  <si>
    <t>*estimado (4-9-XsRB:56)</t>
  </si>
  <si>
    <t>4-9-XsRB:58</t>
  </si>
  <si>
    <t>4-9-XsRB:59</t>
  </si>
  <si>
    <t>25*</t>
  </si>
  <si>
    <t>170*</t>
  </si>
  <si>
    <t>*estimado (4-9-XsRB:35)</t>
  </si>
  <si>
    <t>4-9-XsRB:60</t>
  </si>
  <si>
    <t>4-9-XsRB:61</t>
  </si>
  <si>
    <t>4-9-XsRB:62</t>
  </si>
  <si>
    <t>4-9-XsRB:63</t>
  </si>
  <si>
    <t>4-9-XsRB:64</t>
  </si>
  <si>
    <t>30*</t>
  </si>
  <si>
    <t>220*</t>
  </si>
  <si>
    <t>*estimado (4-9-XsRB:61)</t>
  </si>
  <si>
    <t>4-9-XsRB:65</t>
  </si>
  <si>
    <t>4-9-XsRB:66</t>
  </si>
  <si>
    <t>4-9-XsRB:67</t>
  </si>
  <si>
    <t>4-9-XsRB:68</t>
  </si>
  <si>
    <t>4-9-XsRB:69</t>
  </si>
  <si>
    <t>4-9-XsRB:70</t>
  </si>
  <si>
    <t>4-9-XsRB:71</t>
  </si>
  <si>
    <t>4-9-XsRB:72</t>
  </si>
  <si>
    <t>85*</t>
  </si>
  <si>
    <t>*estimado (4-9-XsRB:69)</t>
  </si>
  <si>
    <t>4-9-XsRB:73</t>
  </si>
  <si>
    <t>4-9-XsRB:74</t>
  </si>
  <si>
    <t>AD 4-9-1</t>
  </si>
  <si>
    <t>AD 4-9-2</t>
  </si>
  <si>
    <t>AD 4-9-3</t>
  </si>
  <si>
    <t>AD 4-9-4</t>
  </si>
  <si>
    <t>AD 4-9-5</t>
  </si>
  <si>
    <t>AD 4-9-6</t>
  </si>
  <si>
    <t>AD 4-9-7</t>
  </si>
  <si>
    <t>AD 4-9-8</t>
  </si>
  <si>
    <t>AD 4-9-9</t>
  </si>
  <si>
    <t>AD 4-9-10</t>
  </si>
  <si>
    <t>AD 4-9-11</t>
  </si>
  <si>
    <t>AD 4-9-12</t>
  </si>
  <si>
    <t>AD 4-9-13</t>
  </si>
  <si>
    <t>AD 4-9-14,1</t>
  </si>
  <si>
    <t>AD 4-9-14,2</t>
  </si>
  <si>
    <t>AD 4-9-X:1</t>
  </si>
  <si>
    <t>AD 4-9-X:2</t>
  </si>
  <si>
    <t>AD 4-9-X:3</t>
  </si>
  <si>
    <t>4-10-92</t>
  </si>
  <si>
    <t>4-10-93</t>
  </si>
  <si>
    <t>4-10-94</t>
  </si>
  <si>
    <t>4-10-95</t>
  </si>
  <si>
    <t>4-10-96</t>
  </si>
  <si>
    <t>4-10-97</t>
  </si>
  <si>
    <t>4-10-98</t>
  </si>
  <si>
    <t>4-10-99</t>
  </si>
  <si>
    <t>4-10-100</t>
  </si>
  <si>
    <t>4-10-101</t>
  </si>
  <si>
    <t>4-10-102</t>
  </si>
  <si>
    <t>4-10-103</t>
  </si>
  <si>
    <t>4-10-104</t>
  </si>
  <si>
    <t>4-10-105</t>
  </si>
  <si>
    <t>4-10-106</t>
  </si>
  <si>
    <t>4-10-107</t>
  </si>
  <si>
    <t>4-10-108</t>
  </si>
  <si>
    <t>4-10-109</t>
  </si>
  <si>
    <t>4-10-110</t>
  </si>
  <si>
    <t>4-10-111</t>
  </si>
  <si>
    <t>4-10-112</t>
  </si>
  <si>
    <t>4-10-113</t>
  </si>
  <si>
    <t>4-10-XcRB:1</t>
  </si>
  <si>
    <t>4-10-XcRB:2</t>
  </si>
  <si>
    <t>4-10-XcRB:3</t>
  </si>
  <si>
    <t>4-10-XcRB:4</t>
  </si>
  <si>
    <t>4-10-XcRB:5</t>
  </si>
  <si>
    <t>4-10-XcRB:6</t>
  </si>
  <si>
    <t>4-10-XcRB:7</t>
  </si>
  <si>
    <t>4-10-XcRB:8</t>
  </si>
  <si>
    <t>4-10-XcRB:9</t>
  </si>
  <si>
    <t>4-10-XcRB:10</t>
  </si>
  <si>
    <t>4-10-XcRB:11</t>
  </si>
  <si>
    <t>4-10-XcRB:12</t>
  </si>
  <si>
    <t>4-10-XcRB:13</t>
  </si>
  <si>
    <t>4-10-XcRB:14</t>
  </si>
  <si>
    <t>4-10-XcRB:15</t>
  </si>
  <si>
    <t>4-10-XcRB:16</t>
  </si>
  <si>
    <t>4-10-XcRB:17</t>
  </si>
  <si>
    <t>4-10-XcRB:18</t>
  </si>
  <si>
    <t>4-10-XsRB:1</t>
  </si>
  <si>
    <t>4-10-XsRB:2</t>
  </si>
  <si>
    <t>4-10-XsRB:3</t>
  </si>
  <si>
    <t>4-10-XsRB:4</t>
  </si>
  <si>
    <t>4-10-XsRB:5</t>
  </si>
  <si>
    <t>4-10-XsRB:6</t>
  </si>
  <si>
    <t>4-10-XsRB:7</t>
  </si>
  <si>
    <t>4-10-XsRB:8</t>
  </si>
  <si>
    <t>4-10-XsRB:9</t>
  </si>
  <si>
    <t>4-10-XsRB:10</t>
  </si>
  <si>
    <t>4-10-XsRB:11</t>
  </si>
  <si>
    <t>4-10-XsRB:12</t>
  </si>
  <si>
    <t>4-10-XsRB:13</t>
  </si>
  <si>
    <t>4-10-XsRB:14</t>
  </si>
  <si>
    <t>4-10-XsRB:15</t>
  </si>
  <si>
    <t>4-10-XsRB:16</t>
  </si>
  <si>
    <t>4-10-XsRB:17</t>
  </si>
  <si>
    <t>4-10-XsRB:18</t>
  </si>
  <si>
    <t>4-10-XsRB:19</t>
  </si>
  <si>
    <t>4-10-XsRB:20</t>
  </si>
  <si>
    <t>4-10-XsRB:21</t>
  </si>
  <si>
    <t>4-10-XsRB:22</t>
  </si>
  <si>
    <t>4-10-XsRB:23</t>
  </si>
  <si>
    <t>4-10-XsRB:24</t>
  </si>
  <si>
    <t>4-10-XsRB:25</t>
  </si>
  <si>
    <t>4-10-XsRB:26</t>
  </si>
  <si>
    <t>4-10-XsRB:27</t>
  </si>
  <si>
    <t>4-10-XsRB:28</t>
  </si>
  <si>
    <t>4-10-XsRB:29</t>
  </si>
  <si>
    <t>4-10-XsRB:30</t>
  </si>
  <si>
    <t>4-10-XsRB:31</t>
  </si>
  <si>
    <t>4-10-XsRB:32</t>
  </si>
  <si>
    <t>4-10-XsRB:33</t>
  </si>
  <si>
    <t>4-10-XsRB:34</t>
  </si>
  <si>
    <t>4-10-XsRB:35</t>
  </si>
  <si>
    <t>4-10-XsRB:36</t>
  </si>
  <si>
    <t>4-10-XsRB:37</t>
  </si>
  <si>
    <t>4-10-XsRB:38</t>
  </si>
  <si>
    <t>4-10-XsRB:39</t>
  </si>
  <si>
    <t>4-10-XsRB:40</t>
  </si>
  <si>
    <t>4-10-XsRB:41</t>
  </si>
  <si>
    <t>4-10-XsRB:42</t>
  </si>
  <si>
    <t>4-10-XsRB:43</t>
  </si>
  <si>
    <t>4-10-XsRB:44</t>
  </si>
  <si>
    <t>4-10-XsRB:45</t>
  </si>
  <si>
    <t>4-10-XsRB:46</t>
  </si>
  <si>
    <t>4-10-XsRB:47</t>
  </si>
  <si>
    <t>4-10-XsRB:48</t>
  </si>
  <si>
    <t>4-10-XsRB:49</t>
  </si>
  <si>
    <t>4-10-XsRB:50</t>
  </si>
  <si>
    <t>4-10-XsRB:51</t>
  </si>
  <si>
    <t>4-10-XsRB:52</t>
  </si>
  <si>
    <t>AD 4-10-1</t>
  </si>
  <si>
    <t>AD 4-10-2</t>
  </si>
  <si>
    <t>AD 4-10-3</t>
  </si>
  <si>
    <t>AD 4-10-4</t>
  </si>
  <si>
    <t>AD 4-10-5</t>
  </si>
  <si>
    <t>AD 4-10-6</t>
  </si>
  <si>
    <t>AD 4-10-7</t>
  </si>
  <si>
    <t>AD 4-10-8</t>
  </si>
  <si>
    <t>AD 4-10-9</t>
  </si>
  <si>
    <t>AD 4-10-10</t>
  </si>
  <si>
    <t>AD 4-10-11</t>
  </si>
  <si>
    <t>AD 4-10-12</t>
  </si>
  <si>
    <t>AD 4-10-X:1</t>
  </si>
  <si>
    <t>AD 4-10-X:2</t>
  </si>
  <si>
    <t>AD 4-10-X:3</t>
  </si>
  <si>
    <t>AD 4-10-X:4</t>
  </si>
  <si>
    <t>Site</t>
  </si>
  <si>
    <t>Especie</t>
  </si>
  <si>
    <t>Compr.padrão_mm</t>
  </si>
  <si>
    <t>Compr.total_mm</t>
  </si>
  <si>
    <t>Altura_mm</t>
  </si>
  <si>
    <t>Peso_mg</t>
  </si>
  <si>
    <t>Peso_g</t>
  </si>
  <si>
    <t>Rio</t>
  </si>
  <si>
    <t>Segmento</t>
  </si>
  <si>
    <t>Ponto_N</t>
  </si>
  <si>
    <t>Data_txt</t>
  </si>
  <si>
    <t>Coleta</t>
  </si>
  <si>
    <t>Bacia</t>
  </si>
  <si>
    <t>Trecho</t>
  </si>
  <si>
    <t>Habitat</t>
  </si>
  <si>
    <t>Ponto</t>
  </si>
  <si>
    <t>Ref_site</t>
  </si>
  <si>
    <t>B-P10</t>
  </si>
  <si>
    <t>Hemigrammus marginatus</t>
  </si>
  <si>
    <t>Barro Branco</t>
  </si>
  <si>
    <t>BarroBranco2</t>
  </si>
  <si>
    <t>Ponto10</t>
  </si>
  <si>
    <t>30/08/2023</t>
  </si>
  <si>
    <t>Barro Branco Baixo</t>
  </si>
  <si>
    <t>Astyanax fasciatus</t>
  </si>
  <si>
    <t>Astyanax bimaculatus</t>
  </si>
  <si>
    <t>B-P06</t>
  </si>
  <si>
    <t>Hemigrammus unilineatus</t>
  </si>
  <si>
    <t>BarroBranco1</t>
  </si>
  <si>
    <t>Ponto6</t>
  </si>
  <si>
    <t>11/10/2023</t>
  </si>
  <si>
    <t>Barro Branco Médio</t>
  </si>
  <si>
    <t>B-P07</t>
  </si>
  <si>
    <t>Ponto7</t>
  </si>
  <si>
    <t>B-P05</t>
  </si>
  <si>
    <t>Ponto5</t>
  </si>
  <si>
    <t>B-P08</t>
  </si>
  <si>
    <t>Ponto8</t>
  </si>
  <si>
    <t>Hemigrammus brevis</t>
  </si>
  <si>
    <t>B-P09</t>
  </si>
  <si>
    <t>Ponto9</t>
  </si>
  <si>
    <t>4-9-85</t>
  </si>
  <si>
    <t>n/a</t>
  </si>
  <si>
    <t>Apareiodon davisi</t>
  </si>
  <si>
    <t>AD 4-8-14,1</t>
  </si>
  <si>
    <t>*peixe 4-8-14</t>
  </si>
  <si>
    <t>Data</t>
  </si>
  <si>
    <t>RPC</t>
  </si>
  <si>
    <t>Amostra_tipo</t>
  </si>
  <si>
    <t>Etiqueta1</t>
  </si>
  <si>
    <t>Etiqueta2</t>
  </si>
  <si>
    <t>No._Peixe1</t>
  </si>
  <si>
    <t>Etiqueta3</t>
  </si>
  <si>
    <t>No._Peixe2</t>
  </si>
  <si>
    <t>Peso_epp_g</t>
  </si>
  <si>
    <t>Peso_úmido_g</t>
  </si>
  <si>
    <t>Peso_brânquia_mg</t>
  </si>
  <si>
    <t>Fluorescência_rfu_T1</t>
  </si>
  <si>
    <t>Fluorescência_rfu_T2</t>
  </si>
  <si>
    <t>Fluorescência_rfu_T3</t>
  </si>
  <si>
    <t>Fluorescência_rfu_M</t>
  </si>
  <si>
    <t>Rodamina_rfu_mg</t>
  </si>
  <si>
    <t>Peso_epp_brânquias_g</t>
  </si>
  <si>
    <t>Peso_epp_úmido_brânquias_g</t>
  </si>
  <si>
    <t>Peso_epp_seco_brânquias_mg</t>
  </si>
  <si>
    <t>Peso_úmido_brânquias_mg</t>
  </si>
  <si>
    <t>Peso_seco_brânquias_mg</t>
  </si>
  <si>
    <t>Peso_epp_músculo_g</t>
  </si>
  <si>
    <t>Peso_epp_úmido_músculo_g</t>
  </si>
  <si>
    <t>Peso_epp_seco_músculo_mg</t>
  </si>
  <si>
    <t>Peso_úmido_músculo_mg</t>
  </si>
  <si>
    <t>Peso_seco_músculo_mg</t>
  </si>
  <si>
    <t>rd</t>
  </si>
  <si>
    <t>P1-R</t>
  </si>
  <si>
    <t>P2-R</t>
  </si>
  <si>
    <t>P3-R</t>
  </si>
  <si>
    <t>P1-RV</t>
  </si>
  <si>
    <t>P2-RV</t>
  </si>
  <si>
    <t>xx</t>
  </si>
  <si>
    <t>P1</t>
  </si>
  <si>
    <t>P2</t>
  </si>
  <si>
    <t>P3</t>
  </si>
  <si>
    <t>P4</t>
  </si>
  <si>
    <t>P5</t>
  </si>
  <si>
    <t>P6</t>
  </si>
  <si>
    <t>th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</si>
  <si>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</si>
  <si>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</si>
  <si>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</si>
  <si>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</si>
  <si>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</si>
  <si>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</si>
  <si>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</si>
  <si>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</si>
  <si>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</si>
  <si>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</si>
  <si>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</si>
  <si>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</si>
  <si>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</si>
  <si>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</si>
  <si>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P54</t>
  </si>
  <si>
    <t>P55</t>
  </si>
  <si>
    <t>P56</t>
  </si>
  <si>
    <t>P57</t>
  </si>
  <si>
    <t>P58</t>
  </si>
  <si>
    <t>Hemigrammus rodwayi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</si>
  <si>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</si>
  <si>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</si>
  <si>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</si>
  <si>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</si>
  <si>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</si>
  <si>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</si>
  <si>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</si>
  <si>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</si>
  <si>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</si>
  <si>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</si>
  <si>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</si>
  <si>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</si>
  <si>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</si>
  <si>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</si>
  <si>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</si>
  <si>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</si>
  <si>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</si>
  <si>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</si>
  <si>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</si>
  <si>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</si>
  <si>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</si>
  <si>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</si>
  <si>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</si>
  <si>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</si>
  <si>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</si>
  <si>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</si>
  <si>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</si>
  <si>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</si>
  <si>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</si>
  <si>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</si>
  <si>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</si>
  <si>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</si>
  <si>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</si>
  <si>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</si>
  <si>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</si>
  <si>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</si>
  <si>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</si>
  <si>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</si>
  <si>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</si>
  <si>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</si>
  <si>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</si>
  <si>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</si>
  <si>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</si>
  <si>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</si>
  <si>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</si>
  <si>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</si>
  <si>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</si>
  <si>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</si>
  <si>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</si>
  <si>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</si>
  <si>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</si>
  <si>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</si>
  <si>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</si>
  <si>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</si>
  <si>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</si>
  <si>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x</t>
  </si>
  <si>
    <t>CAI</t>
  </si>
  <si>
    <t>Datas</t>
  </si>
  <si>
    <t>BB</t>
  </si>
  <si>
    <t>-P1</t>
  </si>
  <si>
    <t>Pote</t>
  </si>
  <si>
    <t>-P2</t>
  </si>
  <si>
    <t>.1</t>
  </si>
  <si>
    <t>Lâmina</t>
  </si>
  <si>
    <t>-P3</t>
  </si>
  <si>
    <t>.2</t>
  </si>
  <si>
    <t>-I</t>
  </si>
  <si>
    <t>.3</t>
  </si>
  <si>
    <t>-II</t>
  </si>
  <si>
    <t>-III</t>
  </si>
  <si>
    <t>Ap.davisi</t>
  </si>
  <si>
    <t>As.bimaculatus</t>
  </si>
  <si>
    <t>As.fasciatus</t>
  </si>
  <si>
    <t>He.brevis</t>
  </si>
  <si>
    <t>He.marginatus</t>
  </si>
  <si>
    <t>He.unilineatus</t>
  </si>
  <si>
    <t>AD2-6-1</t>
  </si>
  <si>
    <t>AD2-6-2</t>
  </si>
  <si>
    <t>AD2-6-3</t>
  </si>
  <si>
    <t>AD2-6-4</t>
  </si>
  <si>
    <t>AD2-6-5</t>
  </si>
  <si>
    <t>AD2-6-6</t>
  </si>
  <si>
    <t>AD2-7-1</t>
  </si>
  <si>
    <t>AD2-7-2</t>
  </si>
  <si>
    <t>AD2-7-3</t>
  </si>
  <si>
    <t>AD3-5-1</t>
  </si>
  <si>
    <t>AD3-5-2</t>
  </si>
  <si>
    <t>AD3-5-3</t>
  </si>
  <si>
    <t>AD3-5-4</t>
  </si>
  <si>
    <t>AD3-5-5</t>
  </si>
  <si>
    <t>AD3-5-6</t>
  </si>
  <si>
    <t>AD3-5-7</t>
  </si>
  <si>
    <t>AD3-5-8</t>
  </si>
  <si>
    <t>AD3-5-9</t>
  </si>
  <si>
    <t>AD3-6-1</t>
  </si>
  <si>
    <t>AD3-6-2</t>
  </si>
  <si>
    <t>AD3-6-3</t>
  </si>
  <si>
    <t>AD3-6-4</t>
  </si>
  <si>
    <t>AD3-6-5</t>
  </si>
  <si>
    <t>AD3-6-6</t>
  </si>
  <si>
    <t>AD3-6-7</t>
  </si>
  <si>
    <t>AD3-6-8</t>
  </si>
  <si>
    <t>AD3-6-9</t>
  </si>
  <si>
    <t>AD3-6-10</t>
  </si>
  <si>
    <t>AD3-7-1</t>
  </si>
  <si>
    <t>AD3-7-2</t>
  </si>
  <si>
    <t>AD3-7-3</t>
  </si>
  <si>
    <t>AD3-7-4</t>
  </si>
  <si>
    <t>AD3-7-5</t>
  </si>
  <si>
    <t>AD3-7-6</t>
  </si>
  <si>
    <t>AD3-7-7</t>
  </si>
  <si>
    <t>AD3-7-8</t>
  </si>
  <si>
    <t>AD3-7-9</t>
  </si>
  <si>
    <t>AD3-7-10</t>
  </si>
  <si>
    <t>AD4-8-1</t>
  </si>
  <si>
    <t>AD4-8-2</t>
  </si>
  <si>
    <t>AD4-8-3</t>
  </si>
  <si>
    <t>AD4-8-4</t>
  </si>
  <si>
    <t>AD4-8-5</t>
  </si>
  <si>
    <t>AD4-8-6</t>
  </si>
  <si>
    <t>AD4-8-7</t>
  </si>
  <si>
    <t>AD4-8-8</t>
  </si>
  <si>
    <t>AD4-8-9</t>
  </si>
  <si>
    <t>AD4-8-10</t>
  </si>
  <si>
    <t>AD4-8-11</t>
  </si>
  <si>
    <t>AD4-8-12</t>
  </si>
  <si>
    <t>AD4-8-13</t>
  </si>
  <si>
    <t>AD4-8-X:1</t>
  </si>
  <si>
    <t>AD4-9-1</t>
  </si>
  <si>
    <t>AD4-9-2</t>
  </si>
  <si>
    <t>AD4-9-3</t>
  </si>
  <si>
    <t>AD4-9-4</t>
  </si>
  <si>
    <t>AD4-9-5</t>
  </si>
  <si>
    <t>AD4-9-6</t>
  </si>
  <si>
    <t>AD4-9-7</t>
  </si>
  <si>
    <t>AD4-9-8</t>
  </si>
  <si>
    <t>AD4-9-9</t>
  </si>
  <si>
    <t>AD4-9-10</t>
  </si>
  <si>
    <t>AD4-9-11</t>
  </si>
  <si>
    <t>AD4-9-12</t>
  </si>
  <si>
    <t>AD4-9-13</t>
  </si>
  <si>
    <t>AD4-8-14,1</t>
  </si>
  <si>
    <t>AD4-9-14,2</t>
  </si>
  <si>
    <t>AD4-9-X:1</t>
  </si>
  <si>
    <t>AD4-9-X:2</t>
  </si>
  <si>
    <t>AD4-9-X:3</t>
  </si>
  <si>
    <t>AD4-10-1</t>
  </si>
  <si>
    <t>AD4-10-2</t>
  </si>
  <si>
    <t>AD4-10-3</t>
  </si>
  <si>
    <t>AD4-10-4</t>
  </si>
  <si>
    <t>AD4-10-5</t>
  </si>
  <si>
    <t>AD4-10-6</t>
  </si>
  <si>
    <t>AD4-10-7</t>
  </si>
  <si>
    <t>AD4-10-8</t>
  </si>
  <si>
    <t>AD4-10-9</t>
  </si>
  <si>
    <t>AD4-10-10</t>
  </si>
  <si>
    <t>AD4-10-11</t>
  </si>
  <si>
    <t>AD4-10-12</t>
  </si>
  <si>
    <t>AD4-10-X:1</t>
  </si>
  <si>
    <t>AD4-10-X:2</t>
  </si>
  <si>
    <t>AD4-10-X:3</t>
  </si>
  <si>
    <t>AD4-10-X:4</t>
  </si>
  <si>
    <t>AD4-9-14,1</t>
  </si>
  <si>
    <t>TH_musculo</t>
  </si>
  <si>
    <t>TH_musculo_p</t>
  </si>
  <si>
    <t>Proteinas_Totais_mg</t>
  </si>
  <si>
    <t>TH_branquia_p</t>
  </si>
  <si>
    <t>TH_branquia</t>
  </si>
  <si>
    <t>Compr.padrao_mm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</si>
</sst>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0.0"/>
    <numFmt numFmtId="166" formatCode="d/m/yy"/>
    <numFmt numFmtId="167" formatCode="0.000"/>
    <numFmt numFmtId="168" formatCode="dd/mm/yy"/>
    <numFmt numFmtId="169" formatCode="0.0000"/>
  </numFmts>
  <fonts count="14">
    <font>
      <sz val="10"/>
      <color rgb="FF000000"/>
      <name val="Calibri"/>
      <charset val="1"/>
    </font>
    <font>
      <sz val="10"/>
      <color rgb="FF000000"/>
      <name val="Liberation sans1"/>
      <charset val="1"/>
    </font>
    <font>
      <sz val="9"/>
      <color rgb="FF000000"/>
      <name val="Liberation sans1"/>
      <charset val="1"/>
    </font>
    <font>
      <b/>
      <sz val="10"/>
      <color rgb="FF000000"/>
      <name val="Aptos narrow"/>
      <charset val="1"/>
    </font>
    <font>
      <sz val="10"/>
      <color rgb="FF000000"/>
      <name val="Calibri"/>
      <family val="2"/>
    </font>
    <font>
      <sz val="10"/>
      <name val="Calibri"/>
      <family val="2"/>
    </font>
    <font>
      <i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8"/>
      <name val="Calibri"/>
      <charset val="1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70C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7" fillId="0" borderId="0" xfId="0" applyFont="1" applyAlignment="1">
      <alignment horizontal="left"/>
    </xf>
    <xf numFmtId="16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167" fontId="4" fillId="0" borderId="0" xfId="0" applyNumberFormat="1" applyFont="1"/>
    <xf numFmtId="0" fontId="8" fillId="0" borderId="0" xfId="0" applyFont="1"/>
    <xf numFmtId="1" fontId="4" fillId="0" borderId="0" xfId="0" applyNumberFormat="1" applyFont="1"/>
    <xf numFmtId="168" fontId="4" fillId="0" borderId="0" xfId="0" applyNumberFormat="1" applyFont="1"/>
    <xf numFmtId="166" fontId="8" fillId="0" borderId="0" xfId="0" applyNumberFormat="1" applyFont="1"/>
    <xf numFmtId="164" fontId="4" fillId="0" borderId="0" xfId="0" applyNumberFormat="1" applyFont="1"/>
    <xf numFmtId="2" fontId="4" fillId="0" borderId="0" xfId="0" applyNumberFormat="1" applyFont="1"/>
    <xf numFmtId="169" fontId="4" fillId="0" borderId="0" xfId="0" applyNumberFormat="1" applyFont="1"/>
    <xf numFmtId="169" fontId="9" fillId="0" borderId="0" xfId="0" applyNumberFormat="1" applyFont="1"/>
    <xf numFmtId="2" fontId="9" fillId="0" borderId="0" xfId="0" applyNumberFormat="1" applyFont="1"/>
    <xf numFmtId="4" fontId="4" fillId="0" borderId="0" xfId="0" applyNumberFormat="1" applyFont="1"/>
    <xf numFmtId="165" fontId="11" fillId="0" borderId="0" xfId="0" applyNumberFormat="1" applyFont="1"/>
    <xf numFmtId="0" fontId="11" fillId="0" borderId="0" xfId="0" applyFont="1"/>
    <xf numFmtId="167" fontId="11" fillId="0" borderId="0" xfId="0" applyNumberFormat="1" applyFont="1"/>
    <xf numFmtId="0" fontId="4" fillId="0" borderId="0" xfId="0" applyFont="1" applyAlignment="1">
      <alignment horizontal="right"/>
    </xf>
    <xf numFmtId="0" fontId="9" fillId="0" borderId="0" xfId="0" applyFont="1"/>
    <xf numFmtId="0" fontId="1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165" fontId="9" fillId="0" borderId="0" xfId="0" applyNumberFormat="1" applyFont="1"/>
    <xf numFmtId="164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4"/>
  <sheetViews>
    <sheetView zoomScale="80" zoomScaleNormal="80" workbookViewId="0">
      <selection activeCell="G3" sqref="G3"/>
    </sheetView>
  </sheetViews>
  <sheetFormatPr defaultColWidth="14.42578125" defaultRowHeight="12.75"/>
  <cols>
    <col min="1" max="8" width="12.140625" style="4" customWidth="1"/>
    <col min="9" max="11" width="8.85546875" style="4" customWidth="1"/>
    <col min="12" max="16384" width="14.42578125" style="4"/>
  </cols>
  <sheetData>
    <row r="1" spans="1:8" ht="12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2.75" customHeight="1">
      <c r="A2" s="18" t="s">
        <v>8</v>
      </c>
      <c r="C2" s="4">
        <v>22.2</v>
      </c>
      <c r="D2" s="4">
        <v>30.3</v>
      </c>
      <c r="E2" s="4">
        <v>6.4</v>
      </c>
      <c r="F2" s="4">
        <v>218</v>
      </c>
      <c r="G2" s="18">
        <v>45168</v>
      </c>
    </row>
    <row r="3" spans="1:8" ht="12.75" customHeight="1">
      <c r="A3" s="18" t="s">
        <v>9</v>
      </c>
      <c r="C3" s="4">
        <v>19</v>
      </c>
      <c r="D3" s="4">
        <v>24.4</v>
      </c>
      <c r="E3" s="4">
        <v>4.8</v>
      </c>
      <c r="F3" s="4">
        <v>142</v>
      </c>
      <c r="G3" s="18">
        <v>45168</v>
      </c>
    </row>
    <row r="4" spans="1:8" ht="12.75" customHeight="1">
      <c r="A4" s="18" t="s">
        <v>10</v>
      </c>
      <c r="C4" s="4">
        <v>24.4</v>
      </c>
      <c r="D4" s="4">
        <v>29.1</v>
      </c>
      <c r="E4" s="4">
        <v>6.9</v>
      </c>
      <c r="F4" s="4">
        <v>299</v>
      </c>
      <c r="G4" s="18">
        <v>45168</v>
      </c>
    </row>
    <row r="5" spans="1:8" ht="12.75" customHeight="1">
      <c r="A5" s="18" t="s">
        <v>11</v>
      </c>
      <c r="C5" s="4">
        <v>22.5</v>
      </c>
      <c r="D5" s="4">
        <v>27.5</v>
      </c>
      <c r="E5" s="4">
        <v>6.6</v>
      </c>
      <c r="F5" s="4">
        <v>255</v>
      </c>
      <c r="G5" s="18">
        <v>45168</v>
      </c>
    </row>
    <row r="6" spans="1:8" ht="12.75" customHeight="1">
      <c r="A6" s="18" t="s">
        <v>12</v>
      </c>
      <c r="C6" s="4">
        <v>17.8</v>
      </c>
      <c r="D6" s="4">
        <v>20.9</v>
      </c>
      <c r="E6" s="4">
        <v>4.7</v>
      </c>
      <c r="F6" s="4">
        <v>119</v>
      </c>
      <c r="G6" s="18">
        <v>45168</v>
      </c>
    </row>
    <row r="7" spans="1:8" ht="12.75" customHeight="1">
      <c r="A7" s="18" t="s">
        <v>13</v>
      </c>
      <c r="C7" s="4">
        <v>19.8</v>
      </c>
      <c r="D7" s="4">
        <v>23.3</v>
      </c>
      <c r="E7" s="4">
        <v>5</v>
      </c>
      <c r="F7" s="4">
        <v>168</v>
      </c>
      <c r="G7" s="18">
        <v>45168</v>
      </c>
    </row>
    <row r="8" spans="1:8" ht="12.75" customHeight="1">
      <c r="A8" s="18" t="s">
        <v>14</v>
      </c>
      <c r="C8" s="4">
        <v>52.7</v>
      </c>
      <c r="D8" s="4" t="s">
        <v>15</v>
      </c>
      <c r="E8" s="4">
        <v>24.1</v>
      </c>
      <c r="F8" s="4">
        <v>5865</v>
      </c>
      <c r="G8" s="18">
        <v>45168</v>
      </c>
      <c r="H8" s="4" t="s">
        <v>16</v>
      </c>
    </row>
    <row r="9" spans="1:8" ht="12.75" customHeight="1">
      <c r="A9" s="18" t="s">
        <v>17</v>
      </c>
      <c r="B9" s="4" t="s">
        <v>18</v>
      </c>
      <c r="C9" s="4">
        <v>25.4</v>
      </c>
      <c r="D9" s="4">
        <v>35.4</v>
      </c>
      <c r="E9" s="4">
        <v>9.3000000000000007</v>
      </c>
      <c r="F9" s="4">
        <v>363</v>
      </c>
      <c r="G9" s="18">
        <v>45210</v>
      </c>
    </row>
    <row r="10" spans="1:8" ht="12.75" customHeight="1">
      <c r="A10" s="18" t="s">
        <v>19</v>
      </c>
      <c r="B10" s="4" t="s">
        <v>18</v>
      </c>
      <c r="C10" s="4">
        <v>23.1</v>
      </c>
      <c r="D10" s="4">
        <v>31.8</v>
      </c>
      <c r="E10" s="4">
        <v>8.1999999999999993</v>
      </c>
      <c r="F10" s="4">
        <v>236</v>
      </c>
      <c r="G10" s="18">
        <v>45210</v>
      </c>
    </row>
    <row r="11" spans="1:8" ht="12.75" customHeight="1">
      <c r="A11" s="18" t="s">
        <v>20</v>
      </c>
      <c r="B11" s="4" t="s">
        <v>18</v>
      </c>
      <c r="C11" s="4">
        <v>24.2</v>
      </c>
      <c r="D11" s="4">
        <v>31.5</v>
      </c>
      <c r="E11" s="4">
        <v>8.6</v>
      </c>
      <c r="F11" s="4">
        <v>277</v>
      </c>
      <c r="G11" s="18">
        <v>45210</v>
      </c>
    </row>
    <row r="12" spans="1:8" ht="12.75" customHeight="1">
      <c r="A12" s="18" t="s">
        <v>21</v>
      </c>
      <c r="B12" s="4" t="s">
        <v>18</v>
      </c>
      <c r="C12" s="4">
        <v>24.2</v>
      </c>
      <c r="D12" s="4">
        <v>32</v>
      </c>
      <c r="E12" s="4">
        <v>9.1</v>
      </c>
      <c r="F12" s="4">
        <v>297</v>
      </c>
      <c r="G12" s="18">
        <v>45210</v>
      </c>
    </row>
    <row r="13" spans="1:8" ht="12.75" customHeight="1">
      <c r="A13" s="18" t="s">
        <v>22</v>
      </c>
      <c r="B13" s="4" t="s">
        <v>18</v>
      </c>
      <c r="C13" s="4">
        <v>27.4</v>
      </c>
      <c r="D13" s="4">
        <v>32.1</v>
      </c>
      <c r="E13" s="4">
        <v>10.1</v>
      </c>
      <c r="F13" s="4">
        <v>459</v>
      </c>
      <c r="G13" s="18">
        <v>45210</v>
      </c>
    </row>
    <row r="14" spans="1:8" ht="12.75" customHeight="1">
      <c r="A14" s="18" t="s">
        <v>23</v>
      </c>
      <c r="B14" s="4" t="s">
        <v>18</v>
      </c>
      <c r="C14" s="4">
        <v>26.2</v>
      </c>
      <c r="D14" s="4">
        <v>34.700000000000003</v>
      </c>
      <c r="E14" s="4">
        <v>9.3000000000000007</v>
      </c>
      <c r="F14" s="4">
        <v>434</v>
      </c>
      <c r="G14" s="18">
        <v>45210</v>
      </c>
    </row>
    <row r="15" spans="1:8" ht="12.75" customHeight="1">
      <c r="A15" s="4" t="s">
        <v>24</v>
      </c>
      <c r="B15" s="4" t="s">
        <v>18</v>
      </c>
      <c r="C15" s="4">
        <v>24.6</v>
      </c>
      <c r="D15" s="4">
        <v>32.200000000000003</v>
      </c>
      <c r="E15" s="4">
        <v>9.6</v>
      </c>
      <c r="F15" s="4">
        <v>320</v>
      </c>
      <c r="G15" s="18">
        <v>45210</v>
      </c>
    </row>
    <row r="16" spans="1:8" ht="12.75" customHeight="1">
      <c r="A16" s="4" t="s">
        <v>25</v>
      </c>
      <c r="B16" s="4" t="s">
        <v>18</v>
      </c>
      <c r="C16" s="4">
        <v>33.200000000000003</v>
      </c>
      <c r="D16" s="4">
        <v>35.4</v>
      </c>
      <c r="E16" s="4">
        <v>9.1999999999999993</v>
      </c>
      <c r="F16" s="4">
        <v>244</v>
      </c>
      <c r="G16" s="18">
        <v>45210</v>
      </c>
    </row>
    <row r="17" spans="1:7" ht="12.75" customHeight="1">
      <c r="A17" s="4" t="s">
        <v>26</v>
      </c>
      <c r="B17" s="4" t="s">
        <v>18</v>
      </c>
      <c r="C17" s="4">
        <v>29.2</v>
      </c>
      <c r="D17" s="4">
        <v>49.1</v>
      </c>
      <c r="E17" s="4">
        <v>11</v>
      </c>
      <c r="F17" s="4">
        <v>476</v>
      </c>
      <c r="G17" s="18">
        <v>45210</v>
      </c>
    </row>
    <row r="18" spans="1:7" ht="12.75" customHeight="1">
      <c r="A18" s="4" t="s">
        <v>27</v>
      </c>
      <c r="B18" s="4" t="s">
        <v>18</v>
      </c>
      <c r="C18" s="4">
        <v>25</v>
      </c>
      <c r="D18" s="4">
        <v>33.299999999999997</v>
      </c>
      <c r="E18" s="4">
        <v>8.5</v>
      </c>
      <c r="F18" s="4">
        <v>258</v>
      </c>
      <c r="G18" s="18">
        <v>45210</v>
      </c>
    </row>
    <row r="19" spans="1:7" ht="12.75" customHeight="1">
      <c r="A19" s="4" t="s">
        <v>28</v>
      </c>
      <c r="B19" s="4" t="s">
        <v>18</v>
      </c>
      <c r="C19" s="4">
        <v>27.2</v>
      </c>
      <c r="D19" s="4">
        <v>35.4</v>
      </c>
      <c r="E19" s="4">
        <v>9.4</v>
      </c>
      <c r="F19" s="4">
        <v>288</v>
      </c>
      <c r="G19" s="18">
        <v>45210</v>
      </c>
    </row>
    <row r="20" spans="1:7" ht="12.75" customHeight="1">
      <c r="A20" s="4" t="s">
        <v>29</v>
      </c>
      <c r="B20" s="4" t="s">
        <v>18</v>
      </c>
      <c r="C20" s="4">
        <v>25.2</v>
      </c>
      <c r="D20" s="4">
        <v>33.299999999999997</v>
      </c>
      <c r="E20" s="4">
        <v>10.199999999999999</v>
      </c>
      <c r="F20" s="4">
        <v>393</v>
      </c>
      <c r="G20" s="18">
        <v>45210</v>
      </c>
    </row>
    <row r="21" spans="1:7" ht="12.75" customHeight="1">
      <c r="A21" s="18" t="s">
        <v>30</v>
      </c>
      <c r="B21" s="4" t="s">
        <v>18</v>
      </c>
      <c r="C21" s="4">
        <v>24.5</v>
      </c>
      <c r="D21" s="4">
        <v>32</v>
      </c>
      <c r="E21" s="4">
        <v>8.3000000000000007</v>
      </c>
      <c r="F21" s="4">
        <v>274</v>
      </c>
      <c r="G21" s="18">
        <v>45210</v>
      </c>
    </row>
    <row r="22" spans="1:7" ht="12.75" customHeight="1">
      <c r="A22" s="18" t="s">
        <v>31</v>
      </c>
      <c r="B22" s="4" t="s">
        <v>18</v>
      </c>
      <c r="C22" s="4">
        <v>21.7</v>
      </c>
      <c r="D22" s="4">
        <v>26.9</v>
      </c>
      <c r="E22" s="4">
        <v>6.8</v>
      </c>
      <c r="F22" s="4">
        <v>159</v>
      </c>
      <c r="G22" s="18">
        <v>45210</v>
      </c>
    </row>
    <row r="23" spans="1:7" ht="12.75" customHeight="1">
      <c r="A23" s="18" t="s">
        <v>32</v>
      </c>
      <c r="B23" s="4" t="s">
        <v>18</v>
      </c>
      <c r="C23" s="4">
        <v>27.5</v>
      </c>
      <c r="D23" s="4">
        <v>30</v>
      </c>
      <c r="E23" s="4">
        <v>9.1</v>
      </c>
      <c r="F23" s="4">
        <v>355</v>
      </c>
      <c r="G23" s="18">
        <v>45210</v>
      </c>
    </row>
    <row r="24" spans="1:7" ht="12.75" customHeight="1">
      <c r="A24" s="4" t="s">
        <v>33</v>
      </c>
      <c r="B24" s="4" t="s">
        <v>18</v>
      </c>
      <c r="C24" s="4">
        <v>29.5</v>
      </c>
      <c r="D24" s="4">
        <v>34.200000000000003</v>
      </c>
      <c r="E24" s="4">
        <v>11.8</v>
      </c>
      <c r="F24" s="4">
        <v>523</v>
      </c>
      <c r="G24" s="18">
        <v>45210</v>
      </c>
    </row>
    <row r="25" spans="1:7" ht="12.75" customHeight="1">
      <c r="A25" s="4" t="s">
        <v>34</v>
      </c>
      <c r="B25" s="4" t="s">
        <v>18</v>
      </c>
      <c r="C25" s="4">
        <v>30.4</v>
      </c>
      <c r="D25" s="4">
        <v>37.6</v>
      </c>
      <c r="E25" s="4">
        <v>10.6</v>
      </c>
      <c r="F25" s="4">
        <v>520</v>
      </c>
      <c r="G25" s="18">
        <v>45210</v>
      </c>
    </row>
    <row r="26" spans="1:7" ht="12.75" customHeight="1">
      <c r="A26" s="4" t="s">
        <v>35</v>
      </c>
      <c r="B26" s="4" t="s">
        <v>18</v>
      </c>
      <c r="C26" s="4">
        <v>23.8</v>
      </c>
      <c r="D26" s="4">
        <v>33.700000000000003</v>
      </c>
      <c r="E26" s="4">
        <v>8.6</v>
      </c>
      <c r="F26" s="4">
        <v>289</v>
      </c>
      <c r="G26" s="18">
        <v>45210</v>
      </c>
    </row>
    <row r="27" spans="1:7" ht="12.75" customHeight="1">
      <c r="A27" s="18" t="s">
        <v>36</v>
      </c>
      <c r="B27" s="4" t="s">
        <v>18</v>
      </c>
      <c r="C27" s="4">
        <v>20.5</v>
      </c>
      <c r="D27" s="4">
        <v>23.3</v>
      </c>
      <c r="E27" s="4">
        <v>7.7</v>
      </c>
      <c r="F27" s="4">
        <v>168</v>
      </c>
      <c r="G27" s="18">
        <v>45231</v>
      </c>
    </row>
    <row r="28" spans="1:7" ht="12.75" customHeight="1">
      <c r="A28" s="18" t="s">
        <v>37</v>
      </c>
      <c r="B28" s="4" t="s">
        <v>18</v>
      </c>
      <c r="C28" s="4">
        <v>22</v>
      </c>
      <c r="D28" s="4">
        <v>27.7</v>
      </c>
      <c r="E28" s="4">
        <v>8.1</v>
      </c>
      <c r="F28" s="4">
        <v>213</v>
      </c>
      <c r="G28" s="18">
        <v>45231</v>
      </c>
    </row>
    <row r="29" spans="1:7" ht="12.75" customHeight="1">
      <c r="A29" s="18" t="s">
        <v>38</v>
      </c>
      <c r="B29" s="4" t="s">
        <v>18</v>
      </c>
      <c r="C29" s="4">
        <v>18.5</v>
      </c>
      <c r="D29" s="4">
        <v>23.3</v>
      </c>
      <c r="E29" s="4">
        <v>6.8</v>
      </c>
      <c r="F29" s="4">
        <v>112</v>
      </c>
      <c r="G29" s="18">
        <v>45231</v>
      </c>
    </row>
    <row r="30" spans="1:7" ht="12.75" customHeight="1">
      <c r="A30" s="18" t="s">
        <v>39</v>
      </c>
      <c r="B30" s="4" t="s">
        <v>18</v>
      </c>
      <c r="C30" s="4">
        <v>27.1</v>
      </c>
      <c r="D30" s="4">
        <v>32.200000000000003</v>
      </c>
      <c r="E30" s="4">
        <v>9.5</v>
      </c>
      <c r="F30" s="4">
        <v>348</v>
      </c>
      <c r="G30" s="18">
        <v>45231</v>
      </c>
    </row>
    <row r="31" spans="1:7" ht="12.75" customHeight="1">
      <c r="A31" s="18" t="s">
        <v>40</v>
      </c>
      <c r="B31" s="4" t="s">
        <v>18</v>
      </c>
      <c r="C31" s="4">
        <v>25.6</v>
      </c>
      <c r="D31" s="4">
        <v>30.5</v>
      </c>
      <c r="E31" s="4">
        <v>10</v>
      </c>
      <c r="F31" s="4">
        <v>370</v>
      </c>
      <c r="G31" s="18">
        <v>45231</v>
      </c>
    </row>
    <row r="32" spans="1:7" ht="12.75" customHeight="1">
      <c r="A32" s="18" t="s">
        <v>41</v>
      </c>
      <c r="B32" s="4" t="s">
        <v>18</v>
      </c>
      <c r="C32" s="4">
        <v>16.600000000000001</v>
      </c>
      <c r="D32" s="4">
        <v>18</v>
      </c>
      <c r="E32" s="4">
        <v>6.1</v>
      </c>
      <c r="F32" s="4">
        <v>110</v>
      </c>
      <c r="G32" s="18">
        <v>45231</v>
      </c>
    </row>
    <row r="33" spans="1:7" ht="12.75" customHeight="1">
      <c r="A33" s="18" t="s">
        <v>42</v>
      </c>
      <c r="B33" s="4" t="s">
        <v>18</v>
      </c>
      <c r="C33" s="4">
        <v>17.7</v>
      </c>
      <c r="D33" s="4">
        <v>19.8</v>
      </c>
      <c r="E33" s="4">
        <v>6</v>
      </c>
      <c r="F33" s="4">
        <v>95</v>
      </c>
      <c r="G33" s="18">
        <v>45231</v>
      </c>
    </row>
    <row r="34" spans="1:7" ht="12.75" customHeight="1">
      <c r="A34" s="18" t="s">
        <v>43</v>
      </c>
      <c r="B34" s="4" t="s">
        <v>18</v>
      </c>
      <c r="C34" s="4">
        <v>22.2</v>
      </c>
      <c r="D34" s="4">
        <v>26.6</v>
      </c>
      <c r="E34" s="4">
        <v>8.3000000000000007</v>
      </c>
      <c r="F34" s="4">
        <v>220</v>
      </c>
      <c r="G34" s="18">
        <v>45231</v>
      </c>
    </row>
    <row r="35" spans="1:7" ht="12.75" customHeight="1">
      <c r="A35" s="18" t="s">
        <v>44</v>
      </c>
      <c r="B35" s="4" t="s">
        <v>18</v>
      </c>
      <c r="C35" s="4">
        <v>22.2</v>
      </c>
      <c r="D35" s="4">
        <v>26.1</v>
      </c>
      <c r="E35" s="4">
        <v>7.2</v>
      </c>
      <c r="F35" s="4">
        <v>192</v>
      </c>
      <c r="G35" s="18">
        <v>45231</v>
      </c>
    </row>
    <row r="36" spans="1:7" ht="12.75" customHeight="1">
      <c r="A36" s="18" t="s">
        <v>45</v>
      </c>
      <c r="B36" s="4" t="s">
        <v>18</v>
      </c>
      <c r="C36" s="4">
        <v>22.2</v>
      </c>
      <c r="D36" s="4">
        <v>26.1</v>
      </c>
      <c r="E36" s="4">
        <v>8</v>
      </c>
      <c r="F36" s="4">
        <v>197</v>
      </c>
      <c r="G36" s="18">
        <v>45231</v>
      </c>
    </row>
    <row r="37" spans="1:7" ht="12.75" customHeight="1">
      <c r="A37" s="18" t="s">
        <v>46</v>
      </c>
      <c r="B37" s="4" t="s">
        <v>18</v>
      </c>
      <c r="C37" s="4">
        <v>21.6</v>
      </c>
      <c r="D37" s="4">
        <v>25.2</v>
      </c>
      <c r="E37" s="4">
        <v>8.1999999999999993</v>
      </c>
      <c r="F37" s="4">
        <v>211</v>
      </c>
      <c r="G37" s="18">
        <v>45231</v>
      </c>
    </row>
    <row r="38" spans="1:7" ht="12.75" customHeight="1">
      <c r="A38" s="18" t="s">
        <v>47</v>
      </c>
      <c r="B38" s="4" t="s">
        <v>18</v>
      </c>
      <c r="C38" s="4">
        <v>23.3</v>
      </c>
      <c r="D38" s="4">
        <v>25.4</v>
      </c>
      <c r="E38" s="4">
        <v>8.4</v>
      </c>
      <c r="F38" s="4">
        <v>248</v>
      </c>
      <c r="G38" s="18">
        <v>45231</v>
      </c>
    </row>
    <row r="39" spans="1:7" ht="12.75" customHeight="1">
      <c r="A39" s="18" t="s">
        <v>48</v>
      </c>
      <c r="B39" s="4" t="s">
        <v>18</v>
      </c>
      <c r="C39" s="4">
        <v>22.7</v>
      </c>
      <c r="D39" s="4">
        <v>29.1</v>
      </c>
      <c r="E39" s="4">
        <v>8.3000000000000007</v>
      </c>
      <c r="F39" s="4">
        <v>233</v>
      </c>
      <c r="G39" s="18">
        <v>45231</v>
      </c>
    </row>
    <row r="40" spans="1:7" ht="12.75" customHeight="1">
      <c r="A40" s="18" t="s">
        <v>49</v>
      </c>
      <c r="B40" s="4" t="s">
        <v>18</v>
      </c>
      <c r="C40" s="4">
        <v>32.1</v>
      </c>
      <c r="D40" s="4">
        <v>24.4</v>
      </c>
      <c r="E40" s="4">
        <v>9.8000000000000007</v>
      </c>
      <c r="F40" s="4">
        <v>269</v>
      </c>
      <c r="G40" s="18">
        <v>45231</v>
      </c>
    </row>
    <row r="41" spans="1:7" ht="12.75" customHeight="1">
      <c r="A41" s="18" t="s">
        <v>50</v>
      </c>
      <c r="B41" s="4" t="s">
        <v>18</v>
      </c>
      <c r="C41" s="4">
        <v>25.2</v>
      </c>
      <c r="D41" s="4">
        <v>32.4</v>
      </c>
      <c r="E41" s="4">
        <v>9.1</v>
      </c>
      <c r="F41" s="4">
        <v>340</v>
      </c>
      <c r="G41" s="18">
        <v>45231</v>
      </c>
    </row>
    <row r="42" spans="1:7" ht="12.75" customHeight="1">
      <c r="A42" s="18" t="s">
        <v>51</v>
      </c>
      <c r="B42" s="4" t="s">
        <v>18</v>
      </c>
      <c r="C42" s="4">
        <v>25</v>
      </c>
      <c r="D42" s="4">
        <v>31.5</v>
      </c>
      <c r="E42" s="4">
        <v>9.4</v>
      </c>
      <c r="F42" s="4">
        <v>336</v>
      </c>
      <c r="G42" s="18">
        <v>45231</v>
      </c>
    </row>
    <row r="43" spans="1:7" ht="12.75" customHeight="1">
      <c r="A43" s="18" t="s">
        <v>52</v>
      </c>
      <c r="B43" s="4" t="s">
        <v>18</v>
      </c>
      <c r="C43" s="4">
        <v>27.8</v>
      </c>
      <c r="D43" s="4">
        <v>34.1</v>
      </c>
      <c r="E43" s="4">
        <v>10.1</v>
      </c>
      <c r="F43" s="4">
        <v>454</v>
      </c>
      <c r="G43" s="18">
        <v>45231</v>
      </c>
    </row>
    <row r="44" spans="1:7" ht="12.75" customHeight="1">
      <c r="A44" s="18" t="s">
        <v>53</v>
      </c>
      <c r="B44" s="4" t="s">
        <v>18</v>
      </c>
      <c r="C44" s="4">
        <v>28.3</v>
      </c>
      <c r="D44" s="4">
        <v>34.1</v>
      </c>
      <c r="E44" s="4">
        <v>10.3</v>
      </c>
      <c r="F44" s="4">
        <v>414</v>
      </c>
      <c r="G44" s="18">
        <v>45231</v>
      </c>
    </row>
    <row r="45" spans="1:7" ht="12.75" customHeight="1">
      <c r="A45" s="18" t="s">
        <v>54</v>
      </c>
      <c r="B45" s="4" t="s">
        <v>18</v>
      </c>
      <c r="C45" s="4">
        <v>29</v>
      </c>
      <c r="D45" s="4">
        <v>38.1</v>
      </c>
      <c r="E45" s="4">
        <v>11.1</v>
      </c>
      <c r="F45" s="4">
        <v>558</v>
      </c>
      <c r="G45" s="18">
        <v>45231</v>
      </c>
    </row>
    <row r="46" spans="1:7" ht="12.75" customHeight="1">
      <c r="A46" s="18" t="s">
        <v>55</v>
      </c>
      <c r="B46" s="4" t="s">
        <v>18</v>
      </c>
      <c r="C46" s="4">
        <v>31.3</v>
      </c>
      <c r="D46" s="4">
        <v>42.6</v>
      </c>
      <c r="E46" s="4">
        <v>12.2</v>
      </c>
      <c r="F46" s="4">
        <v>623</v>
      </c>
      <c r="G46" s="18">
        <v>45231</v>
      </c>
    </row>
    <row r="47" spans="1:7" ht="12.75" customHeight="1">
      <c r="A47" s="4" t="s">
        <v>56</v>
      </c>
      <c r="B47" s="4" t="s">
        <v>18</v>
      </c>
      <c r="C47" s="4">
        <v>30.1</v>
      </c>
      <c r="D47" s="4">
        <v>41.7</v>
      </c>
      <c r="E47" s="4">
        <v>12.7</v>
      </c>
      <c r="F47" s="4">
        <v>533</v>
      </c>
      <c r="G47" s="18">
        <v>45231</v>
      </c>
    </row>
    <row r="48" spans="1:7" ht="12.75" customHeight="1">
      <c r="A48" s="4" t="s">
        <v>57</v>
      </c>
      <c r="B48" s="4" t="s">
        <v>18</v>
      </c>
      <c r="C48" s="4">
        <v>27.4</v>
      </c>
      <c r="D48" s="4">
        <v>38.799999999999997</v>
      </c>
      <c r="E48" s="4">
        <v>11.6</v>
      </c>
      <c r="F48" s="4">
        <v>440</v>
      </c>
      <c r="G48" s="18">
        <v>45231</v>
      </c>
    </row>
    <row r="49" spans="1:7" ht="12.75" customHeight="1">
      <c r="A49" s="4" t="s">
        <v>58</v>
      </c>
      <c r="B49" s="4" t="s">
        <v>18</v>
      </c>
      <c r="C49" s="4">
        <v>30.7</v>
      </c>
      <c r="D49" s="4">
        <v>38.700000000000003</v>
      </c>
      <c r="E49" s="4">
        <v>10.5</v>
      </c>
      <c r="F49" s="4">
        <v>426</v>
      </c>
      <c r="G49" s="18">
        <v>45231</v>
      </c>
    </row>
    <row r="50" spans="1:7" ht="12.75" customHeight="1">
      <c r="A50" s="4" t="s">
        <v>59</v>
      </c>
      <c r="B50" s="4" t="s">
        <v>18</v>
      </c>
      <c r="C50" s="4">
        <v>26.3</v>
      </c>
      <c r="D50" s="4">
        <v>34.5</v>
      </c>
      <c r="E50" s="4">
        <v>10.1</v>
      </c>
      <c r="F50" s="4">
        <v>366</v>
      </c>
      <c r="G50" s="18">
        <v>45231</v>
      </c>
    </row>
    <row r="51" spans="1:7" ht="12.75" customHeight="1">
      <c r="A51" s="4" t="s">
        <v>60</v>
      </c>
      <c r="B51" s="4" t="s">
        <v>18</v>
      </c>
      <c r="C51" s="4">
        <v>20.6</v>
      </c>
      <c r="D51" s="4">
        <v>28.5</v>
      </c>
      <c r="E51" s="4">
        <v>7.6</v>
      </c>
      <c r="F51" s="4">
        <v>157</v>
      </c>
      <c r="G51" s="18">
        <v>45231</v>
      </c>
    </row>
    <row r="52" spans="1:7" ht="12.75" customHeight="1">
      <c r="A52" s="4" t="s">
        <v>61</v>
      </c>
      <c r="B52" s="4" t="s">
        <v>18</v>
      </c>
      <c r="C52" s="4">
        <v>28.6</v>
      </c>
      <c r="D52" s="4">
        <v>37.5</v>
      </c>
      <c r="E52" s="4">
        <v>10.3</v>
      </c>
      <c r="F52" s="4">
        <v>422</v>
      </c>
      <c r="G52" s="18">
        <v>45231</v>
      </c>
    </row>
    <row r="53" spans="1:7" ht="12.75" customHeight="1">
      <c r="A53" s="4" t="s">
        <v>62</v>
      </c>
      <c r="B53" s="4" t="s">
        <v>18</v>
      </c>
      <c r="C53" s="4">
        <v>23.2</v>
      </c>
      <c r="D53" s="4">
        <v>31.4</v>
      </c>
      <c r="E53" s="4">
        <v>8.8000000000000007</v>
      </c>
      <c r="F53" s="4">
        <v>220</v>
      </c>
      <c r="G53" s="18">
        <v>45231</v>
      </c>
    </row>
    <row r="54" spans="1:7" ht="12.75" customHeight="1">
      <c r="A54" s="4" t="s">
        <v>63</v>
      </c>
      <c r="B54" s="4" t="s">
        <v>18</v>
      </c>
      <c r="C54" s="4">
        <v>27.2</v>
      </c>
      <c r="D54" s="4">
        <v>35.299999999999997</v>
      </c>
      <c r="E54" s="4">
        <v>10</v>
      </c>
      <c r="F54" s="4">
        <v>350</v>
      </c>
      <c r="G54" s="18">
        <v>45231</v>
      </c>
    </row>
    <row r="55" spans="1:7" ht="12.75" customHeight="1">
      <c r="A55" s="4" t="s">
        <v>64</v>
      </c>
      <c r="B55" s="4" t="s">
        <v>18</v>
      </c>
      <c r="C55" s="4">
        <v>20.3</v>
      </c>
      <c r="D55" s="4">
        <v>31.5</v>
      </c>
      <c r="E55" s="4">
        <v>7.3</v>
      </c>
      <c r="F55" s="4">
        <v>105</v>
      </c>
      <c r="G55" s="18">
        <v>45231</v>
      </c>
    </row>
    <row r="56" spans="1:7" ht="12.75" customHeight="1">
      <c r="A56" s="18" t="s">
        <v>65</v>
      </c>
      <c r="B56" s="4" t="s">
        <v>18</v>
      </c>
      <c r="C56" s="4">
        <v>24.4</v>
      </c>
      <c r="D56" s="4">
        <v>31.4</v>
      </c>
      <c r="E56" s="4">
        <v>8.3000000000000007</v>
      </c>
      <c r="F56" s="4">
        <v>222</v>
      </c>
      <c r="G56" s="18">
        <v>45231</v>
      </c>
    </row>
    <row r="57" spans="1:7" ht="12.75" customHeight="1">
      <c r="A57" s="18" t="s">
        <v>66</v>
      </c>
      <c r="B57" s="4" t="s">
        <v>18</v>
      </c>
      <c r="C57" s="4">
        <v>25.3</v>
      </c>
      <c r="D57" s="4">
        <v>30</v>
      </c>
      <c r="E57" s="4">
        <v>8.5</v>
      </c>
      <c r="F57" s="4">
        <v>220</v>
      </c>
      <c r="G57" s="18">
        <v>45231</v>
      </c>
    </row>
    <row r="58" spans="1:7" ht="12.75" customHeight="1">
      <c r="A58" s="18" t="s">
        <v>67</v>
      </c>
      <c r="B58" s="4" t="s">
        <v>18</v>
      </c>
      <c r="C58" s="4">
        <v>24.7</v>
      </c>
      <c r="D58" s="4">
        <v>32.6</v>
      </c>
      <c r="E58" s="4">
        <v>9.6999999999999993</v>
      </c>
      <c r="F58" s="4">
        <v>282</v>
      </c>
      <c r="G58" s="18">
        <v>45231</v>
      </c>
    </row>
    <row r="59" spans="1:7" ht="12.75" customHeight="1">
      <c r="A59" s="18" t="s">
        <v>68</v>
      </c>
      <c r="B59" s="4" t="s">
        <v>18</v>
      </c>
      <c r="C59" s="4">
        <v>26.1</v>
      </c>
      <c r="D59" s="4">
        <v>35.1</v>
      </c>
      <c r="E59" s="4">
        <v>9.1999999999999993</v>
      </c>
      <c r="F59" s="4">
        <v>361</v>
      </c>
      <c r="G59" s="18">
        <v>45231</v>
      </c>
    </row>
    <row r="60" spans="1:7" ht="12.75" customHeight="1">
      <c r="A60" s="18" t="s">
        <v>69</v>
      </c>
      <c r="B60" s="4" t="s">
        <v>18</v>
      </c>
      <c r="C60" s="4">
        <v>24.1</v>
      </c>
      <c r="D60" s="4">
        <v>31.1</v>
      </c>
      <c r="E60" s="4">
        <v>8.6999999999999993</v>
      </c>
      <c r="F60" s="4">
        <v>229</v>
      </c>
      <c r="G60" s="18">
        <v>45231</v>
      </c>
    </row>
    <row r="61" spans="1:7" ht="12.75" customHeight="1">
      <c r="A61" s="18" t="s">
        <v>70</v>
      </c>
      <c r="B61" s="4" t="s">
        <v>18</v>
      </c>
      <c r="C61" s="4">
        <v>23.3</v>
      </c>
      <c r="D61" s="4">
        <v>24.1</v>
      </c>
      <c r="E61" s="4">
        <v>8.1</v>
      </c>
      <c r="F61" s="4">
        <v>226</v>
      </c>
      <c r="G61" s="18">
        <v>45231</v>
      </c>
    </row>
    <row r="62" spans="1:7" ht="12.75" customHeight="1">
      <c r="A62" s="18" t="s">
        <v>71</v>
      </c>
      <c r="B62" s="4" t="s">
        <v>18</v>
      </c>
      <c r="C62" s="4">
        <v>22.2</v>
      </c>
      <c r="D62" s="4">
        <v>29.6</v>
      </c>
      <c r="E62" s="4">
        <v>7.6</v>
      </c>
      <c r="F62" s="4">
        <v>198</v>
      </c>
      <c r="G62" s="18">
        <v>45231</v>
      </c>
    </row>
    <row r="63" spans="1:7" ht="12.75" customHeight="1">
      <c r="A63" s="18" t="s">
        <v>72</v>
      </c>
      <c r="B63" s="4" t="s">
        <v>18</v>
      </c>
      <c r="C63" s="4">
        <v>26.1</v>
      </c>
      <c r="D63" s="4">
        <v>35.1</v>
      </c>
      <c r="E63" s="4">
        <v>9.1</v>
      </c>
      <c r="F63" s="4">
        <v>314</v>
      </c>
      <c r="G63" s="18">
        <v>45231</v>
      </c>
    </row>
    <row r="64" spans="1:7" ht="12.75" customHeight="1">
      <c r="A64" s="18" t="s">
        <v>73</v>
      </c>
      <c r="B64" s="4" t="s">
        <v>18</v>
      </c>
      <c r="C64" s="4">
        <v>26.3</v>
      </c>
      <c r="D64" s="4">
        <v>35.299999999999997</v>
      </c>
      <c r="E64" s="4">
        <v>9.6999999999999993</v>
      </c>
      <c r="F64" s="4">
        <v>291</v>
      </c>
      <c r="G64" s="18">
        <v>45231</v>
      </c>
    </row>
    <row r="65" spans="1:8" ht="12.75" customHeight="1">
      <c r="A65" s="4" t="s">
        <v>74</v>
      </c>
      <c r="B65" s="4" t="s">
        <v>18</v>
      </c>
      <c r="C65" s="4">
        <v>30.3</v>
      </c>
      <c r="D65" s="4">
        <v>39</v>
      </c>
      <c r="E65" s="4">
        <v>9.5</v>
      </c>
      <c r="F65" s="4">
        <v>473</v>
      </c>
      <c r="G65" s="18">
        <v>45231</v>
      </c>
    </row>
    <row r="66" spans="1:8" ht="12.75" customHeight="1">
      <c r="A66" s="4" t="s">
        <v>75</v>
      </c>
      <c r="B66" s="4" t="s">
        <v>18</v>
      </c>
      <c r="C66" s="4">
        <v>33.5</v>
      </c>
      <c r="D66" s="4">
        <v>44.1</v>
      </c>
      <c r="E66" s="4">
        <v>12</v>
      </c>
      <c r="F66" s="4">
        <v>696</v>
      </c>
      <c r="G66" s="18">
        <v>45231</v>
      </c>
    </row>
    <row r="67" spans="1:8" ht="12.75" customHeight="1">
      <c r="A67" s="4" t="s">
        <v>76</v>
      </c>
      <c r="B67" s="4" t="s">
        <v>18</v>
      </c>
      <c r="C67" s="4">
        <v>28.4</v>
      </c>
      <c r="D67" s="4">
        <v>36.1</v>
      </c>
      <c r="E67" s="4">
        <v>9.5</v>
      </c>
      <c r="F67" s="4">
        <v>359</v>
      </c>
      <c r="G67" s="18">
        <v>45231</v>
      </c>
    </row>
    <row r="68" spans="1:8" ht="12.75" customHeight="1">
      <c r="A68" s="4" t="s">
        <v>77</v>
      </c>
      <c r="B68" s="4" t="s">
        <v>18</v>
      </c>
      <c r="C68" s="4">
        <v>28.6</v>
      </c>
      <c r="D68" s="4">
        <v>36.700000000000003</v>
      </c>
      <c r="E68" s="4">
        <v>9.6</v>
      </c>
      <c r="F68" s="4">
        <v>365</v>
      </c>
      <c r="G68" s="18">
        <v>45231</v>
      </c>
    </row>
    <row r="69" spans="1:8" ht="12.75" customHeight="1">
      <c r="A69" s="4" t="s">
        <v>78</v>
      </c>
      <c r="B69" s="4" t="s">
        <v>18</v>
      </c>
      <c r="C69" s="4">
        <v>39.5</v>
      </c>
      <c r="D69" s="4">
        <v>41.6</v>
      </c>
      <c r="E69" s="4">
        <v>11</v>
      </c>
      <c r="F69" s="4">
        <v>457</v>
      </c>
      <c r="G69" s="18">
        <v>45231</v>
      </c>
    </row>
    <row r="70" spans="1:8" ht="12.75" customHeight="1">
      <c r="A70" s="4" t="s">
        <v>79</v>
      </c>
      <c r="B70" s="4" t="s">
        <v>18</v>
      </c>
      <c r="C70" s="4">
        <v>23.4</v>
      </c>
      <c r="D70" s="4">
        <v>31</v>
      </c>
      <c r="E70" s="4">
        <v>8.6</v>
      </c>
      <c r="F70" s="4">
        <v>190</v>
      </c>
      <c r="G70" s="18">
        <v>45231</v>
      </c>
    </row>
    <row r="71" spans="1:8" ht="12.75" customHeight="1">
      <c r="A71" s="4" t="s">
        <v>80</v>
      </c>
      <c r="B71" s="4" t="s">
        <v>18</v>
      </c>
      <c r="C71" s="4">
        <v>26.1</v>
      </c>
      <c r="D71" s="4">
        <v>34.1</v>
      </c>
      <c r="E71" s="4">
        <v>8</v>
      </c>
      <c r="F71" s="4">
        <v>263</v>
      </c>
      <c r="G71" s="18">
        <v>45231</v>
      </c>
    </row>
    <row r="72" spans="1:8" ht="12.75" customHeight="1">
      <c r="A72" s="4" t="s">
        <v>81</v>
      </c>
      <c r="B72" s="4" t="s">
        <v>18</v>
      </c>
      <c r="C72" s="4">
        <v>26</v>
      </c>
      <c r="D72" s="4">
        <v>32.9</v>
      </c>
      <c r="E72" s="4">
        <v>8.9</v>
      </c>
      <c r="F72" s="4">
        <v>348</v>
      </c>
      <c r="G72" s="18">
        <v>45231</v>
      </c>
    </row>
    <row r="73" spans="1:8" ht="12.75" customHeight="1">
      <c r="A73" s="4" t="s">
        <v>82</v>
      </c>
      <c r="B73" s="4" t="s">
        <v>18</v>
      </c>
      <c r="C73" s="4" t="s">
        <v>83</v>
      </c>
      <c r="D73" s="4" t="s">
        <v>84</v>
      </c>
      <c r="E73" s="4">
        <v>6.2</v>
      </c>
      <c r="F73" s="4" t="s">
        <v>85</v>
      </c>
      <c r="G73" s="18">
        <v>45231</v>
      </c>
      <c r="H73" s="4" t="s">
        <v>86</v>
      </c>
    </row>
    <row r="74" spans="1:8" ht="12.75" customHeight="1">
      <c r="A74" s="4" t="s">
        <v>87</v>
      </c>
      <c r="B74" s="4" t="s">
        <v>18</v>
      </c>
      <c r="C74" s="4">
        <v>23.3</v>
      </c>
      <c r="D74" s="4">
        <v>31.1</v>
      </c>
      <c r="E74" s="4">
        <v>7.7</v>
      </c>
      <c r="F74" s="4">
        <v>174</v>
      </c>
      <c r="G74" s="18">
        <v>45231</v>
      </c>
    </row>
    <row r="75" spans="1:8" ht="12.75" customHeight="1">
      <c r="A75" s="4" t="s">
        <v>88</v>
      </c>
      <c r="B75" s="4" t="s">
        <v>18</v>
      </c>
      <c r="C75" s="4">
        <v>18.8</v>
      </c>
      <c r="D75" s="4">
        <v>21.2</v>
      </c>
      <c r="E75" s="4">
        <v>5.8</v>
      </c>
      <c r="F75" s="4">
        <v>126</v>
      </c>
      <c r="G75" s="18">
        <v>45231</v>
      </c>
    </row>
    <row r="76" spans="1:8" ht="12.75" customHeight="1">
      <c r="A76" s="4" t="s">
        <v>89</v>
      </c>
      <c r="B76" s="4" t="s">
        <v>18</v>
      </c>
      <c r="C76" s="4">
        <v>29</v>
      </c>
      <c r="D76" s="4">
        <v>31.4</v>
      </c>
      <c r="E76" s="4">
        <v>7.4</v>
      </c>
      <c r="F76" s="4">
        <v>274</v>
      </c>
      <c r="G76" s="18">
        <v>45231</v>
      </c>
    </row>
    <row r="77" spans="1:8" ht="12.75" customHeight="1">
      <c r="A77" s="4" t="s">
        <v>90</v>
      </c>
      <c r="B77" s="4" t="s">
        <v>18</v>
      </c>
      <c r="C77" s="4">
        <v>21.4</v>
      </c>
      <c r="D77" s="4">
        <v>25.4</v>
      </c>
      <c r="E77" s="4">
        <v>7</v>
      </c>
      <c r="F77" s="4">
        <v>188</v>
      </c>
      <c r="G77" s="18">
        <v>45231</v>
      </c>
    </row>
    <row r="78" spans="1:8" ht="12.75" customHeight="1">
      <c r="A78" s="4" t="s">
        <v>91</v>
      </c>
      <c r="B78" s="4" t="s">
        <v>18</v>
      </c>
      <c r="C78" s="4">
        <v>25</v>
      </c>
      <c r="D78" s="4">
        <v>30.4</v>
      </c>
      <c r="E78" s="4">
        <v>8.6</v>
      </c>
      <c r="F78" s="4">
        <v>324</v>
      </c>
      <c r="G78" s="18">
        <v>45231</v>
      </c>
    </row>
    <row r="79" spans="1:8" ht="12.75" customHeight="1">
      <c r="A79" s="4" t="s">
        <v>92</v>
      </c>
      <c r="B79" s="4" t="s">
        <v>18</v>
      </c>
      <c r="C79" s="4">
        <v>25.7</v>
      </c>
      <c r="D79" s="4">
        <v>32.9</v>
      </c>
      <c r="E79" s="4">
        <v>9.4</v>
      </c>
      <c r="F79" s="4">
        <v>387</v>
      </c>
      <c r="G79" s="18">
        <v>45231</v>
      </c>
    </row>
    <row r="80" spans="1:8" ht="12.75" customHeight="1">
      <c r="A80" s="4" t="s">
        <v>93</v>
      </c>
      <c r="B80" s="4" t="s">
        <v>18</v>
      </c>
      <c r="C80" s="4">
        <v>23.7</v>
      </c>
      <c r="D80" s="4">
        <v>32.299999999999997</v>
      </c>
      <c r="E80" s="4">
        <v>8.6</v>
      </c>
      <c r="F80" s="4">
        <v>273</v>
      </c>
      <c r="G80" s="18">
        <v>45231</v>
      </c>
    </row>
    <row r="81" spans="1:7" ht="12.75" customHeight="1">
      <c r="A81" s="4" t="s">
        <v>94</v>
      </c>
      <c r="B81" s="4" t="s">
        <v>18</v>
      </c>
      <c r="C81" s="4">
        <v>20.6</v>
      </c>
      <c r="D81" s="4">
        <v>26.8</v>
      </c>
      <c r="E81" s="4">
        <v>6.5</v>
      </c>
      <c r="F81" s="4">
        <v>184</v>
      </c>
      <c r="G81" s="18">
        <v>45231</v>
      </c>
    </row>
    <row r="82" spans="1:7" ht="12.75" customHeight="1">
      <c r="A82" s="4" t="s">
        <v>95</v>
      </c>
      <c r="B82" s="4" t="s">
        <v>18</v>
      </c>
      <c r="C82" s="4">
        <v>23.1</v>
      </c>
      <c r="D82" s="4">
        <v>29</v>
      </c>
      <c r="E82" s="4">
        <v>8.1</v>
      </c>
      <c r="F82" s="4">
        <v>254</v>
      </c>
      <c r="G82" s="18">
        <v>45231</v>
      </c>
    </row>
    <row r="83" spans="1:7" ht="12.75" customHeight="1">
      <c r="A83" s="4" t="s">
        <v>96</v>
      </c>
      <c r="B83" s="4" t="s">
        <v>18</v>
      </c>
      <c r="C83" s="4">
        <v>19.5</v>
      </c>
      <c r="D83" s="4">
        <v>26.3</v>
      </c>
      <c r="E83" s="4">
        <v>6</v>
      </c>
      <c r="F83" s="4">
        <v>174</v>
      </c>
      <c r="G83" s="18">
        <v>45231</v>
      </c>
    </row>
    <row r="84" spans="1:7" ht="12.75" customHeight="1">
      <c r="A84" s="4" t="s">
        <v>97</v>
      </c>
      <c r="B84" s="4" t="s">
        <v>18</v>
      </c>
      <c r="C84" s="4">
        <v>25.2</v>
      </c>
      <c r="D84" s="4">
        <v>32.700000000000003</v>
      </c>
      <c r="E84" s="4">
        <v>9</v>
      </c>
      <c r="F84" s="4">
        <v>341</v>
      </c>
      <c r="G84" s="18">
        <v>45231</v>
      </c>
    </row>
    <row r="85" spans="1:7" ht="12.75" customHeight="1">
      <c r="A85" s="4" t="s">
        <v>98</v>
      </c>
      <c r="B85" s="4" t="s">
        <v>18</v>
      </c>
      <c r="C85" s="4">
        <v>21.4</v>
      </c>
      <c r="D85" s="4">
        <v>27.5</v>
      </c>
      <c r="E85" s="4">
        <v>7.2</v>
      </c>
      <c r="F85" s="4">
        <v>187</v>
      </c>
      <c r="G85" s="18">
        <v>45231</v>
      </c>
    </row>
    <row r="86" spans="1:7" ht="12.75" customHeight="1">
      <c r="A86" s="18" t="s">
        <v>99</v>
      </c>
      <c r="B86" s="4" t="s">
        <v>18</v>
      </c>
      <c r="C86" s="4">
        <v>29.5</v>
      </c>
      <c r="D86" s="4">
        <v>34.200000000000003</v>
      </c>
      <c r="E86" s="4">
        <v>11.8</v>
      </c>
      <c r="F86" s="4">
        <v>523</v>
      </c>
      <c r="G86" s="18">
        <v>45231</v>
      </c>
    </row>
    <row r="87" spans="1:7" ht="12.75" customHeight="1">
      <c r="A87" s="18" t="s">
        <v>100</v>
      </c>
      <c r="B87" s="4" t="s">
        <v>18</v>
      </c>
      <c r="C87" s="4">
        <v>30.4</v>
      </c>
      <c r="D87" s="4">
        <v>37.6</v>
      </c>
      <c r="E87" s="4">
        <v>10.6</v>
      </c>
      <c r="F87" s="4">
        <v>520</v>
      </c>
      <c r="G87" s="18">
        <v>45231</v>
      </c>
    </row>
    <row r="88" spans="1:7" ht="12.75" customHeight="1">
      <c r="A88" s="18" t="s">
        <v>101</v>
      </c>
      <c r="B88" s="4" t="s">
        <v>18</v>
      </c>
      <c r="C88" s="4">
        <v>23.8</v>
      </c>
      <c r="D88" s="4">
        <v>33.700000000000003</v>
      </c>
      <c r="E88" s="4">
        <v>8.6</v>
      </c>
      <c r="F88" s="4">
        <v>289</v>
      </c>
      <c r="G88" s="18">
        <v>45231</v>
      </c>
    </row>
    <row r="89" spans="1:7" ht="12.75" customHeight="1">
      <c r="A89" s="18" t="s">
        <v>102</v>
      </c>
      <c r="B89" s="4" t="s">
        <v>18</v>
      </c>
      <c r="C89" s="4">
        <v>31.1</v>
      </c>
      <c r="D89" s="4">
        <v>39.200000000000003</v>
      </c>
      <c r="E89" s="4">
        <v>11</v>
      </c>
      <c r="F89" s="4">
        <v>576</v>
      </c>
      <c r="G89" s="18">
        <v>45231</v>
      </c>
    </row>
    <row r="90" spans="1:7" ht="12.75" customHeight="1">
      <c r="A90" s="18" t="s">
        <v>103</v>
      </c>
      <c r="B90" s="4" t="s">
        <v>18</v>
      </c>
      <c r="C90" s="4">
        <v>25.5</v>
      </c>
      <c r="D90" s="4">
        <v>33.5</v>
      </c>
      <c r="E90" s="4">
        <v>9.4</v>
      </c>
      <c r="F90" s="4">
        <v>329</v>
      </c>
      <c r="G90" s="18">
        <v>45231</v>
      </c>
    </row>
    <row r="91" spans="1:7" ht="12.75" customHeight="1">
      <c r="A91" s="18" t="s">
        <v>104</v>
      </c>
      <c r="B91" s="4" t="s">
        <v>18</v>
      </c>
      <c r="C91" s="4">
        <v>25.5</v>
      </c>
      <c r="D91" s="4">
        <v>30.2</v>
      </c>
      <c r="E91" s="4">
        <v>9.1</v>
      </c>
      <c r="F91" s="4">
        <v>315</v>
      </c>
      <c r="G91" s="18">
        <v>45231</v>
      </c>
    </row>
    <row r="92" spans="1:7" ht="12.75" customHeight="1">
      <c r="A92" s="18" t="s">
        <v>105</v>
      </c>
      <c r="B92" s="4" t="s">
        <v>18</v>
      </c>
      <c r="C92" s="4">
        <v>26.5</v>
      </c>
      <c r="D92" s="4">
        <v>34.200000000000003</v>
      </c>
      <c r="E92" s="4">
        <v>8.8000000000000007</v>
      </c>
      <c r="F92" s="4">
        <v>325</v>
      </c>
      <c r="G92" s="18">
        <v>45231</v>
      </c>
    </row>
    <row r="93" spans="1:7" ht="12.75" customHeight="1">
      <c r="A93" s="18" t="s">
        <v>106</v>
      </c>
      <c r="B93" s="4" t="s">
        <v>18</v>
      </c>
      <c r="C93" s="4">
        <v>28.4</v>
      </c>
      <c r="D93" s="4">
        <v>35.299999999999997</v>
      </c>
      <c r="E93" s="4">
        <v>10.7</v>
      </c>
      <c r="F93" s="4">
        <v>551</v>
      </c>
      <c r="G93" s="18">
        <v>45231</v>
      </c>
    </row>
    <row r="94" spans="1:7" ht="12.75" customHeight="1">
      <c r="A94" s="18" t="s">
        <v>107</v>
      </c>
      <c r="B94" s="4" t="s">
        <v>18</v>
      </c>
      <c r="C94" s="4">
        <v>22.5</v>
      </c>
      <c r="D94" s="4">
        <v>29.1</v>
      </c>
      <c r="E94" s="4">
        <v>7.7</v>
      </c>
      <c r="F94" s="4">
        <v>203</v>
      </c>
      <c r="G94" s="18">
        <v>45231</v>
      </c>
    </row>
    <row r="95" spans="1:7" ht="12.75" customHeight="1">
      <c r="A95" s="18" t="s">
        <v>108</v>
      </c>
      <c r="B95" s="4" t="s">
        <v>18</v>
      </c>
      <c r="C95" s="4">
        <v>25.3</v>
      </c>
      <c r="D95" s="4">
        <v>30.6</v>
      </c>
      <c r="E95" s="4">
        <v>9.1999999999999993</v>
      </c>
      <c r="F95" s="4">
        <v>314</v>
      </c>
      <c r="G95" s="18">
        <v>45231</v>
      </c>
    </row>
    <row r="96" spans="1:7" ht="12.75" customHeight="1">
      <c r="A96" s="18" t="s">
        <v>109</v>
      </c>
      <c r="B96" s="4" t="s">
        <v>18</v>
      </c>
      <c r="C96" s="4">
        <v>26.5</v>
      </c>
      <c r="D96" s="4">
        <v>34.6</v>
      </c>
      <c r="E96" s="4">
        <v>9.4</v>
      </c>
      <c r="F96" s="4">
        <v>346</v>
      </c>
      <c r="G96" s="18">
        <v>45231</v>
      </c>
    </row>
    <row r="97" spans="1:7" ht="12.75" customHeight="1">
      <c r="A97" s="18" t="s">
        <v>110</v>
      </c>
      <c r="B97" s="4" t="s">
        <v>18</v>
      </c>
      <c r="C97" s="4">
        <v>23.7</v>
      </c>
      <c r="D97" s="4">
        <v>26.5</v>
      </c>
      <c r="E97" s="4">
        <v>8.3000000000000007</v>
      </c>
      <c r="F97" s="4">
        <v>247</v>
      </c>
      <c r="G97" s="18">
        <v>45231</v>
      </c>
    </row>
    <row r="98" spans="1:7" ht="12.75" customHeight="1">
      <c r="A98" s="18" t="s">
        <v>111</v>
      </c>
      <c r="B98" s="4" t="s">
        <v>18</v>
      </c>
      <c r="C98" s="4">
        <v>17.899999999999999</v>
      </c>
      <c r="D98" s="4">
        <v>23.4</v>
      </c>
      <c r="E98" s="4">
        <v>6.2</v>
      </c>
      <c r="F98" s="4">
        <v>111</v>
      </c>
      <c r="G98" s="18">
        <v>45231</v>
      </c>
    </row>
    <row r="99" spans="1:7" ht="12.75" customHeight="1">
      <c r="A99" s="18" t="s">
        <v>112</v>
      </c>
      <c r="B99" s="4" t="s">
        <v>18</v>
      </c>
      <c r="C99" s="4">
        <v>19.7</v>
      </c>
      <c r="D99" s="4">
        <v>24.1</v>
      </c>
      <c r="E99" s="4">
        <v>6.4</v>
      </c>
      <c r="F99" s="4">
        <v>135</v>
      </c>
      <c r="G99" s="18">
        <v>45231</v>
      </c>
    </row>
    <row r="100" spans="1:7" ht="12.75" customHeight="1">
      <c r="A100" s="18" t="s">
        <v>113</v>
      </c>
      <c r="B100" s="4" t="s">
        <v>18</v>
      </c>
      <c r="C100" s="4">
        <v>26.6</v>
      </c>
      <c r="D100" s="4">
        <v>35.1</v>
      </c>
      <c r="E100" s="4">
        <v>9.3000000000000007</v>
      </c>
      <c r="F100" s="4">
        <v>337</v>
      </c>
      <c r="G100" s="18">
        <v>45231</v>
      </c>
    </row>
    <row r="101" spans="1:7" ht="12.75" customHeight="1">
      <c r="A101" s="18" t="s">
        <v>114</v>
      </c>
      <c r="B101" s="4" t="s">
        <v>18</v>
      </c>
      <c r="C101" s="4">
        <v>26.5</v>
      </c>
      <c r="D101" s="4">
        <v>34.6</v>
      </c>
      <c r="E101" s="4">
        <v>9.4</v>
      </c>
      <c r="F101" s="4">
        <v>325</v>
      </c>
      <c r="G101" s="18">
        <v>45231</v>
      </c>
    </row>
    <row r="102" spans="1:7" ht="12.75" customHeight="1">
      <c r="A102" s="4" t="s">
        <v>115</v>
      </c>
      <c r="B102" s="4" t="s">
        <v>18</v>
      </c>
      <c r="C102" s="4">
        <v>22.3</v>
      </c>
      <c r="D102" s="4">
        <v>30.5</v>
      </c>
      <c r="E102" s="4">
        <v>7.5</v>
      </c>
      <c r="F102" s="4">
        <v>216</v>
      </c>
      <c r="G102" s="18">
        <v>45231</v>
      </c>
    </row>
    <row r="103" spans="1:7" ht="12.75" customHeight="1">
      <c r="A103" s="4" t="s">
        <v>116</v>
      </c>
      <c r="B103" s="4" t="s">
        <v>18</v>
      </c>
      <c r="C103" s="4">
        <v>33.5</v>
      </c>
      <c r="D103" s="4">
        <v>41.5</v>
      </c>
      <c r="E103" s="4">
        <v>12.3</v>
      </c>
      <c r="F103" s="4">
        <v>587</v>
      </c>
      <c r="G103" s="18">
        <v>45231</v>
      </c>
    </row>
    <row r="104" spans="1:7" ht="12.75" customHeight="1">
      <c r="A104" s="4" t="s">
        <v>117</v>
      </c>
      <c r="B104" s="4" t="s">
        <v>18</v>
      </c>
      <c r="C104" s="4">
        <v>21.9</v>
      </c>
      <c r="D104" s="4">
        <v>40</v>
      </c>
      <c r="E104" s="4">
        <v>10.8</v>
      </c>
      <c r="F104" s="4">
        <v>508</v>
      </c>
      <c r="G104" s="18">
        <v>45231</v>
      </c>
    </row>
    <row r="105" spans="1:7" ht="12.75" customHeight="1">
      <c r="A105" s="4" t="s">
        <v>118</v>
      </c>
      <c r="B105" s="4" t="s">
        <v>18</v>
      </c>
      <c r="C105" s="4">
        <v>20.5</v>
      </c>
      <c r="D105" s="4">
        <v>24</v>
      </c>
      <c r="E105" s="4">
        <v>6.7</v>
      </c>
      <c r="F105" s="4">
        <v>123</v>
      </c>
      <c r="G105" s="18">
        <v>45231</v>
      </c>
    </row>
    <row r="106" spans="1:7" ht="12.75" customHeight="1">
      <c r="A106" s="4" t="s">
        <v>119</v>
      </c>
      <c r="B106" s="4" t="s">
        <v>18</v>
      </c>
      <c r="C106" s="4">
        <v>33.6</v>
      </c>
      <c r="D106" s="4">
        <v>43.1</v>
      </c>
      <c r="E106" s="4">
        <v>11.5</v>
      </c>
      <c r="F106" s="4">
        <v>597</v>
      </c>
      <c r="G106" s="18">
        <v>45231</v>
      </c>
    </row>
    <row r="107" spans="1:7" ht="12.75" customHeight="1">
      <c r="A107" s="4" t="s">
        <v>120</v>
      </c>
      <c r="B107" s="4" t="s">
        <v>18</v>
      </c>
      <c r="C107" s="4">
        <v>31.2</v>
      </c>
      <c r="D107" s="4">
        <v>40.5</v>
      </c>
      <c r="E107" s="4">
        <v>11.3</v>
      </c>
      <c r="F107" s="4">
        <v>469</v>
      </c>
      <c r="G107" s="18">
        <v>45231</v>
      </c>
    </row>
    <row r="108" spans="1:7" ht="12.75" customHeight="1">
      <c r="A108" s="4" t="s">
        <v>121</v>
      </c>
      <c r="B108" s="4" t="s">
        <v>18</v>
      </c>
      <c r="C108" s="4">
        <v>33.1</v>
      </c>
      <c r="D108" s="4">
        <v>43.4</v>
      </c>
      <c r="E108" s="4">
        <v>12.4</v>
      </c>
      <c r="F108" s="4">
        <v>665</v>
      </c>
      <c r="G108" s="18">
        <v>45231</v>
      </c>
    </row>
    <row r="109" spans="1:7" ht="12.75" customHeight="1">
      <c r="A109" s="4" t="s">
        <v>122</v>
      </c>
      <c r="B109" s="4" t="s">
        <v>18</v>
      </c>
      <c r="C109" s="4">
        <v>21.8</v>
      </c>
      <c r="D109" s="4">
        <v>25.7</v>
      </c>
      <c r="E109" s="4">
        <v>7.9</v>
      </c>
      <c r="F109" s="4">
        <v>171</v>
      </c>
      <c r="G109" s="18">
        <v>45231</v>
      </c>
    </row>
    <row r="110" spans="1:7" ht="12.75" customHeight="1">
      <c r="A110" s="4" t="s">
        <v>123</v>
      </c>
      <c r="B110" s="4" t="s">
        <v>18</v>
      </c>
      <c r="C110" s="4">
        <v>34</v>
      </c>
      <c r="D110" s="4">
        <v>44.1</v>
      </c>
      <c r="E110" s="4">
        <v>12.3</v>
      </c>
      <c r="F110" s="4">
        <v>657</v>
      </c>
      <c r="G110" s="18">
        <v>45231</v>
      </c>
    </row>
    <row r="111" spans="1:7" ht="12.75" customHeight="1">
      <c r="A111" s="4" t="s">
        <v>124</v>
      </c>
      <c r="B111" s="4" t="s">
        <v>18</v>
      </c>
      <c r="C111" s="4">
        <v>30.1</v>
      </c>
      <c r="D111" s="4">
        <v>38.6</v>
      </c>
      <c r="E111" s="4">
        <v>10.5</v>
      </c>
      <c r="F111" s="4">
        <v>404</v>
      </c>
      <c r="G111" s="18">
        <v>45231</v>
      </c>
    </row>
    <row r="112" spans="1:7" ht="12.75" customHeight="1">
      <c r="A112" s="4" t="s">
        <v>125</v>
      </c>
      <c r="B112" s="4" t="s">
        <v>18</v>
      </c>
      <c r="C112" s="4">
        <v>23.9</v>
      </c>
      <c r="D112" s="4">
        <v>32.1</v>
      </c>
      <c r="E112" s="4">
        <v>9</v>
      </c>
      <c r="F112" s="4">
        <v>264</v>
      </c>
      <c r="G112" s="18">
        <v>45231</v>
      </c>
    </row>
    <row r="113" spans="1:8" ht="12.75" customHeight="1">
      <c r="A113" s="18" t="s">
        <v>126</v>
      </c>
      <c r="B113" s="4" t="s">
        <v>18</v>
      </c>
      <c r="C113" s="4">
        <v>27.4</v>
      </c>
      <c r="D113" s="4">
        <v>33.1</v>
      </c>
      <c r="E113" s="4">
        <v>10.199999999999999</v>
      </c>
      <c r="F113" s="4">
        <v>445</v>
      </c>
      <c r="G113" s="18">
        <v>45245</v>
      </c>
    </row>
    <row r="114" spans="1:8" ht="12.75" customHeight="1">
      <c r="A114" s="18" t="s">
        <v>127</v>
      </c>
      <c r="B114" s="4" t="s">
        <v>18</v>
      </c>
      <c r="C114" s="4">
        <v>24.1</v>
      </c>
      <c r="D114" s="4">
        <v>31.4</v>
      </c>
      <c r="E114" s="4">
        <v>8.6</v>
      </c>
      <c r="F114" s="4">
        <v>263</v>
      </c>
      <c r="G114" s="18">
        <v>45245</v>
      </c>
    </row>
    <row r="115" spans="1:8" ht="12.75" customHeight="1">
      <c r="A115" s="18" t="s">
        <v>128</v>
      </c>
      <c r="B115" s="4" t="s">
        <v>18</v>
      </c>
      <c r="C115" s="4">
        <v>25.9</v>
      </c>
      <c r="D115" s="4">
        <v>36</v>
      </c>
      <c r="E115" s="4">
        <v>8.9</v>
      </c>
      <c r="F115" s="4">
        <v>328</v>
      </c>
      <c r="G115" s="18">
        <v>45245</v>
      </c>
    </row>
    <row r="116" spans="1:8" ht="12.75" customHeight="1">
      <c r="A116" s="18" t="s">
        <v>129</v>
      </c>
      <c r="B116" s="4" t="s">
        <v>18</v>
      </c>
      <c r="C116" s="4">
        <v>31.1</v>
      </c>
      <c r="D116" s="4">
        <v>40.4</v>
      </c>
      <c r="E116" s="4">
        <v>11.6</v>
      </c>
      <c r="F116" s="4">
        <v>589</v>
      </c>
      <c r="G116" s="18">
        <v>45245</v>
      </c>
    </row>
    <row r="117" spans="1:8" ht="12.75" customHeight="1">
      <c r="A117" s="18" t="s">
        <v>130</v>
      </c>
      <c r="B117" s="4" t="s">
        <v>18</v>
      </c>
      <c r="C117" s="4">
        <v>25.3</v>
      </c>
      <c r="D117" s="4">
        <v>28.7</v>
      </c>
      <c r="E117" s="4">
        <v>9.1999999999999993</v>
      </c>
      <c r="F117" s="4">
        <v>294</v>
      </c>
      <c r="G117" s="18">
        <v>45245</v>
      </c>
    </row>
    <row r="118" spans="1:8" ht="12.75" customHeight="1">
      <c r="A118" s="18" t="s">
        <v>131</v>
      </c>
      <c r="C118" s="4">
        <v>26.4</v>
      </c>
      <c r="D118" s="4">
        <v>34</v>
      </c>
      <c r="E118" s="4">
        <v>9.1</v>
      </c>
      <c r="F118" s="4">
        <v>43</v>
      </c>
      <c r="G118" s="18">
        <v>45245</v>
      </c>
    </row>
    <row r="119" spans="1:8" ht="12.75" customHeight="1">
      <c r="A119" s="18" t="s">
        <v>132</v>
      </c>
      <c r="B119" s="4" t="s">
        <v>18</v>
      </c>
      <c r="C119" s="4">
        <v>23.1</v>
      </c>
      <c r="D119" s="4">
        <v>30</v>
      </c>
      <c r="E119" s="4">
        <v>7.8</v>
      </c>
      <c r="F119" s="4">
        <v>251</v>
      </c>
      <c r="G119" s="18">
        <v>45245</v>
      </c>
    </row>
    <row r="120" spans="1:8" ht="12.75" customHeight="1">
      <c r="A120" s="18" t="s">
        <v>133</v>
      </c>
      <c r="C120" s="4">
        <v>26.8</v>
      </c>
      <c r="D120" s="4">
        <v>32.799999999999997</v>
      </c>
      <c r="E120" s="4">
        <v>8.6</v>
      </c>
      <c r="F120" s="4">
        <v>331</v>
      </c>
      <c r="G120" s="18">
        <v>45245</v>
      </c>
    </row>
    <row r="121" spans="1:8" ht="12.75" customHeight="1">
      <c r="A121" s="18" t="s">
        <v>134</v>
      </c>
      <c r="C121" s="4">
        <v>25.4</v>
      </c>
      <c r="D121" s="4">
        <v>31</v>
      </c>
      <c r="E121" s="4">
        <v>8.8000000000000007</v>
      </c>
      <c r="F121" s="4">
        <v>305</v>
      </c>
      <c r="G121" s="18">
        <v>45245</v>
      </c>
    </row>
    <row r="122" spans="1:8" ht="12.75" customHeight="1">
      <c r="A122" s="18" t="s">
        <v>135</v>
      </c>
      <c r="B122" s="4" t="s">
        <v>18</v>
      </c>
      <c r="C122" s="4">
        <v>23.9</v>
      </c>
      <c r="D122" s="4">
        <v>30.2</v>
      </c>
      <c r="E122" s="4">
        <v>8.1</v>
      </c>
      <c r="F122" s="4">
        <v>221</v>
      </c>
      <c r="G122" s="18">
        <v>45245</v>
      </c>
    </row>
    <row r="123" spans="1:8" ht="12.75" customHeight="1">
      <c r="A123" s="18" t="s">
        <v>136</v>
      </c>
      <c r="B123" s="4" t="s">
        <v>18</v>
      </c>
      <c r="C123" s="4">
        <v>23</v>
      </c>
      <c r="D123" s="4">
        <v>31.7</v>
      </c>
      <c r="E123" s="4">
        <v>8.3000000000000007</v>
      </c>
      <c r="F123" s="4">
        <v>246</v>
      </c>
      <c r="G123" s="18">
        <v>45245</v>
      </c>
    </row>
    <row r="124" spans="1:8" ht="12.75" customHeight="1">
      <c r="A124" s="18" t="s">
        <v>137</v>
      </c>
      <c r="B124" s="4" t="s">
        <v>18</v>
      </c>
      <c r="C124" s="4">
        <v>23.4</v>
      </c>
      <c r="D124" s="4">
        <v>29.5</v>
      </c>
      <c r="E124" s="4">
        <v>7.7</v>
      </c>
      <c r="F124" s="4">
        <v>244</v>
      </c>
      <c r="G124" s="18">
        <v>45245</v>
      </c>
    </row>
    <row r="125" spans="1:8" ht="12.75" customHeight="1">
      <c r="A125" s="18" t="s">
        <v>138</v>
      </c>
      <c r="B125" s="4" t="s">
        <v>18</v>
      </c>
      <c r="C125" s="4">
        <v>24.2</v>
      </c>
      <c r="D125" s="4">
        <v>29.6</v>
      </c>
      <c r="E125" s="4">
        <v>9.1999999999999993</v>
      </c>
      <c r="F125" s="4">
        <v>290</v>
      </c>
      <c r="G125" s="18">
        <v>45245</v>
      </c>
    </row>
    <row r="126" spans="1:8" ht="12.75" customHeight="1">
      <c r="A126" s="18" t="s">
        <v>139</v>
      </c>
      <c r="C126" s="4">
        <v>24</v>
      </c>
      <c r="D126" s="4" t="s">
        <v>140</v>
      </c>
      <c r="E126" s="4">
        <v>7.2</v>
      </c>
      <c r="F126" s="4" t="s">
        <v>141</v>
      </c>
      <c r="G126" s="18">
        <v>45245</v>
      </c>
      <c r="H126" s="4" t="s">
        <v>142</v>
      </c>
    </row>
    <row r="127" spans="1:8" ht="12.75" customHeight="1">
      <c r="A127" s="18" t="s">
        <v>143</v>
      </c>
      <c r="B127" s="4" t="s">
        <v>18</v>
      </c>
      <c r="C127" s="4">
        <v>24.3</v>
      </c>
      <c r="D127" s="4">
        <v>32.1</v>
      </c>
      <c r="E127" s="4">
        <v>8.5</v>
      </c>
      <c r="F127" s="4">
        <v>269</v>
      </c>
      <c r="G127" s="18">
        <v>45245</v>
      </c>
    </row>
    <row r="128" spans="1:8" ht="12.75" customHeight="1">
      <c r="A128" s="18" t="s">
        <v>144</v>
      </c>
      <c r="C128" s="4">
        <v>24.6</v>
      </c>
      <c r="D128" s="4">
        <v>28.5</v>
      </c>
      <c r="E128" s="4">
        <v>7.4</v>
      </c>
      <c r="F128" s="4">
        <v>232</v>
      </c>
      <c r="G128" s="18">
        <v>45245</v>
      </c>
    </row>
    <row r="129" spans="1:7" ht="12.75" customHeight="1">
      <c r="A129" s="4" t="s">
        <v>145</v>
      </c>
      <c r="C129" s="4">
        <v>22.7</v>
      </c>
      <c r="D129" s="4">
        <v>29.6</v>
      </c>
      <c r="E129" s="4">
        <v>7.1</v>
      </c>
      <c r="F129" s="4">
        <v>235</v>
      </c>
      <c r="G129" s="18">
        <v>45245</v>
      </c>
    </row>
    <row r="130" spans="1:7" ht="12.75" customHeight="1">
      <c r="A130" s="4" t="s">
        <v>146</v>
      </c>
      <c r="C130" s="4">
        <v>19.5</v>
      </c>
      <c r="D130" s="4">
        <v>22.2</v>
      </c>
      <c r="E130" s="4">
        <v>5.6</v>
      </c>
      <c r="F130" s="4">
        <v>118</v>
      </c>
      <c r="G130" s="18">
        <v>45245</v>
      </c>
    </row>
    <row r="131" spans="1:7" ht="12.75" customHeight="1">
      <c r="A131" s="4" t="s">
        <v>147</v>
      </c>
      <c r="C131" s="4">
        <v>27.8</v>
      </c>
      <c r="D131" s="4">
        <v>35.200000000000003</v>
      </c>
      <c r="E131" s="4">
        <v>7.8</v>
      </c>
      <c r="F131" s="4">
        <v>370</v>
      </c>
      <c r="G131" s="18">
        <v>45245</v>
      </c>
    </row>
    <row r="132" spans="1:7" ht="12.75" customHeight="1">
      <c r="A132" s="4" t="s">
        <v>148</v>
      </c>
      <c r="B132" s="4" t="s">
        <v>18</v>
      </c>
      <c r="C132" s="4">
        <v>22.1</v>
      </c>
      <c r="D132" s="4">
        <v>27.8</v>
      </c>
      <c r="E132" s="4">
        <v>6.8</v>
      </c>
      <c r="F132" s="4">
        <v>207</v>
      </c>
      <c r="G132" s="18">
        <v>45245</v>
      </c>
    </row>
    <row r="133" spans="1:7" ht="12.75" customHeight="1">
      <c r="A133" s="4" t="s">
        <v>149</v>
      </c>
      <c r="C133" s="4">
        <v>19.100000000000001</v>
      </c>
      <c r="D133" s="4">
        <v>23.8</v>
      </c>
      <c r="E133" s="4">
        <v>5.4</v>
      </c>
      <c r="F133" s="4">
        <v>128</v>
      </c>
      <c r="G133" s="18">
        <v>45245</v>
      </c>
    </row>
    <row r="134" spans="1:7" ht="12.75" customHeight="1">
      <c r="A134" s="4" t="s">
        <v>150</v>
      </c>
      <c r="B134" s="4" t="s">
        <v>18</v>
      </c>
      <c r="C134" s="4">
        <v>25.7</v>
      </c>
      <c r="D134" s="4">
        <v>33</v>
      </c>
      <c r="E134" s="4">
        <v>9.4</v>
      </c>
      <c r="F134" s="4">
        <v>392</v>
      </c>
      <c r="G134" s="18">
        <v>45245</v>
      </c>
    </row>
    <row r="135" spans="1:7" ht="12.75" customHeight="1">
      <c r="A135" s="4" t="s">
        <v>151</v>
      </c>
      <c r="B135" s="4" t="s">
        <v>18</v>
      </c>
      <c r="C135" s="4">
        <v>21.4</v>
      </c>
      <c r="D135" s="4">
        <v>26.5</v>
      </c>
      <c r="E135" s="4">
        <v>7.3</v>
      </c>
      <c r="F135" s="4">
        <v>209</v>
      </c>
      <c r="G135" s="18">
        <v>45245</v>
      </c>
    </row>
    <row r="136" spans="1:7" ht="12.75" customHeight="1">
      <c r="A136" s="4" t="s">
        <v>152</v>
      </c>
      <c r="C136" s="4">
        <v>24.8</v>
      </c>
      <c r="D136" s="4">
        <v>30.7</v>
      </c>
      <c r="E136" s="4">
        <v>7.2</v>
      </c>
      <c r="F136" s="4">
        <v>215</v>
      </c>
      <c r="G136" s="18">
        <v>45245</v>
      </c>
    </row>
    <row r="137" spans="1:7" ht="12.75" customHeight="1">
      <c r="A137" s="4" t="s">
        <v>153</v>
      </c>
      <c r="B137" s="4" t="s">
        <v>18</v>
      </c>
      <c r="C137" s="4">
        <v>26</v>
      </c>
      <c r="D137" s="4">
        <v>33.4</v>
      </c>
      <c r="E137" s="4">
        <v>7.9</v>
      </c>
      <c r="F137" s="4">
        <v>275</v>
      </c>
      <c r="G137" s="18">
        <v>45245</v>
      </c>
    </row>
    <row r="138" spans="1:7" ht="12.75" customHeight="1">
      <c r="A138" s="4" t="s">
        <v>154</v>
      </c>
      <c r="C138" s="4">
        <v>21.1</v>
      </c>
      <c r="D138" s="4">
        <v>26.5</v>
      </c>
      <c r="E138" s="4">
        <v>7.3</v>
      </c>
      <c r="F138" s="4">
        <v>184</v>
      </c>
      <c r="G138" s="18">
        <v>45245</v>
      </c>
    </row>
    <row r="139" spans="1:7" ht="12.75" customHeight="1">
      <c r="A139" s="4" t="s">
        <v>155</v>
      </c>
      <c r="C139" s="4">
        <v>28.5</v>
      </c>
      <c r="D139" s="4">
        <v>33.6</v>
      </c>
      <c r="E139" s="4">
        <v>8.1</v>
      </c>
      <c r="F139" s="4">
        <v>376</v>
      </c>
      <c r="G139" s="18">
        <v>45245</v>
      </c>
    </row>
    <row r="140" spans="1:7" ht="12.75" customHeight="1">
      <c r="A140" s="4" t="s">
        <v>156</v>
      </c>
      <c r="C140" s="4">
        <v>27.5</v>
      </c>
      <c r="D140" s="4">
        <v>29.9</v>
      </c>
      <c r="E140" s="4">
        <v>7.4</v>
      </c>
      <c r="F140" s="4">
        <v>355</v>
      </c>
      <c r="G140" s="18">
        <v>45245</v>
      </c>
    </row>
    <row r="141" spans="1:7" ht="12.75" customHeight="1">
      <c r="A141" s="4" t="s">
        <v>157</v>
      </c>
      <c r="C141" s="4">
        <v>21</v>
      </c>
      <c r="D141" s="4">
        <v>25.2</v>
      </c>
      <c r="E141" s="4">
        <v>5.0999999999999996</v>
      </c>
      <c r="F141" s="4">
        <v>136</v>
      </c>
      <c r="G141" s="18">
        <v>45245</v>
      </c>
    </row>
    <row r="142" spans="1:7" ht="12.75" customHeight="1">
      <c r="A142" s="4" t="s">
        <v>158</v>
      </c>
      <c r="B142" s="4" t="s">
        <v>18</v>
      </c>
      <c r="C142" s="4">
        <v>22.3</v>
      </c>
      <c r="D142" s="4">
        <v>26.1</v>
      </c>
      <c r="E142" s="4">
        <v>6.5</v>
      </c>
      <c r="F142" s="4">
        <v>185</v>
      </c>
      <c r="G142" s="18">
        <v>45245</v>
      </c>
    </row>
    <row r="143" spans="1:7" ht="12.75" customHeight="1">
      <c r="A143" s="4" t="s">
        <v>159</v>
      </c>
      <c r="B143" s="4" t="s">
        <v>18</v>
      </c>
      <c r="C143" s="4">
        <v>21.2</v>
      </c>
      <c r="D143" s="4">
        <v>28.9</v>
      </c>
      <c r="E143" s="4">
        <v>6.6</v>
      </c>
      <c r="F143" s="4">
        <v>197</v>
      </c>
      <c r="G143" s="18">
        <v>45245</v>
      </c>
    </row>
    <row r="144" spans="1:7" ht="12.75" customHeight="1">
      <c r="A144" s="4" t="s">
        <v>160</v>
      </c>
      <c r="B144" s="4" t="s">
        <v>18</v>
      </c>
      <c r="C144" s="4">
        <v>22.2</v>
      </c>
      <c r="D144" s="4">
        <v>29</v>
      </c>
      <c r="E144" s="4">
        <v>7.4</v>
      </c>
      <c r="F144" s="4">
        <v>216</v>
      </c>
      <c r="G144" s="18">
        <v>45245</v>
      </c>
    </row>
    <row r="145" spans="1:8" ht="12.75" customHeight="1">
      <c r="A145" s="4" t="s">
        <v>161</v>
      </c>
      <c r="C145" s="4">
        <v>23.3</v>
      </c>
      <c r="D145" s="4">
        <v>29.5</v>
      </c>
      <c r="E145" s="4">
        <v>8</v>
      </c>
      <c r="F145" s="4">
        <v>263</v>
      </c>
      <c r="G145" s="18">
        <v>45245</v>
      </c>
    </row>
    <row r="146" spans="1:8" ht="12.75" customHeight="1">
      <c r="A146" s="4" t="s">
        <v>162</v>
      </c>
      <c r="C146" s="4">
        <v>18.7</v>
      </c>
      <c r="D146" s="4">
        <v>22.1</v>
      </c>
      <c r="E146" s="4">
        <v>5.2</v>
      </c>
      <c r="F146" s="4">
        <v>107</v>
      </c>
      <c r="G146" s="18">
        <v>45245</v>
      </c>
    </row>
    <row r="147" spans="1:8" ht="12.75" customHeight="1">
      <c r="A147" s="4" t="s">
        <v>163</v>
      </c>
      <c r="C147" s="4">
        <v>18.3</v>
      </c>
      <c r="D147" s="4">
        <v>22.4</v>
      </c>
      <c r="E147" s="4">
        <v>5.4</v>
      </c>
      <c r="F147" s="4">
        <v>101</v>
      </c>
      <c r="G147" s="18">
        <v>45245</v>
      </c>
    </row>
    <row r="148" spans="1:8" ht="12.75" customHeight="1">
      <c r="A148" s="4" t="s">
        <v>164</v>
      </c>
      <c r="C148" s="4">
        <v>22</v>
      </c>
      <c r="D148" s="4">
        <v>27.5</v>
      </c>
      <c r="E148" s="4">
        <v>6.3</v>
      </c>
      <c r="F148" s="4">
        <v>181</v>
      </c>
      <c r="G148" s="18">
        <v>45245</v>
      </c>
    </row>
    <row r="149" spans="1:8" ht="12.75" customHeight="1">
      <c r="A149" s="4" t="s">
        <v>165</v>
      </c>
      <c r="C149" s="4">
        <v>25.1</v>
      </c>
      <c r="D149" s="4">
        <v>31</v>
      </c>
      <c r="E149" s="4">
        <v>6.7</v>
      </c>
      <c r="F149" s="4">
        <v>256</v>
      </c>
      <c r="G149" s="18">
        <v>45245</v>
      </c>
    </row>
    <row r="150" spans="1:8" ht="12.75" customHeight="1">
      <c r="A150" s="4" t="s">
        <v>166</v>
      </c>
      <c r="C150" s="4">
        <v>22.8</v>
      </c>
      <c r="D150" s="4">
        <v>29.1</v>
      </c>
      <c r="E150" s="4">
        <v>6.5</v>
      </c>
      <c r="F150" s="4">
        <v>220</v>
      </c>
      <c r="G150" s="18">
        <v>45245</v>
      </c>
    </row>
    <row r="151" spans="1:8" ht="12.75" customHeight="1">
      <c r="A151" s="4" t="s">
        <v>167</v>
      </c>
      <c r="C151" s="4">
        <v>19</v>
      </c>
      <c r="D151" s="4">
        <v>23.1</v>
      </c>
      <c r="E151" s="4">
        <v>4.5999999999999996</v>
      </c>
      <c r="F151" s="4">
        <v>103</v>
      </c>
      <c r="G151" s="18">
        <v>45245</v>
      </c>
    </row>
    <row r="152" spans="1:8" ht="12.75" customHeight="1">
      <c r="A152" s="4" t="s">
        <v>168</v>
      </c>
      <c r="C152" s="4">
        <v>30.3</v>
      </c>
      <c r="D152" s="4">
        <v>38.9</v>
      </c>
      <c r="E152" s="4">
        <v>8.1999999999999993</v>
      </c>
      <c r="F152" s="4">
        <v>482</v>
      </c>
      <c r="G152" s="18">
        <v>45245</v>
      </c>
    </row>
    <row r="153" spans="1:8" ht="12.75" customHeight="1">
      <c r="A153" s="4" t="s">
        <v>169</v>
      </c>
      <c r="C153" s="4">
        <v>22.7</v>
      </c>
      <c r="D153" s="4">
        <v>25</v>
      </c>
      <c r="E153" s="4">
        <v>6.2</v>
      </c>
      <c r="F153" s="4">
        <v>172</v>
      </c>
      <c r="G153" s="18">
        <v>45245</v>
      </c>
    </row>
    <row r="154" spans="1:8" ht="12.75" customHeight="1">
      <c r="A154" s="4" t="s">
        <v>170</v>
      </c>
      <c r="C154" s="4">
        <v>25.8</v>
      </c>
      <c r="D154" s="4">
        <v>31.3</v>
      </c>
      <c r="E154" s="4">
        <v>7.6</v>
      </c>
      <c r="F154" s="4">
        <v>309</v>
      </c>
      <c r="G154" s="18">
        <v>45245</v>
      </c>
    </row>
    <row r="155" spans="1:8" ht="12.75" customHeight="1">
      <c r="A155" s="4" t="s">
        <v>171</v>
      </c>
      <c r="B155" s="4" t="s">
        <v>18</v>
      </c>
      <c r="C155" s="4">
        <v>18.7</v>
      </c>
      <c r="D155" s="4">
        <v>22.2</v>
      </c>
      <c r="E155" s="4">
        <v>5.5</v>
      </c>
      <c r="F155" s="4">
        <v>123</v>
      </c>
      <c r="G155" s="18">
        <v>45245</v>
      </c>
    </row>
    <row r="156" spans="1:8" ht="12.75" customHeight="1">
      <c r="A156" s="4" t="s">
        <v>172</v>
      </c>
      <c r="B156" s="4" t="s">
        <v>18</v>
      </c>
      <c r="C156" s="4">
        <v>15.3</v>
      </c>
      <c r="D156" s="4">
        <v>18.600000000000001</v>
      </c>
      <c r="E156" s="4">
        <v>4.3</v>
      </c>
      <c r="F156" s="4">
        <v>78</v>
      </c>
      <c r="G156" s="18">
        <v>45245</v>
      </c>
    </row>
    <row r="157" spans="1:8" ht="12.75" customHeight="1">
      <c r="A157" s="4" t="s">
        <v>173</v>
      </c>
      <c r="C157" s="4">
        <v>23</v>
      </c>
      <c r="D157" s="4" t="s">
        <v>174</v>
      </c>
      <c r="E157" s="4">
        <v>8.1</v>
      </c>
      <c r="F157" s="4">
        <v>263</v>
      </c>
      <c r="G157" s="18">
        <v>45245</v>
      </c>
      <c r="H157" s="4" t="s">
        <v>175</v>
      </c>
    </row>
    <row r="158" spans="1:8" ht="12.75" customHeight="1">
      <c r="A158" s="4" t="s">
        <v>176</v>
      </c>
      <c r="C158" s="4">
        <v>23.8</v>
      </c>
      <c r="D158" s="4">
        <v>29.5</v>
      </c>
      <c r="E158" s="4">
        <v>6.9</v>
      </c>
      <c r="F158" s="4">
        <v>221</v>
      </c>
      <c r="G158" s="18">
        <v>45245</v>
      </c>
    </row>
    <row r="159" spans="1:8" ht="12.75" customHeight="1">
      <c r="A159" s="4" t="s">
        <v>177</v>
      </c>
      <c r="C159" s="4">
        <v>20.3</v>
      </c>
      <c r="D159" s="4">
        <v>23.9</v>
      </c>
      <c r="E159" s="4">
        <v>5</v>
      </c>
      <c r="F159" s="4">
        <v>157</v>
      </c>
      <c r="G159" s="18">
        <v>45245</v>
      </c>
    </row>
    <row r="160" spans="1:8" ht="12.75" customHeight="1">
      <c r="A160" s="4" t="s">
        <v>178</v>
      </c>
      <c r="C160" s="4">
        <v>26.4</v>
      </c>
      <c r="D160" s="4">
        <v>31.2</v>
      </c>
      <c r="E160" s="4">
        <v>7.6</v>
      </c>
      <c r="F160" s="4">
        <v>402</v>
      </c>
      <c r="G160" s="18">
        <v>45245</v>
      </c>
    </row>
    <row r="161" spans="1:7" ht="12.75" customHeight="1">
      <c r="A161" s="4" t="s">
        <v>179</v>
      </c>
      <c r="C161" s="4">
        <v>20.9</v>
      </c>
      <c r="D161" s="4">
        <v>25.7</v>
      </c>
      <c r="E161" s="4">
        <v>5.6</v>
      </c>
      <c r="F161" s="4">
        <v>164</v>
      </c>
      <c r="G161" s="18">
        <v>45245</v>
      </c>
    </row>
    <row r="162" spans="1:7" ht="12.75" customHeight="1">
      <c r="A162" s="4" t="s">
        <v>180</v>
      </c>
      <c r="C162" s="4">
        <v>16.3</v>
      </c>
      <c r="D162" s="4">
        <v>20.3</v>
      </c>
      <c r="E162" s="4">
        <v>4.2</v>
      </c>
      <c r="F162" s="4">
        <v>72</v>
      </c>
      <c r="G162" s="18">
        <v>45245</v>
      </c>
    </row>
    <row r="163" spans="1:7" ht="12.75" customHeight="1">
      <c r="A163" s="4" t="s">
        <v>181</v>
      </c>
      <c r="C163" s="4">
        <v>18.600000000000001</v>
      </c>
      <c r="D163" s="4">
        <v>23.5</v>
      </c>
      <c r="E163" s="4">
        <v>4.9000000000000004</v>
      </c>
      <c r="F163" s="4">
        <v>122</v>
      </c>
      <c r="G163" s="18">
        <v>45245</v>
      </c>
    </row>
    <row r="164" spans="1:7" ht="12.75" customHeight="1">
      <c r="A164" s="4" t="s">
        <v>182</v>
      </c>
      <c r="C164" s="4">
        <v>17.7</v>
      </c>
      <c r="D164" s="4">
        <v>22.5</v>
      </c>
      <c r="E164" s="4">
        <v>4.3</v>
      </c>
      <c r="F164" s="4">
        <v>86</v>
      </c>
      <c r="G164" s="18">
        <v>45245</v>
      </c>
    </row>
    <row r="165" spans="1:7" ht="12.75" customHeight="1">
      <c r="A165" s="4" t="s">
        <v>183</v>
      </c>
      <c r="B165" s="4" t="s">
        <v>18</v>
      </c>
      <c r="C165" s="4">
        <v>22.5</v>
      </c>
      <c r="D165" s="4">
        <v>27.9</v>
      </c>
      <c r="E165" s="4">
        <v>6.3</v>
      </c>
      <c r="F165" s="4">
        <v>187</v>
      </c>
      <c r="G165" s="18">
        <v>45245</v>
      </c>
    </row>
    <row r="166" spans="1:7" ht="12.75" customHeight="1">
      <c r="A166" s="4" t="s">
        <v>184</v>
      </c>
      <c r="C166" s="4">
        <v>22.1</v>
      </c>
      <c r="D166" s="4">
        <v>26.3</v>
      </c>
      <c r="E166" s="4">
        <v>7.4</v>
      </c>
      <c r="F166" s="4">
        <v>242</v>
      </c>
      <c r="G166" s="18">
        <v>45245</v>
      </c>
    </row>
    <row r="167" spans="1:7" ht="12.75" customHeight="1">
      <c r="A167" s="4" t="s">
        <v>185</v>
      </c>
      <c r="C167" s="4">
        <v>21</v>
      </c>
      <c r="D167" s="4">
        <v>25.6</v>
      </c>
      <c r="E167" s="4">
        <v>5.2</v>
      </c>
      <c r="F167" s="4">
        <v>153</v>
      </c>
      <c r="G167" s="18">
        <v>45245</v>
      </c>
    </row>
    <row r="168" spans="1:7" ht="12.75" customHeight="1">
      <c r="A168" s="4" t="s">
        <v>186</v>
      </c>
      <c r="C168" s="4">
        <v>25.7</v>
      </c>
      <c r="D168" s="4">
        <v>31.5</v>
      </c>
      <c r="E168" s="4">
        <v>7.5</v>
      </c>
      <c r="F168" s="4">
        <v>315</v>
      </c>
      <c r="G168" s="18">
        <v>45245</v>
      </c>
    </row>
    <row r="169" spans="1:7" ht="12.75" customHeight="1">
      <c r="A169" s="4" t="s">
        <v>187</v>
      </c>
      <c r="C169" s="4">
        <v>16.5</v>
      </c>
      <c r="D169" s="4">
        <v>19.5</v>
      </c>
      <c r="E169" s="4">
        <v>4.2</v>
      </c>
      <c r="F169" s="4">
        <v>84</v>
      </c>
      <c r="G169" s="18">
        <v>45245</v>
      </c>
    </row>
    <row r="170" spans="1:7" ht="12.75" customHeight="1">
      <c r="A170" s="4" t="s">
        <v>188</v>
      </c>
      <c r="C170" s="4">
        <v>24.4</v>
      </c>
      <c r="D170" s="4">
        <v>30.6</v>
      </c>
      <c r="E170" s="4">
        <v>6.9</v>
      </c>
      <c r="F170" s="4">
        <v>287</v>
      </c>
      <c r="G170" s="18">
        <v>45245</v>
      </c>
    </row>
    <row r="171" spans="1:7" ht="12.75" customHeight="1">
      <c r="A171" s="4" t="s">
        <v>189</v>
      </c>
      <c r="C171" s="4">
        <v>19.3</v>
      </c>
      <c r="D171" s="4">
        <v>23.8</v>
      </c>
      <c r="E171" s="4">
        <v>5.2</v>
      </c>
      <c r="F171" s="4">
        <v>98</v>
      </c>
      <c r="G171" s="18">
        <v>45245</v>
      </c>
    </row>
    <row r="172" spans="1:7" ht="12.75" customHeight="1">
      <c r="A172" s="4" t="s">
        <v>190</v>
      </c>
      <c r="C172" s="4">
        <v>15.2</v>
      </c>
      <c r="D172" s="4">
        <v>17.3</v>
      </c>
      <c r="E172" s="4">
        <v>4.2</v>
      </c>
      <c r="F172" s="4">
        <v>54</v>
      </c>
      <c r="G172" s="18">
        <v>45245</v>
      </c>
    </row>
    <row r="173" spans="1:7" ht="12.75" customHeight="1">
      <c r="A173" s="4" t="s">
        <v>191</v>
      </c>
      <c r="C173" s="4">
        <v>19.5</v>
      </c>
      <c r="D173" s="4">
        <v>25.6</v>
      </c>
      <c r="E173" s="4">
        <v>4.9000000000000004</v>
      </c>
      <c r="F173" s="4">
        <v>118</v>
      </c>
      <c r="G173" s="18">
        <v>45245</v>
      </c>
    </row>
    <row r="174" spans="1:7" ht="12.75" customHeight="1">
      <c r="A174" s="4" t="s">
        <v>192</v>
      </c>
      <c r="C174" s="4">
        <v>20.8</v>
      </c>
      <c r="D174" s="4">
        <v>25.4</v>
      </c>
      <c r="E174" s="4">
        <v>5.6</v>
      </c>
      <c r="F174" s="4">
        <v>166</v>
      </c>
      <c r="G174" s="18">
        <v>45245</v>
      </c>
    </row>
    <row r="175" spans="1:7" ht="12.75" customHeight="1">
      <c r="A175" s="4" t="s">
        <v>193</v>
      </c>
      <c r="C175" s="4">
        <v>16.600000000000001</v>
      </c>
      <c r="D175" s="4">
        <v>19.5</v>
      </c>
      <c r="E175" s="4">
        <v>3.7</v>
      </c>
      <c r="F175" s="4">
        <v>73</v>
      </c>
      <c r="G175" s="18">
        <v>45245</v>
      </c>
    </row>
    <row r="176" spans="1:7" ht="12.75" customHeight="1">
      <c r="A176" s="4" t="s">
        <v>194</v>
      </c>
      <c r="B176" s="4" t="s">
        <v>18</v>
      </c>
      <c r="C176" s="4">
        <v>18.3</v>
      </c>
      <c r="D176" s="4">
        <v>26.9</v>
      </c>
      <c r="E176" s="4">
        <v>4.4000000000000004</v>
      </c>
      <c r="F176" s="4">
        <v>98</v>
      </c>
      <c r="G176" s="18">
        <v>45245</v>
      </c>
    </row>
    <row r="177" spans="1:7" ht="12.75" customHeight="1">
      <c r="A177" s="4" t="s">
        <v>195</v>
      </c>
      <c r="B177" s="4" t="s">
        <v>18</v>
      </c>
      <c r="C177" s="4">
        <v>18.8</v>
      </c>
      <c r="D177" s="4">
        <v>23.4</v>
      </c>
      <c r="E177" s="4">
        <v>6.5</v>
      </c>
      <c r="F177" s="4">
        <v>179</v>
      </c>
      <c r="G177" s="18">
        <v>45245</v>
      </c>
    </row>
    <row r="178" spans="1:7" ht="12.75" customHeight="1">
      <c r="A178" s="4" t="s">
        <v>196</v>
      </c>
      <c r="B178" s="4" t="s">
        <v>18</v>
      </c>
      <c r="C178" s="4">
        <v>17.899999999999999</v>
      </c>
      <c r="D178" s="4">
        <v>22.6</v>
      </c>
      <c r="E178" s="4">
        <v>5.9</v>
      </c>
      <c r="F178" s="4">
        <v>127</v>
      </c>
      <c r="G178" s="18">
        <v>45245</v>
      </c>
    </row>
    <row r="179" spans="1:7" ht="12.75" customHeight="1">
      <c r="A179" s="4" t="s">
        <v>197</v>
      </c>
      <c r="B179" s="4" t="s">
        <v>18</v>
      </c>
      <c r="C179" s="4">
        <v>21.2</v>
      </c>
      <c r="D179" s="4">
        <v>35.1</v>
      </c>
      <c r="E179" s="4">
        <v>9.4</v>
      </c>
      <c r="F179" s="4">
        <v>343</v>
      </c>
      <c r="G179" s="18">
        <v>45245</v>
      </c>
    </row>
    <row r="180" spans="1:7" ht="12.75" customHeight="1">
      <c r="A180" s="4" t="s">
        <v>198</v>
      </c>
      <c r="C180" s="4">
        <v>38.6</v>
      </c>
      <c r="D180" s="4">
        <v>48.8</v>
      </c>
      <c r="E180" s="4">
        <v>13.5</v>
      </c>
      <c r="F180" s="4">
        <v>970</v>
      </c>
      <c r="G180" s="18">
        <v>45245</v>
      </c>
    </row>
    <row r="181" spans="1:7" ht="12.75" customHeight="1">
      <c r="A181" s="4" t="s">
        <v>199</v>
      </c>
      <c r="B181" s="4" t="s">
        <v>18</v>
      </c>
      <c r="C181" s="4">
        <v>27.5</v>
      </c>
      <c r="D181" s="4">
        <v>39.200000000000003</v>
      </c>
      <c r="E181" s="4">
        <v>9.4</v>
      </c>
      <c r="F181" s="4">
        <v>339</v>
      </c>
      <c r="G181" s="18">
        <v>45245</v>
      </c>
    </row>
    <row r="182" spans="1:7" ht="12.75" customHeight="1">
      <c r="A182" s="4" t="s">
        <v>200</v>
      </c>
      <c r="B182" s="4" t="s">
        <v>18</v>
      </c>
      <c r="C182" s="4">
        <v>30.5</v>
      </c>
      <c r="D182" s="4">
        <v>38.299999999999997</v>
      </c>
      <c r="E182" s="4">
        <v>11.6</v>
      </c>
      <c r="F182" s="4">
        <v>462</v>
      </c>
      <c r="G182" s="18">
        <v>45245</v>
      </c>
    </row>
    <row r="183" spans="1:7" ht="12.75" customHeight="1">
      <c r="A183" s="4" t="s">
        <v>201</v>
      </c>
      <c r="B183" s="4" t="s">
        <v>18</v>
      </c>
      <c r="C183" s="4">
        <v>27</v>
      </c>
      <c r="D183" s="4">
        <v>35.200000000000003</v>
      </c>
      <c r="E183" s="4">
        <v>9.6</v>
      </c>
      <c r="F183" s="4">
        <v>258</v>
      </c>
      <c r="G183" s="18">
        <v>45245</v>
      </c>
    </row>
    <row r="184" spans="1:7" ht="12.75" customHeight="1">
      <c r="A184" s="4" t="s">
        <v>202</v>
      </c>
      <c r="C184" s="4">
        <v>26.1</v>
      </c>
      <c r="D184" s="4">
        <v>30.5</v>
      </c>
      <c r="E184" s="4">
        <v>7.7</v>
      </c>
      <c r="F184" s="4">
        <v>242</v>
      </c>
      <c r="G184" s="18">
        <v>45245</v>
      </c>
    </row>
    <row r="185" spans="1:7" ht="12.75" customHeight="1">
      <c r="A185" s="4" t="s">
        <v>203</v>
      </c>
      <c r="B185" s="4" t="s">
        <v>18</v>
      </c>
      <c r="C185" s="4">
        <v>21.6</v>
      </c>
      <c r="D185" s="4">
        <v>32.6</v>
      </c>
      <c r="E185" s="4">
        <v>9.3000000000000007</v>
      </c>
      <c r="F185" s="4">
        <v>260</v>
      </c>
      <c r="G185" s="18">
        <v>45245</v>
      </c>
    </row>
    <row r="186" spans="1:7" ht="12.75" customHeight="1">
      <c r="A186" s="4" t="s">
        <v>204</v>
      </c>
      <c r="B186" s="4" t="s">
        <v>18</v>
      </c>
      <c r="C186" s="4">
        <v>23.1</v>
      </c>
      <c r="D186" s="4">
        <v>31.5</v>
      </c>
      <c r="E186" s="4">
        <v>8.5</v>
      </c>
      <c r="F186" s="4">
        <v>197</v>
      </c>
      <c r="G186" s="18">
        <v>45245</v>
      </c>
    </row>
    <row r="187" spans="1:7" ht="12.75" customHeight="1">
      <c r="A187" s="4" t="s">
        <v>205</v>
      </c>
      <c r="B187" s="4" t="s">
        <v>206</v>
      </c>
      <c r="C187" s="4">
        <v>16</v>
      </c>
      <c r="D187" s="4">
        <v>23.1</v>
      </c>
      <c r="E187" s="4">
        <v>7.2</v>
      </c>
      <c r="F187" s="4">
        <v>115</v>
      </c>
      <c r="G187" s="18">
        <v>45245</v>
      </c>
    </row>
    <row r="188" spans="1:7" ht="12.75" customHeight="1">
      <c r="A188" s="4" t="s">
        <v>207</v>
      </c>
      <c r="C188" s="4">
        <v>22.1</v>
      </c>
      <c r="D188" s="4">
        <v>34.299999999999997</v>
      </c>
      <c r="E188" s="4">
        <v>7.9</v>
      </c>
      <c r="F188" s="4">
        <v>251</v>
      </c>
      <c r="G188" s="18">
        <v>45245</v>
      </c>
    </row>
    <row r="189" spans="1:7" ht="12.75" customHeight="1">
      <c r="A189" s="4" t="s">
        <v>208</v>
      </c>
      <c r="B189" s="4" t="s">
        <v>18</v>
      </c>
      <c r="C189" s="4">
        <v>23</v>
      </c>
      <c r="D189" s="4">
        <v>27.1</v>
      </c>
      <c r="E189" s="4">
        <v>8.8000000000000007</v>
      </c>
      <c r="F189" s="4">
        <v>258</v>
      </c>
      <c r="G189" s="18">
        <v>45245</v>
      </c>
    </row>
    <row r="190" spans="1:7" ht="12.75" customHeight="1">
      <c r="A190" s="4" t="s">
        <v>209</v>
      </c>
      <c r="B190" s="4" t="s">
        <v>18</v>
      </c>
      <c r="C190" s="4">
        <v>27</v>
      </c>
      <c r="D190" s="4">
        <v>34</v>
      </c>
      <c r="E190" s="4">
        <v>9</v>
      </c>
      <c r="F190" s="4">
        <v>294</v>
      </c>
      <c r="G190" s="18">
        <v>45245</v>
      </c>
    </row>
    <row r="191" spans="1:7" ht="12.75" customHeight="1">
      <c r="A191" s="4" t="s">
        <v>210</v>
      </c>
      <c r="B191" s="4" t="s">
        <v>18</v>
      </c>
      <c r="C191" s="4">
        <v>24.2</v>
      </c>
      <c r="D191" s="4">
        <v>33.299999999999997</v>
      </c>
      <c r="E191" s="4">
        <v>7.4</v>
      </c>
      <c r="F191" s="4">
        <v>120</v>
      </c>
      <c r="G191" s="18">
        <v>45245</v>
      </c>
    </row>
    <row r="192" spans="1:7" ht="12.75" customHeight="1">
      <c r="A192" s="4" t="s">
        <v>211</v>
      </c>
      <c r="C192" s="4">
        <v>24.5</v>
      </c>
      <c r="D192" s="4">
        <v>28.6</v>
      </c>
      <c r="E192" s="4">
        <v>6.8</v>
      </c>
      <c r="F192" s="4">
        <v>277</v>
      </c>
      <c r="G192" s="18">
        <v>45245</v>
      </c>
    </row>
    <row r="193" spans="1:7" ht="12.75" customHeight="1">
      <c r="A193" s="18" t="s">
        <v>212</v>
      </c>
      <c r="C193" s="4">
        <v>19.899999999999999</v>
      </c>
      <c r="D193" s="4">
        <v>24.8</v>
      </c>
      <c r="E193" s="4">
        <v>5.6</v>
      </c>
      <c r="F193" s="4">
        <v>122</v>
      </c>
      <c r="G193" s="18">
        <v>45245</v>
      </c>
    </row>
    <row r="194" spans="1:7" ht="12.75" customHeight="1">
      <c r="A194" s="18" t="s">
        <v>213</v>
      </c>
      <c r="B194" s="4" t="s">
        <v>18</v>
      </c>
      <c r="C194" s="4">
        <v>27.9</v>
      </c>
      <c r="D194" s="4">
        <v>35.6</v>
      </c>
      <c r="E194" s="4">
        <v>8.9</v>
      </c>
      <c r="F194" s="4">
        <v>385</v>
      </c>
      <c r="G194" s="18">
        <v>45245</v>
      </c>
    </row>
    <row r="195" spans="1:7" ht="12.75" customHeight="1">
      <c r="A195" s="18" t="s">
        <v>214</v>
      </c>
      <c r="B195" s="4" t="s">
        <v>18</v>
      </c>
      <c r="C195" s="4">
        <v>22.7</v>
      </c>
      <c r="D195" s="4">
        <v>29.8</v>
      </c>
      <c r="E195" s="4">
        <v>7.4</v>
      </c>
      <c r="F195" s="4">
        <v>224</v>
      </c>
      <c r="G195" s="18">
        <v>45245</v>
      </c>
    </row>
    <row r="196" spans="1:7" ht="12.75" customHeight="1">
      <c r="A196" s="18" t="s">
        <v>215</v>
      </c>
      <c r="C196" s="4">
        <v>42.1</v>
      </c>
      <c r="D196" s="4">
        <v>53</v>
      </c>
      <c r="E196" s="4">
        <v>12.2</v>
      </c>
      <c r="F196" s="4">
        <v>1124</v>
      </c>
      <c r="G196" s="18">
        <v>45245</v>
      </c>
    </row>
    <row r="197" spans="1:7" ht="12.75" customHeight="1">
      <c r="A197" s="18" t="s">
        <v>216</v>
      </c>
      <c r="B197" s="4" t="s">
        <v>18</v>
      </c>
      <c r="C197" s="4">
        <v>28.5</v>
      </c>
      <c r="D197" s="4">
        <v>35.700000000000003</v>
      </c>
      <c r="E197" s="4">
        <v>9.6</v>
      </c>
      <c r="F197" s="4">
        <v>396</v>
      </c>
      <c r="G197" s="18">
        <v>45245</v>
      </c>
    </row>
    <row r="198" spans="1:7" ht="12.75" customHeight="1">
      <c r="A198" s="18" t="s">
        <v>217</v>
      </c>
      <c r="B198" s="4" t="s">
        <v>18</v>
      </c>
      <c r="C198" s="4">
        <v>25.4</v>
      </c>
      <c r="D198" s="4">
        <v>32.1</v>
      </c>
      <c r="E198" s="4">
        <v>8.1999999999999993</v>
      </c>
      <c r="F198" s="4">
        <v>309</v>
      </c>
      <c r="G198" s="18">
        <v>45245</v>
      </c>
    </row>
    <row r="199" spans="1:7" ht="12.75" customHeight="1">
      <c r="A199" s="18" t="s">
        <v>218</v>
      </c>
      <c r="B199" s="4" t="s">
        <v>18</v>
      </c>
      <c r="C199" s="4">
        <v>24.8</v>
      </c>
      <c r="D199" s="4">
        <v>31.6</v>
      </c>
      <c r="E199" s="4">
        <v>9.4</v>
      </c>
      <c r="F199" s="4">
        <v>335</v>
      </c>
      <c r="G199" s="18">
        <v>45245</v>
      </c>
    </row>
    <row r="200" spans="1:7" ht="12.75" customHeight="1">
      <c r="A200" s="18" t="s">
        <v>219</v>
      </c>
      <c r="C200" s="4">
        <v>23</v>
      </c>
      <c r="D200" s="4">
        <v>28.9</v>
      </c>
      <c r="E200" s="4">
        <v>7.5</v>
      </c>
      <c r="F200" s="4">
        <v>281</v>
      </c>
      <c r="G200" s="18">
        <v>45245</v>
      </c>
    </row>
    <row r="201" spans="1:7" ht="12.75" customHeight="1">
      <c r="A201" s="18" t="s">
        <v>220</v>
      </c>
      <c r="B201" s="4" t="s">
        <v>18</v>
      </c>
      <c r="C201" s="4">
        <v>19.3</v>
      </c>
      <c r="D201" s="4">
        <v>24.3</v>
      </c>
      <c r="E201" s="4">
        <v>5.8</v>
      </c>
      <c r="F201" s="4">
        <v>122</v>
      </c>
      <c r="G201" s="18">
        <v>45245</v>
      </c>
    </row>
    <row r="202" spans="1:7" ht="12.75" customHeight="1">
      <c r="A202" s="18" t="s">
        <v>221</v>
      </c>
      <c r="B202" s="4" t="s">
        <v>18</v>
      </c>
      <c r="C202" s="4">
        <v>27.3</v>
      </c>
      <c r="D202" s="4">
        <v>35.5</v>
      </c>
      <c r="E202" s="4">
        <v>8.5</v>
      </c>
      <c r="F202" s="4">
        <v>415</v>
      </c>
      <c r="G202" s="18">
        <v>45245</v>
      </c>
    </row>
    <row r="203" spans="1:7" ht="12.75" customHeight="1">
      <c r="A203" s="18" t="s">
        <v>222</v>
      </c>
      <c r="B203" s="4" t="s">
        <v>18</v>
      </c>
      <c r="C203" s="4">
        <v>21</v>
      </c>
      <c r="D203" s="4">
        <v>28.4</v>
      </c>
      <c r="E203" s="4">
        <v>6.3</v>
      </c>
      <c r="F203" s="4">
        <v>143</v>
      </c>
      <c r="G203" s="18">
        <v>45245</v>
      </c>
    </row>
    <row r="204" spans="1:7" ht="12.75" customHeight="1">
      <c r="A204" s="18" t="s">
        <v>223</v>
      </c>
      <c r="C204" s="4">
        <v>24.8</v>
      </c>
      <c r="D204" s="4">
        <v>32.6</v>
      </c>
      <c r="E204" s="4">
        <v>7.4</v>
      </c>
      <c r="F204" s="4">
        <v>239</v>
      </c>
      <c r="G204" s="18">
        <v>45245</v>
      </c>
    </row>
    <row r="205" spans="1:7" ht="12.75" customHeight="1">
      <c r="A205" s="18" t="s">
        <v>224</v>
      </c>
      <c r="B205" s="4" t="s">
        <v>18</v>
      </c>
      <c r="C205" s="4">
        <v>22.9</v>
      </c>
      <c r="D205" s="4">
        <v>26.5</v>
      </c>
      <c r="E205" s="4">
        <v>7.5</v>
      </c>
      <c r="F205" s="4">
        <v>208</v>
      </c>
      <c r="G205" s="18">
        <v>45245</v>
      </c>
    </row>
    <row r="206" spans="1:7" ht="12.75" customHeight="1">
      <c r="A206" s="18" t="s">
        <v>225</v>
      </c>
      <c r="B206" s="4" t="s">
        <v>18</v>
      </c>
      <c r="C206" s="4">
        <v>23.5</v>
      </c>
      <c r="D206" s="4">
        <v>30.2</v>
      </c>
      <c r="E206" s="4">
        <v>7.4</v>
      </c>
      <c r="F206" s="4">
        <v>225</v>
      </c>
      <c r="G206" s="18">
        <v>45245</v>
      </c>
    </row>
    <row r="207" spans="1:7" ht="12.75" customHeight="1">
      <c r="A207" s="18" t="s">
        <v>226</v>
      </c>
      <c r="B207" s="4" t="s">
        <v>18</v>
      </c>
      <c r="C207" s="4">
        <v>27.7</v>
      </c>
      <c r="D207" s="4">
        <v>35.9</v>
      </c>
      <c r="E207" s="4">
        <v>9.1999999999999993</v>
      </c>
      <c r="F207" s="4">
        <v>351</v>
      </c>
      <c r="G207" s="18">
        <v>45245</v>
      </c>
    </row>
    <row r="208" spans="1:7" ht="12.75" customHeight="1">
      <c r="A208" s="18" t="s">
        <v>227</v>
      </c>
      <c r="C208" s="4">
        <v>21.8</v>
      </c>
      <c r="D208" s="4">
        <v>27.2</v>
      </c>
      <c r="E208" s="4">
        <v>5.8</v>
      </c>
      <c r="F208" s="4">
        <v>155</v>
      </c>
      <c r="G208" s="18">
        <v>45245</v>
      </c>
    </row>
    <row r="209" spans="1:7" ht="12.75" customHeight="1">
      <c r="A209" s="18" t="s">
        <v>228</v>
      </c>
      <c r="C209" s="4">
        <v>21.7</v>
      </c>
      <c r="D209" s="4">
        <v>27.5</v>
      </c>
      <c r="E209" s="4">
        <v>6.1</v>
      </c>
      <c r="F209" s="4">
        <v>173</v>
      </c>
      <c r="G209" s="18">
        <v>45245</v>
      </c>
    </row>
    <row r="210" spans="1:7" ht="12.75" customHeight="1">
      <c r="A210" s="18" t="s">
        <v>229</v>
      </c>
      <c r="B210" s="4" t="s">
        <v>230</v>
      </c>
      <c r="C210" s="4">
        <v>23.6</v>
      </c>
      <c r="D210" s="4">
        <v>34</v>
      </c>
      <c r="E210" s="4">
        <v>6.3</v>
      </c>
      <c r="F210" s="4">
        <v>290</v>
      </c>
      <c r="G210" s="18">
        <v>45245</v>
      </c>
    </row>
    <row r="211" spans="1:7" ht="12.75" customHeight="1">
      <c r="A211" s="18" t="s">
        <v>231</v>
      </c>
      <c r="B211" s="4" t="s">
        <v>18</v>
      </c>
      <c r="C211" s="4">
        <v>23</v>
      </c>
      <c r="D211" s="4">
        <v>29.7</v>
      </c>
      <c r="E211" s="4">
        <v>6.9</v>
      </c>
      <c r="F211" s="4">
        <v>224</v>
      </c>
      <c r="G211" s="18">
        <v>45245</v>
      </c>
    </row>
    <row r="212" spans="1:7" ht="12.75" customHeight="1">
      <c r="A212" s="18" t="s">
        <v>232</v>
      </c>
      <c r="B212" s="4" t="s">
        <v>18</v>
      </c>
      <c r="C212" s="4">
        <v>21.2</v>
      </c>
      <c r="D212" s="4">
        <v>27.7</v>
      </c>
      <c r="E212" s="4">
        <v>6.2</v>
      </c>
      <c r="F212" s="4">
        <v>171</v>
      </c>
      <c r="G212" s="18">
        <v>45245</v>
      </c>
    </row>
    <row r="213" spans="1:7" ht="12.75" customHeight="1">
      <c r="A213" s="18" t="s">
        <v>233</v>
      </c>
      <c r="B213" s="4" t="s">
        <v>18</v>
      </c>
      <c r="C213" s="4">
        <v>26.1</v>
      </c>
      <c r="D213" s="4">
        <v>33.299999999999997</v>
      </c>
      <c r="E213" s="4">
        <v>8.6999999999999993</v>
      </c>
      <c r="F213" s="4">
        <v>328</v>
      </c>
      <c r="G213" s="18">
        <v>45245</v>
      </c>
    </row>
    <row r="214" spans="1:7" ht="12.75" customHeight="1">
      <c r="A214" s="4" t="s">
        <v>234</v>
      </c>
      <c r="B214" s="4" t="s">
        <v>18</v>
      </c>
      <c r="C214" s="4">
        <v>26.2</v>
      </c>
      <c r="D214" s="4">
        <v>34.5</v>
      </c>
      <c r="E214" s="4">
        <v>7.2</v>
      </c>
      <c r="F214" s="4">
        <v>378</v>
      </c>
      <c r="G214" s="18">
        <v>45245</v>
      </c>
    </row>
    <row r="215" spans="1:7" ht="12.75" customHeight="1">
      <c r="A215" s="4" t="s">
        <v>235</v>
      </c>
      <c r="B215" s="4" t="s">
        <v>18</v>
      </c>
      <c r="C215" s="4">
        <v>25.1</v>
      </c>
      <c r="D215" s="4">
        <v>33.200000000000003</v>
      </c>
      <c r="E215" s="4">
        <v>7.5</v>
      </c>
      <c r="F215" s="4">
        <v>293</v>
      </c>
      <c r="G215" s="18">
        <v>45245</v>
      </c>
    </row>
    <row r="216" spans="1:7" ht="12.75" customHeight="1">
      <c r="A216" s="4" t="s">
        <v>236</v>
      </c>
      <c r="B216" s="4" t="s">
        <v>18</v>
      </c>
      <c r="C216" s="4">
        <v>32</v>
      </c>
      <c r="D216" s="4">
        <v>27.1</v>
      </c>
      <c r="E216" s="4">
        <v>6.2</v>
      </c>
      <c r="F216" s="4">
        <v>180</v>
      </c>
      <c r="G216" s="18">
        <v>45245</v>
      </c>
    </row>
    <row r="217" spans="1:7" ht="12.75" customHeight="1">
      <c r="A217" s="4" t="s">
        <v>237</v>
      </c>
      <c r="C217" s="4">
        <v>33.1</v>
      </c>
      <c r="D217" s="4">
        <v>41.9</v>
      </c>
      <c r="E217" s="4">
        <v>9.9</v>
      </c>
      <c r="F217" s="4">
        <v>688</v>
      </c>
      <c r="G217" s="18">
        <v>45245</v>
      </c>
    </row>
    <row r="218" spans="1:7" ht="12.75" customHeight="1">
      <c r="A218" s="4" t="s">
        <v>238</v>
      </c>
      <c r="B218" s="4" t="s">
        <v>18</v>
      </c>
      <c r="C218" s="4">
        <v>30</v>
      </c>
      <c r="D218" s="4">
        <v>38.799999999999997</v>
      </c>
      <c r="E218" s="4">
        <v>9</v>
      </c>
      <c r="F218" s="4">
        <v>303</v>
      </c>
      <c r="G218" s="18">
        <v>45245</v>
      </c>
    </row>
    <row r="219" spans="1:7" ht="12.75" customHeight="1">
      <c r="A219" s="4" t="s">
        <v>239</v>
      </c>
      <c r="B219" s="4" t="s">
        <v>18</v>
      </c>
      <c r="C219" s="4">
        <v>20.9</v>
      </c>
      <c r="D219" s="4">
        <v>27.2</v>
      </c>
      <c r="E219" s="4">
        <v>6.6</v>
      </c>
      <c r="F219" s="4">
        <v>153</v>
      </c>
      <c r="G219" s="18">
        <v>45245</v>
      </c>
    </row>
    <row r="220" spans="1:7" ht="12.75" customHeight="1">
      <c r="A220" s="4" t="s">
        <v>240</v>
      </c>
      <c r="C220" s="4">
        <v>24.2</v>
      </c>
      <c r="D220" s="4">
        <v>27.8</v>
      </c>
      <c r="E220" s="4">
        <v>7.5</v>
      </c>
      <c r="F220" s="4">
        <v>272</v>
      </c>
      <c r="G220" s="18">
        <v>45245</v>
      </c>
    </row>
    <row r="221" spans="1:7" ht="12.75" customHeight="1">
      <c r="A221" s="4" t="s">
        <v>241</v>
      </c>
      <c r="B221" s="4" t="s">
        <v>18</v>
      </c>
      <c r="C221" s="4">
        <v>21.6</v>
      </c>
      <c r="D221" s="4">
        <v>28</v>
      </c>
      <c r="E221" s="4">
        <v>6.8</v>
      </c>
      <c r="F221" s="4">
        <v>178</v>
      </c>
      <c r="G221" s="18">
        <v>45245</v>
      </c>
    </row>
    <row r="222" spans="1:7" ht="12.75" customHeight="1">
      <c r="A222" s="4" t="s">
        <v>242</v>
      </c>
      <c r="C222" s="4">
        <v>25.6</v>
      </c>
      <c r="D222" s="4">
        <v>29.1</v>
      </c>
      <c r="E222" s="4">
        <v>8.6</v>
      </c>
      <c r="F222" s="4">
        <v>358</v>
      </c>
      <c r="G222" s="18">
        <v>45245</v>
      </c>
    </row>
    <row r="223" spans="1:7" ht="12.75" customHeight="1">
      <c r="A223" s="4" t="s">
        <v>243</v>
      </c>
      <c r="B223" s="4" t="s">
        <v>18</v>
      </c>
      <c r="C223" s="4">
        <v>27.2</v>
      </c>
      <c r="D223" s="4">
        <v>36.1</v>
      </c>
      <c r="E223" s="4">
        <v>8.8000000000000007</v>
      </c>
      <c r="F223" s="4">
        <v>424</v>
      </c>
      <c r="G223" s="18">
        <v>45245</v>
      </c>
    </row>
    <row r="224" spans="1:7" ht="12.75" customHeight="1">
      <c r="A224" s="4" t="s">
        <v>244</v>
      </c>
      <c r="B224" s="4" t="s">
        <v>18</v>
      </c>
      <c r="C224" s="4">
        <v>27</v>
      </c>
      <c r="D224" s="4">
        <v>35.299999999999997</v>
      </c>
      <c r="E224" s="4">
        <v>7.9</v>
      </c>
      <c r="F224" s="4">
        <v>313</v>
      </c>
      <c r="G224" s="18">
        <v>45245</v>
      </c>
    </row>
    <row r="225" spans="1:7" ht="12.75" customHeight="1">
      <c r="A225" s="4" t="s">
        <v>245</v>
      </c>
      <c r="B225" s="4" t="s">
        <v>18</v>
      </c>
      <c r="C225" s="4">
        <v>20.399999999999999</v>
      </c>
      <c r="D225" s="4">
        <v>24.4</v>
      </c>
      <c r="E225" s="4">
        <v>6.3</v>
      </c>
      <c r="F225" s="4">
        <v>156</v>
      </c>
      <c r="G225" s="18">
        <v>45245</v>
      </c>
    </row>
    <row r="226" spans="1:7" ht="12.75" customHeight="1">
      <c r="A226" s="4" t="s">
        <v>246</v>
      </c>
      <c r="C226" s="4">
        <v>25.1</v>
      </c>
      <c r="D226" s="4">
        <v>31.7</v>
      </c>
      <c r="E226" s="4">
        <v>5.9</v>
      </c>
      <c r="F226" s="4">
        <v>136</v>
      </c>
      <c r="G226" s="18">
        <v>45245</v>
      </c>
    </row>
    <row r="227" spans="1:7" ht="12.75" customHeight="1">
      <c r="A227" s="4" t="s">
        <v>247</v>
      </c>
      <c r="C227" s="4">
        <v>25</v>
      </c>
      <c r="D227" s="4">
        <v>29.1</v>
      </c>
      <c r="E227" s="4">
        <v>6.3</v>
      </c>
      <c r="F227" s="4">
        <v>348</v>
      </c>
      <c r="G227" s="18">
        <v>45245</v>
      </c>
    </row>
    <row r="228" spans="1:7" ht="12.75" customHeight="1">
      <c r="A228" s="4" t="s">
        <v>248</v>
      </c>
      <c r="B228" s="4" t="s">
        <v>18</v>
      </c>
      <c r="C228" s="4">
        <v>23.4</v>
      </c>
      <c r="D228" s="4">
        <v>30.7</v>
      </c>
      <c r="E228" s="4">
        <v>7.7</v>
      </c>
      <c r="F228" s="4">
        <v>392</v>
      </c>
      <c r="G228" s="18">
        <v>45245</v>
      </c>
    </row>
    <row r="229" spans="1:7" ht="12.75" customHeight="1">
      <c r="A229" s="4" t="s">
        <v>249</v>
      </c>
      <c r="C229" s="4">
        <v>22.7</v>
      </c>
      <c r="D229" s="4">
        <v>26.2</v>
      </c>
      <c r="E229" s="4">
        <v>5.2</v>
      </c>
      <c r="F229" s="4">
        <v>160</v>
      </c>
      <c r="G229" s="18">
        <v>45245</v>
      </c>
    </row>
    <row r="230" spans="1:7" ht="12.75" customHeight="1">
      <c r="A230" s="4" t="s">
        <v>250</v>
      </c>
      <c r="C230" s="4">
        <v>27.4</v>
      </c>
      <c r="D230" s="4">
        <v>34.4</v>
      </c>
      <c r="E230" s="4">
        <v>6.7</v>
      </c>
      <c r="F230" s="4">
        <v>317</v>
      </c>
      <c r="G230" s="18">
        <v>45245</v>
      </c>
    </row>
    <row r="231" spans="1:7" ht="12.75" customHeight="1">
      <c r="A231" s="4" t="s">
        <v>251</v>
      </c>
      <c r="B231" s="4" t="s">
        <v>18</v>
      </c>
      <c r="C231" s="4">
        <v>20.9</v>
      </c>
      <c r="D231" s="4">
        <v>28.1</v>
      </c>
      <c r="E231" s="4">
        <v>6.5</v>
      </c>
      <c r="F231" s="4">
        <v>174</v>
      </c>
      <c r="G231" s="18">
        <v>45245</v>
      </c>
    </row>
    <row r="232" spans="1:7" ht="12.75" customHeight="1">
      <c r="A232" s="4" t="s">
        <v>252</v>
      </c>
      <c r="C232" s="4">
        <v>28.2</v>
      </c>
      <c r="D232" s="4">
        <v>36.700000000000003</v>
      </c>
      <c r="E232" s="4">
        <v>7.8</v>
      </c>
      <c r="F232" s="4">
        <v>196</v>
      </c>
      <c r="G232" s="18">
        <v>45245</v>
      </c>
    </row>
    <row r="233" spans="1:7" ht="12.75" customHeight="1">
      <c r="A233" s="4" t="s">
        <v>253</v>
      </c>
      <c r="B233" s="4" t="s">
        <v>18</v>
      </c>
      <c r="C233" s="4">
        <v>17.7</v>
      </c>
      <c r="D233" s="4">
        <v>22.9</v>
      </c>
      <c r="E233" s="4">
        <v>4.9000000000000004</v>
      </c>
      <c r="F233" s="4">
        <v>96</v>
      </c>
      <c r="G233" s="18">
        <v>45245</v>
      </c>
    </row>
    <row r="234" spans="1:7" ht="12.75" customHeight="1">
      <c r="A234" s="4" t="s">
        <v>254</v>
      </c>
      <c r="C234" s="4">
        <v>26.3</v>
      </c>
      <c r="D234" s="4">
        <v>30.9</v>
      </c>
      <c r="E234" s="4">
        <v>7.6</v>
      </c>
      <c r="F234" s="4">
        <v>195</v>
      </c>
      <c r="G234" s="18">
        <v>45245</v>
      </c>
    </row>
    <row r="235" spans="1:7" ht="12.75" customHeight="1">
      <c r="A235" s="4" t="s">
        <v>255</v>
      </c>
      <c r="C235" s="4">
        <v>22.1</v>
      </c>
      <c r="D235" s="4">
        <v>27.3</v>
      </c>
      <c r="E235" s="4">
        <v>5.3</v>
      </c>
      <c r="F235" s="4">
        <v>165</v>
      </c>
      <c r="G235" s="18">
        <v>45245</v>
      </c>
    </row>
    <row r="236" spans="1:7" ht="12.75" customHeight="1">
      <c r="A236" s="4" t="s">
        <v>256</v>
      </c>
      <c r="C236" s="4">
        <v>21</v>
      </c>
      <c r="D236" s="4">
        <v>27.1</v>
      </c>
      <c r="E236" s="4">
        <v>4.9000000000000004</v>
      </c>
      <c r="F236" s="4">
        <v>132</v>
      </c>
      <c r="G236" s="18">
        <v>45245</v>
      </c>
    </row>
    <row r="237" spans="1:7" ht="12.75" customHeight="1">
      <c r="A237" s="4" t="s">
        <v>257</v>
      </c>
      <c r="C237" s="4">
        <v>23.4</v>
      </c>
      <c r="D237" s="4">
        <v>26.8</v>
      </c>
      <c r="E237" s="4">
        <v>5.7</v>
      </c>
      <c r="F237" s="4">
        <v>178</v>
      </c>
      <c r="G237" s="18">
        <v>45245</v>
      </c>
    </row>
    <row r="238" spans="1:7" ht="12.75" customHeight="1">
      <c r="A238" s="4" t="s">
        <v>258</v>
      </c>
      <c r="B238" s="4" t="s">
        <v>18</v>
      </c>
      <c r="C238" s="4">
        <v>20.3</v>
      </c>
      <c r="D238" s="4">
        <v>25.8</v>
      </c>
      <c r="E238" s="4">
        <v>5.9</v>
      </c>
      <c r="F238" s="4">
        <v>150</v>
      </c>
      <c r="G238" s="18">
        <v>45245</v>
      </c>
    </row>
    <row r="239" spans="1:7" ht="12.75" customHeight="1">
      <c r="A239" s="4" t="s">
        <v>259</v>
      </c>
      <c r="B239" s="4" t="s">
        <v>18</v>
      </c>
      <c r="C239" s="4">
        <v>21.7</v>
      </c>
      <c r="D239" s="4">
        <v>29</v>
      </c>
      <c r="E239" s="4">
        <v>6.4</v>
      </c>
      <c r="F239" s="4">
        <v>193</v>
      </c>
      <c r="G239" s="18">
        <v>45245</v>
      </c>
    </row>
    <row r="240" spans="1:7" ht="12.75" customHeight="1">
      <c r="A240" s="4" t="s">
        <v>260</v>
      </c>
      <c r="B240" s="4" t="s">
        <v>18</v>
      </c>
      <c r="C240" s="4">
        <v>19.5</v>
      </c>
      <c r="D240" s="4">
        <v>26.1</v>
      </c>
      <c r="E240" s="4">
        <v>5.9</v>
      </c>
      <c r="F240" s="4">
        <v>149</v>
      </c>
      <c r="G240" s="18">
        <v>45245</v>
      </c>
    </row>
    <row r="241" spans="1:7" ht="12.75" customHeight="1">
      <c r="A241" s="4" t="s">
        <v>261</v>
      </c>
      <c r="C241" s="4">
        <v>23.4</v>
      </c>
      <c r="D241" s="4">
        <v>29.5</v>
      </c>
      <c r="E241" s="4">
        <v>4.7</v>
      </c>
      <c r="F241" s="4">
        <v>162</v>
      </c>
      <c r="G241" s="18">
        <v>45245</v>
      </c>
    </row>
    <row r="242" spans="1:7" ht="12.75" customHeight="1">
      <c r="A242" s="4" t="s">
        <v>262</v>
      </c>
      <c r="B242" s="4" t="s">
        <v>18</v>
      </c>
      <c r="C242" s="4">
        <v>18.899999999999999</v>
      </c>
      <c r="D242" s="4">
        <v>25.4</v>
      </c>
      <c r="E242" s="4">
        <v>5.5</v>
      </c>
      <c r="F242" s="4">
        <v>141</v>
      </c>
      <c r="G242" s="18">
        <v>45245</v>
      </c>
    </row>
    <row r="243" spans="1:7" ht="12.75" customHeight="1">
      <c r="A243" s="4" t="s">
        <v>263</v>
      </c>
      <c r="C243" s="4">
        <v>23.7</v>
      </c>
      <c r="D243" s="4">
        <v>30.4</v>
      </c>
      <c r="E243" s="4">
        <v>6.2</v>
      </c>
      <c r="F243" s="4">
        <v>220</v>
      </c>
      <c r="G243" s="18">
        <v>45245</v>
      </c>
    </row>
    <row r="244" spans="1:7" ht="12.75" customHeight="1">
      <c r="A244" s="4" t="s">
        <v>264</v>
      </c>
      <c r="C244" s="4">
        <v>18.2</v>
      </c>
      <c r="D244" s="4">
        <v>22.8</v>
      </c>
      <c r="E244" s="4">
        <v>3.8</v>
      </c>
      <c r="F244" s="4">
        <v>78</v>
      </c>
      <c r="G244" s="18">
        <v>45245</v>
      </c>
    </row>
    <row r="245" spans="1:7" ht="12.75" customHeight="1">
      <c r="A245" s="4" t="s">
        <v>265</v>
      </c>
      <c r="C245" s="4">
        <v>21.4</v>
      </c>
      <c r="D245" s="4">
        <v>27.5</v>
      </c>
      <c r="E245" s="4">
        <v>4.8</v>
      </c>
      <c r="F245" s="4">
        <v>135</v>
      </c>
      <c r="G245" s="18">
        <v>45245</v>
      </c>
    </row>
    <row r="246" spans="1:7" ht="12.75" customHeight="1">
      <c r="A246" s="4" t="s">
        <v>266</v>
      </c>
      <c r="C246" s="4">
        <v>24.7</v>
      </c>
      <c r="D246" s="4">
        <v>30.7</v>
      </c>
      <c r="E246" s="4">
        <v>5.0999999999999996</v>
      </c>
      <c r="F246" s="4">
        <v>160</v>
      </c>
      <c r="G246" s="18">
        <v>45245</v>
      </c>
    </row>
    <row r="247" spans="1:7" ht="12.75" customHeight="1">
      <c r="A247" s="4" t="s">
        <v>267</v>
      </c>
      <c r="C247" s="4">
        <v>23.1</v>
      </c>
      <c r="D247" s="4">
        <v>29.1</v>
      </c>
      <c r="E247" s="4">
        <v>6</v>
      </c>
      <c r="F247" s="4">
        <v>226</v>
      </c>
      <c r="G247" s="18">
        <v>45245</v>
      </c>
    </row>
    <row r="248" spans="1:7" ht="12.75" customHeight="1">
      <c r="A248" s="4" t="s">
        <v>268</v>
      </c>
      <c r="B248" s="4" t="s">
        <v>18</v>
      </c>
      <c r="C248" s="4">
        <v>23.6</v>
      </c>
      <c r="D248" s="4">
        <v>31.1</v>
      </c>
      <c r="E248" s="4">
        <v>7.8</v>
      </c>
      <c r="F248" s="4">
        <v>288</v>
      </c>
      <c r="G248" s="18">
        <v>45245</v>
      </c>
    </row>
    <row r="249" spans="1:7" ht="12.75" customHeight="1">
      <c r="A249" s="4" t="s">
        <v>269</v>
      </c>
      <c r="C249" s="4">
        <v>21.9</v>
      </c>
      <c r="D249" s="4">
        <v>27.3</v>
      </c>
      <c r="E249" s="4">
        <v>7.1</v>
      </c>
      <c r="F249" s="4">
        <v>196</v>
      </c>
      <c r="G249" s="18">
        <v>45245</v>
      </c>
    </row>
    <row r="250" spans="1:7" ht="12.75" customHeight="1">
      <c r="A250" s="4" t="s">
        <v>270</v>
      </c>
      <c r="C250" s="4">
        <v>21.4</v>
      </c>
      <c r="D250" s="4">
        <v>27.8</v>
      </c>
      <c r="E250" s="4">
        <v>5.2</v>
      </c>
      <c r="F250" s="4">
        <v>147</v>
      </c>
      <c r="G250" s="18">
        <v>45245</v>
      </c>
    </row>
    <row r="251" spans="1:7" ht="12.75" customHeight="1">
      <c r="A251" s="4" t="s">
        <v>271</v>
      </c>
      <c r="B251" s="4" t="s">
        <v>18</v>
      </c>
      <c r="C251" s="4">
        <v>21.1</v>
      </c>
      <c r="D251" s="4">
        <v>28.1</v>
      </c>
      <c r="E251" s="4">
        <v>6.4</v>
      </c>
      <c r="F251" s="4">
        <v>163</v>
      </c>
      <c r="G251" s="18">
        <v>45245</v>
      </c>
    </row>
    <row r="252" spans="1:7" ht="12.75" customHeight="1">
      <c r="A252" s="4" t="s">
        <v>272</v>
      </c>
      <c r="B252" s="4" t="s">
        <v>18</v>
      </c>
      <c r="C252" s="4">
        <v>20</v>
      </c>
      <c r="D252" s="4">
        <v>21.5</v>
      </c>
      <c r="E252" s="4">
        <v>5.8</v>
      </c>
      <c r="F252" s="4">
        <v>144</v>
      </c>
      <c r="G252" s="18">
        <v>45245</v>
      </c>
    </row>
    <row r="253" spans="1:7" ht="12.75" customHeight="1">
      <c r="A253" s="4" t="s">
        <v>273</v>
      </c>
      <c r="B253" s="4" t="s">
        <v>18</v>
      </c>
      <c r="C253" s="4">
        <v>21.1</v>
      </c>
      <c r="D253" s="4">
        <v>27.9</v>
      </c>
      <c r="E253" s="4">
        <v>7.1</v>
      </c>
      <c r="F253" s="4">
        <v>192</v>
      </c>
      <c r="G253" s="18">
        <v>45245</v>
      </c>
    </row>
    <row r="254" spans="1:7" ht="12.75" customHeight="1">
      <c r="A254" s="4" t="s">
        <v>274</v>
      </c>
      <c r="B254" s="4" t="s">
        <v>18</v>
      </c>
      <c r="C254" s="4">
        <v>20.100000000000001</v>
      </c>
      <c r="D254" s="4">
        <v>23.3</v>
      </c>
      <c r="E254" s="4">
        <v>6</v>
      </c>
      <c r="F254" s="4">
        <v>141</v>
      </c>
      <c r="G254" s="18">
        <v>45245</v>
      </c>
    </row>
    <row r="255" spans="1:7" ht="12.75" customHeight="1">
      <c r="A255" s="4" t="s">
        <v>275</v>
      </c>
      <c r="C255" s="4">
        <v>29.1</v>
      </c>
      <c r="D255" s="4">
        <v>35.700000000000003</v>
      </c>
      <c r="E255" s="4">
        <v>8</v>
      </c>
      <c r="F255" s="4">
        <v>386</v>
      </c>
      <c r="G255" s="18">
        <v>45245</v>
      </c>
    </row>
    <row r="256" spans="1:7" ht="12.75" customHeight="1">
      <c r="A256" s="4" t="s">
        <v>276</v>
      </c>
      <c r="B256" s="4" t="s">
        <v>18</v>
      </c>
      <c r="C256" s="4">
        <v>25.3</v>
      </c>
      <c r="D256" s="4">
        <v>32.700000000000003</v>
      </c>
      <c r="E256" s="4">
        <v>8.8000000000000007</v>
      </c>
      <c r="F256" s="4">
        <v>345</v>
      </c>
      <c r="G256" s="18">
        <v>45245</v>
      </c>
    </row>
    <row r="257" spans="1:7" ht="12.75" customHeight="1">
      <c r="A257" s="4" t="s">
        <v>277</v>
      </c>
      <c r="C257" s="4">
        <v>20.8</v>
      </c>
      <c r="D257" s="4">
        <v>24.6</v>
      </c>
      <c r="E257" s="4">
        <v>5.5</v>
      </c>
      <c r="F257" s="4">
        <v>137</v>
      </c>
      <c r="G257" s="18">
        <v>45245</v>
      </c>
    </row>
    <row r="258" spans="1:7" ht="12.75" customHeight="1">
      <c r="A258" s="4" t="s">
        <v>278</v>
      </c>
      <c r="C258" s="4">
        <v>24.1</v>
      </c>
      <c r="D258" s="4">
        <v>32.5</v>
      </c>
      <c r="E258" s="4">
        <v>6.8</v>
      </c>
      <c r="F258" s="4">
        <v>285</v>
      </c>
      <c r="G258" s="18">
        <v>45245</v>
      </c>
    </row>
    <row r="259" spans="1:7" ht="12.75" customHeight="1">
      <c r="A259" s="4" t="s">
        <v>279</v>
      </c>
      <c r="B259" s="4" t="s">
        <v>18</v>
      </c>
      <c r="C259" s="4">
        <v>20.399999999999999</v>
      </c>
      <c r="D259" s="4">
        <v>25.9</v>
      </c>
      <c r="E259" s="4">
        <v>6.2</v>
      </c>
      <c r="F259" s="4">
        <v>157</v>
      </c>
      <c r="G259" s="18">
        <v>45245</v>
      </c>
    </row>
    <row r="260" spans="1:7" ht="12.75" customHeight="1">
      <c r="A260" s="4" t="s">
        <v>280</v>
      </c>
      <c r="C260" s="4">
        <v>24.4</v>
      </c>
      <c r="D260" s="4">
        <v>31</v>
      </c>
      <c r="E260" s="4">
        <v>6.4</v>
      </c>
      <c r="F260" s="4">
        <v>214</v>
      </c>
      <c r="G260" s="18">
        <v>45245</v>
      </c>
    </row>
    <row r="261" spans="1:7" ht="12.75" customHeight="1">
      <c r="A261" s="4" t="s">
        <v>281</v>
      </c>
      <c r="C261" s="4">
        <v>23.8</v>
      </c>
      <c r="D261" s="4">
        <v>26.4</v>
      </c>
      <c r="E261" s="4">
        <v>6.3</v>
      </c>
      <c r="F261" s="4">
        <v>206</v>
      </c>
      <c r="G261" s="18">
        <v>45245</v>
      </c>
    </row>
    <row r="262" spans="1:7" ht="12.75" customHeight="1">
      <c r="A262" s="4" t="s">
        <v>282</v>
      </c>
      <c r="C262" s="4">
        <v>25</v>
      </c>
      <c r="D262" s="4">
        <v>29</v>
      </c>
      <c r="E262" s="4">
        <v>7.7</v>
      </c>
      <c r="F262" s="4">
        <v>277</v>
      </c>
      <c r="G262" s="18">
        <v>45245</v>
      </c>
    </row>
    <row r="263" spans="1:7" ht="12.75" customHeight="1">
      <c r="A263" s="4" t="s">
        <v>283</v>
      </c>
      <c r="C263" s="4">
        <v>25.4</v>
      </c>
      <c r="D263" s="4">
        <v>32.1</v>
      </c>
      <c r="E263" s="4">
        <v>6.4</v>
      </c>
      <c r="F263" s="4">
        <v>265</v>
      </c>
      <c r="G263" s="18">
        <v>45245</v>
      </c>
    </row>
    <row r="264" spans="1:7" ht="12.75" customHeight="1">
      <c r="A264" s="4" t="s">
        <v>284</v>
      </c>
      <c r="B264" s="4" t="s">
        <v>18</v>
      </c>
      <c r="C264" s="4">
        <v>18.2</v>
      </c>
      <c r="D264" s="4">
        <v>23.3</v>
      </c>
      <c r="E264" s="4">
        <v>5.6</v>
      </c>
      <c r="F264" s="4">
        <v>120</v>
      </c>
      <c r="G264" s="18">
        <v>45245</v>
      </c>
    </row>
    <row r="265" spans="1:7" ht="12.75" customHeight="1">
      <c r="A265" s="4" t="s">
        <v>285</v>
      </c>
      <c r="C265" s="4">
        <v>24.5</v>
      </c>
      <c r="D265" s="4">
        <v>31.1</v>
      </c>
      <c r="E265" s="4">
        <v>5.4</v>
      </c>
      <c r="F265" s="4">
        <v>207</v>
      </c>
      <c r="G265" s="18">
        <v>45245</v>
      </c>
    </row>
    <row r="266" spans="1:7" ht="12.75" customHeight="1">
      <c r="A266" s="4" t="s">
        <v>286</v>
      </c>
      <c r="C266" s="4">
        <v>25.2</v>
      </c>
      <c r="D266" s="4">
        <v>30.2</v>
      </c>
      <c r="E266" s="4">
        <v>6.9</v>
      </c>
      <c r="F266" s="4">
        <v>280</v>
      </c>
      <c r="G266" s="18">
        <v>45245</v>
      </c>
    </row>
    <row r="267" spans="1:7" ht="12.75" customHeight="1">
      <c r="A267" s="4" t="s">
        <v>287</v>
      </c>
      <c r="C267" s="4">
        <v>25</v>
      </c>
      <c r="D267" s="4">
        <v>23.1</v>
      </c>
      <c r="E267" s="4">
        <v>6.9</v>
      </c>
      <c r="F267" s="4">
        <v>269</v>
      </c>
      <c r="G267" s="18">
        <v>45245</v>
      </c>
    </row>
    <row r="268" spans="1:7" ht="12.75" customHeight="1">
      <c r="A268" s="4" t="s">
        <v>288</v>
      </c>
      <c r="C268" s="4">
        <v>21.3</v>
      </c>
      <c r="D268" s="4">
        <v>27</v>
      </c>
      <c r="E268" s="4">
        <v>5.0999999999999996</v>
      </c>
      <c r="F268" s="4">
        <v>145</v>
      </c>
      <c r="G268" s="18">
        <v>45245</v>
      </c>
    </row>
    <row r="269" spans="1:7" ht="12.75" customHeight="1">
      <c r="A269" s="4" t="s">
        <v>289</v>
      </c>
      <c r="B269" s="4" t="s">
        <v>18</v>
      </c>
      <c r="C269" s="4">
        <v>21.1</v>
      </c>
      <c r="D269" s="4">
        <v>27.9</v>
      </c>
      <c r="E269" s="4">
        <v>6.6</v>
      </c>
      <c r="F269" s="4">
        <v>197</v>
      </c>
      <c r="G269" s="18">
        <v>45245</v>
      </c>
    </row>
    <row r="270" spans="1:7" ht="12.75" customHeight="1">
      <c r="A270" s="4" t="s">
        <v>290</v>
      </c>
      <c r="B270" s="4" t="s">
        <v>18</v>
      </c>
      <c r="C270" s="4">
        <v>24.2</v>
      </c>
      <c r="D270" s="4">
        <v>30.1</v>
      </c>
      <c r="E270" s="4">
        <v>7.5</v>
      </c>
      <c r="F270" s="4">
        <v>266</v>
      </c>
      <c r="G270" s="18">
        <v>45245</v>
      </c>
    </row>
    <row r="271" spans="1:7" ht="12.75" customHeight="1">
      <c r="A271" s="4" t="s">
        <v>291</v>
      </c>
      <c r="C271" s="4">
        <v>21.7</v>
      </c>
      <c r="D271" s="4">
        <v>27.3</v>
      </c>
      <c r="E271" s="4">
        <v>4.4000000000000004</v>
      </c>
      <c r="F271" s="4">
        <v>122</v>
      </c>
      <c r="G271" s="18">
        <v>45245</v>
      </c>
    </row>
    <row r="272" spans="1:7" ht="12.75" customHeight="1">
      <c r="A272" s="4" t="s">
        <v>292</v>
      </c>
      <c r="C272" s="4">
        <v>18.3</v>
      </c>
      <c r="D272" s="4">
        <v>21.8</v>
      </c>
      <c r="E272" s="4">
        <v>4.5999999999999996</v>
      </c>
      <c r="F272" s="4">
        <v>90</v>
      </c>
      <c r="G272" s="18">
        <v>45245</v>
      </c>
    </row>
    <row r="273" spans="1:8" ht="12.75" customHeight="1">
      <c r="A273" s="4" t="s">
        <v>293</v>
      </c>
      <c r="C273" s="4">
        <v>21.4</v>
      </c>
      <c r="D273" s="4">
        <v>26.2</v>
      </c>
      <c r="E273" s="4">
        <v>4.7</v>
      </c>
      <c r="F273" s="4">
        <v>123</v>
      </c>
      <c r="G273" s="18">
        <v>45245</v>
      </c>
    </row>
    <row r="274" spans="1:8" ht="12.75" customHeight="1">
      <c r="A274" s="4" t="s">
        <v>294</v>
      </c>
      <c r="B274" s="4" t="s">
        <v>18</v>
      </c>
      <c r="C274" s="4">
        <v>21.8</v>
      </c>
      <c r="D274" s="4">
        <v>26.3</v>
      </c>
      <c r="E274" s="4">
        <v>6.7</v>
      </c>
      <c r="F274" s="4">
        <v>190</v>
      </c>
      <c r="G274" s="18">
        <v>45245</v>
      </c>
    </row>
    <row r="275" spans="1:8" ht="12.75" customHeight="1">
      <c r="A275" s="4" t="s">
        <v>295</v>
      </c>
      <c r="B275" s="4" t="s">
        <v>18</v>
      </c>
      <c r="C275" s="4">
        <v>23.2</v>
      </c>
      <c r="D275" s="4">
        <v>27.6</v>
      </c>
      <c r="E275" s="4">
        <v>6.7</v>
      </c>
      <c r="F275" s="4">
        <v>232</v>
      </c>
      <c r="G275" s="18">
        <v>45245</v>
      </c>
    </row>
    <row r="276" spans="1:8" ht="12.75" customHeight="1">
      <c r="A276" s="4" t="s">
        <v>296</v>
      </c>
      <c r="B276" s="4" t="s">
        <v>18</v>
      </c>
      <c r="C276" s="4">
        <v>23.3</v>
      </c>
      <c r="D276" s="4">
        <v>23.7</v>
      </c>
      <c r="E276" s="4">
        <v>8</v>
      </c>
      <c r="F276" s="4">
        <v>231</v>
      </c>
      <c r="G276" s="18">
        <v>45245</v>
      </c>
    </row>
    <row r="277" spans="1:8" ht="12.75" customHeight="1">
      <c r="A277" s="4" t="s">
        <v>297</v>
      </c>
      <c r="C277" s="4">
        <v>20</v>
      </c>
      <c r="D277" s="4">
        <v>23.7</v>
      </c>
      <c r="E277" s="4">
        <v>4.7</v>
      </c>
      <c r="F277" s="4">
        <v>107</v>
      </c>
      <c r="G277" s="18">
        <v>45245</v>
      </c>
    </row>
    <row r="278" spans="1:8" ht="12.75" customHeight="1">
      <c r="A278" s="4" t="s">
        <v>298</v>
      </c>
      <c r="C278" s="4">
        <v>25.6</v>
      </c>
      <c r="D278" s="4">
        <v>32.5</v>
      </c>
      <c r="E278" s="4">
        <v>6.5</v>
      </c>
      <c r="F278" s="4">
        <v>265</v>
      </c>
      <c r="G278" s="18">
        <v>45245</v>
      </c>
    </row>
    <row r="279" spans="1:8" ht="12.75" customHeight="1">
      <c r="A279" s="4" t="s">
        <v>299</v>
      </c>
      <c r="C279" s="4">
        <v>22.8</v>
      </c>
      <c r="D279" s="4">
        <v>28.9</v>
      </c>
      <c r="E279" s="4">
        <v>5.0999999999999996</v>
      </c>
      <c r="F279" s="4">
        <v>159</v>
      </c>
      <c r="G279" s="18">
        <v>45245</v>
      </c>
    </row>
    <row r="280" spans="1:8" ht="12.75" customHeight="1">
      <c r="A280" s="4" t="s">
        <v>300</v>
      </c>
      <c r="B280" s="4" t="s">
        <v>18</v>
      </c>
      <c r="C280" s="4">
        <v>21.5</v>
      </c>
      <c r="D280" s="4">
        <v>27.7</v>
      </c>
      <c r="E280" s="4">
        <v>6.3</v>
      </c>
      <c r="F280" s="4">
        <v>174</v>
      </c>
      <c r="G280" s="18">
        <v>45245</v>
      </c>
    </row>
    <row r="281" spans="1:8" ht="12.75" customHeight="1">
      <c r="A281" s="4" t="s">
        <v>301</v>
      </c>
      <c r="B281" s="4" t="s">
        <v>18</v>
      </c>
      <c r="C281" s="4">
        <v>22.1</v>
      </c>
      <c r="D281" s="4" t="s">
        <v>174</v>
      </c>
      <c r="E281" s="4">
        <v>6.8</v>
      </c>
      <c r="F281" s="4" t="s">
        <v>302</v>
      </c>
      <c r="G281" s="18">
        <v>45245</v>
      </c>
      <c r="H281" s="4" t="s">
        <v>303</v>
      </c>
    </row>
    <row r="282" spans="1:8" ht="12.75" customHeight="1">
      <c r="A282" s="4" t="s">
        <v>304</v>
      </c>
      <c r="C282" s="4">
        <v>24.2</v>
      </c>
      <c r="D282" s="4">
        <v>29.9</v>
      </c>
      <c r="E282" s="4">
        <v>6.2</v>
      </c>
      <c r="F282" s="4">
        <v>194</v>
      </c>
      <c r="G282" s="18">
        <v>45245</v>
      </c>
    </row>
    <row r="283" spans="1:8" ht="12.75" customHeight="1">
      <c r="A283" s="4" t="s">
        <v>305</v>
      </c>
      <c r="C283" s="4">
        <v>20.9</v>
      </c>
      <c r="D283" s="4" t="s">
        <v>306</v>
      </c>
      <c r="E283" s="4">
        <v>6.4</v>
      </c>
      <c r="F283" s="4" t="s">
        <v>307</v>
      </c>
      <c r="G283" s="18">
        <v>45245</v>
      </c>
      <c r="H283" s="4" t="s">
        <v>308</v>
      </c>
    </row>
    <row r="284" spans="1:8" ht="12.75" customHeight="1">
      <c r="A284" s="4" t="s">
        <v>309</v>
      </c>
      <c r="B284" s="4" t="s">
        <v>18</v>
      </c>
      <c r="C284" s="4">
        <v>26.3</v>
      </c>
      <c r="D284" s="4">
        <v>30.2</v>
      </c>
      <c r="E284" s="4">
        <v>8.4</v>
      </c>
      <c r="F284" s="4">
        <v>331</v>
      </c>
      <c r="G284" s="18">
        <v>45245</v>
      </c>
    </row>
    <row r="285" spans="1:8" ht="12.75" customHeight="1">
      <c r="A285" s="4" t="s">
        <v>310</v>
      </c>
      <c r="C285" s="4">
        <v>23.4</v>
      </c>
      <c r="D285" s="4">
        <v>29.2</v>
      </c>
      <c r="E285" s="4">
        <v>5.3</v>
      </c>
      <c r="F285" s="4">
        <v>175</v>
      </c>
      <c r="G285" s="18">
        <v>45245</v>
      </c>
    </row>
    <row r="286" spans="1:8" ht="12.75" customHeight="1">
      <c r="A286" s="4" t="s">
        <v>311</v>
      </c>
      <c r="C286" s="4">
        <v>21.4</v>
      </c>
      <c r="D286" s="4">
        <v>27.1</v>
      </c>
      <c r="E286" s="4">
        <v>4.7</v>
      </c>
      <c r="F286" s="4">
        <v>140</v>
      </c>
      <c r="G286" s="18">
        <v>45245</v>
      </c>
    </row>
    <row r="287" spans="1:8" ht="12.75" customHeight="1">
      <c r="A287" s="4" t="s">
        <v>312</v>
      </c>
      <c r="C287" s="4">
        <v>18.2</v>
      </c>
      <c r="D287" s="4">
        <v>20.8</v>
      </c>
      <c r="E287" s="4">
        <v>5.5</v>
      </c>
      <c r="F287" s="4">
        <v>110</v>
      </c>
      <c r="G287" s="18">
        <v>45245</v>
      </c>
    </row>
    <row r="288" spans="1:8" ht="12.75" customHeight="1">
      <c r="A288" s="4" t="s">
        <v>313</v>
      </c>
      <c r="C288" s="4">
        <v>23.4</v>
      </c>
      <c r="D288" s="4" t="s">
        <v>314</v>
      </c>
      <c r="E288" s="4">
        <v>5.8</v>
      </c>
      <c r="F288" s="4" t="s">
        <v>315</v>
      </c>
      <c r="G288" s="18">
        <v>45245</v>
      </c>
      <c r="H288" s="4" t="s">
        <v>316</v>
      </c>
    </row>
    <row r="289" spans="1:8" ht="12.75" customHeight="1">
      <c r="A289" s="4" t="s">
        <v>317</v>
      </c>
      <c r="C289" s="4">
        <v>22</v>
      </c>
      <c r="D289" s="4">
        <v>28.8</v>
      </c>
      <c r="E289" s="4">
        <v>4.2</v>
      </c>
      <c r="F289" s="4">
        <v>123</v>
      </c>
      <c r="G289" s="18">
        <v>45245</v>
      </c>
    </row>
    <row r="290" spans="1:8" ht="12.75" customHeight="1">
      <c r="A290" s="4" t="s">
        <v>318</v>
      </c>
      <c r="C290" s="4">
        <v>19.600000000000001</v>
      </c>
      <c r="D290" s="4">
        <v>23.8</v>
      </c>
      <c r="E290" s="4">
        <v>5.3</v>
      </c>
      <c r="F290" s="4">
        <v>126</v>
      </c>
      <c r="G290" s="18">
        <v>45245</v>
      </c>
    </row>
    <row r="291" spans="1:8" ht="12.75" customHeight="1">
      <c r="A291" s="4" t="s">
        <v>319</v>
      </c>
      <c r="C291" s="4">
        <v>22.4</v>
      </c>
      <c r="D291" s="4">
        <v>27.1</v>
      </c>
      <c r="E291" s="4">
        <v>5.5</v>
      </c>
      <c r="F291" s="4">
        <v>164</v>
      </c>
      <c r="G291" s="18">
        <v>45245</v>
      </c>
    </row>
    <row r="292" spans="1:8" ht="12.75" customHeight="1">
      <c r="A292" s="4" t="s">
        <v>320</v>
      </c>
      <c r="C292" s="4">
        <v>18.899999999999999</v>
      </c>
      <c r="D292" s="4">
        <v>22.2</v>
      </c>
      <c r="E292" s="4">
        <v>5.3</v>
      </c>
      <c r="F292" s="4">
        <v>116</v>
      </c>
      <c r="G292" s="18">
        <v>45245</v>
      </c>
    </row>
    <row r="293" spans="1:8" ht="12.75" customHeight="1">
      <c r="A293" s="4" t="s">
        <v>321</v>
      </c>
      <c r="C293" s="4">
        <v>17.5</v>
      </c>
      <c r="D293" s="4">
        <v>20.2</v>
      </c>
      <c r="E293" s="4">
        <v>3.3</v>
      </c>
      <c r="F293" s="4">
        <v>74</v>
      </c>
      <c r="G293" s="18">
        <v>45245</v>
      </c>
    </row>
    <row r="294" spans="1:8" ht="12.75" customHeight="1">
      <c r="A294" s="4" t="s">
        <v>322</v>
      </c>
      <c r="B294" s="4" t="s">
        <v>18</v>
      </c>
      <c r="C294" s="4">
        <v>19</v>
      </c>
      <c r="D294" s="4">
        <v>23.1</v>
      </c>
      <c r="E294" s="4">
        <v>5.7</v>
      </c>
      <c r="F294" s="4">
        <v>132</v>
      </c>
      <c r="G294" s="18">
        <v>45245</v>
      </c>
    </row>
    <row r="295" spans="1:8" ht="12.75" customHeight="1">
      <c r="A295" s="4" t="s">
        <v>323</v>
      </c>
      <c r="C295" s="4">
        <v>22.2</v>
      </c>
      <c r="D295" s="4">
        <v>28.1</v>
      </c>
      <c r="E295" s="4">
        <v>5.9</v>
      </c>
      <c r="F295" s="4">
        <v>182</v>
      </c>
      <c r="G295" s="18">
        <v>45245</v>
      </c>
    </row>
    <row r="296" spans="1:8" ht="12.75" customHeight="1">
      <c r="A296" s="4" t="s">
        <v>324</v>
      </c>
      <c r="C296" s="4">
        <v>16.100000000000001</v>
      </c>
      <c r="D296" s="4" t="s">
        <v>83</v>
      </c>
      <c r="E296" s="4">
        <v>3.9</v>
      </c>
      <c r="F296" s="4" t="s">
        <v>325</v>
      </c>
      <c r="G296" s="18">
        <v>45245</v>
      </c>
      <c r="H296" s="4" t="s">
        <v>326</v>
      </c>
    </row>
    <row r="297" spans="1:8" ht="12.75" customHeight="1">
      <c r="A297" s="4" t="s">
        <v>327</v>
      </c>
      <c r="C297" s="4">
        <v>21.7</v>
      </c>
      <c r="D297" s="4">
        <v>28.6</v>
      </c>
      <c r="E297" s="4">
        <v>5.0999999999999996</v>
      </c>
      <c r="F297" s="4">
        <v>144</v>
      </c>
      <c r="G297" s="18">
        <v>45245</v>
      </c>
    </row>
    <row r="298" spans="1:8" ht="12.75" customHeight="1">
      <c r="A298" s="4" t="s">
        <v>328</v>
      </c>
      <c r="C298" s="4">
        <v>20</v>
      </c>
      <c r="D298" s="4">
        <v>24.4</v>
      </c>
      <c r="E298" s="4">
        <v>4.5999999999999996</v>
      </c>
      <c r="F298" s="4">
        <v>121</v>
      </c>
      <c r="G298" s="18">
        <v>45245</v>
      </c>
    </row>
    <row r="299" spans="1:8" ht="12.75" customHeight="1">
      <c r="A299" s="4" t="s">
        <v>329</v>
      </c>
      <c r="C299" s="4">
        <v>32.200000000000003</v>
      </c>
      <c r="D299" s="4">
        <v>41.5</v>
      </c>
      <c r="E299" s="4">
        <v>10</v>
      </c>
      <c r="F299" s="4">
        <v>502</v>
      </c>
      <c r="G299" s="18">
        <v>45245</v>
      </c>
    </row>
    <row r="300" spans="1:8" ht="12.75" customHeight="1">
      <c r="A300" s="4" t="s">
        <v>330</v>
      </c>
      <c r="C300" s="4">
        <v>43.1</v>
      </c>
      <c r="D300" s="4">
        <v>56.8</v>
      </c>
      <c r="E300" s="4">
        <v>14.1</v>
      </c>
      <c r="F300" s="4">
        <v>1466</v>
      </c>
      <c r="G300" s="18">
        <v>45245</v>
      </c>
    </row>
    <row r="301" spans="1:8" ht="12.75" customHeight="1">
      <c r="A301" s="4" t="s">
        <v>331</v>
      </c>
      <c r="C301" s="4">
        <v>40.700000000000003</v>
      </c>
      <c r="D301" s="4">
        <v>51.2</v>
      </c>
      <c r="E301" s="4">
        <v>12.1</v>
      </c>
      <c r="F301" s="4">
        <v>924</v>
      </c>
      <c r="G301" s="18">
        <v>45245</v>
      </c>
    </row>
    <row r="302" spans="1:8" ht="12.75" customHeight="1">
      <c r="A302" s="4" t="s">
        <v>332</v>
      </c>
      <c r="C302" s="4">
        <v>39.299999999999997</v>
      </c>
      <c r="D302" s="4">
        <v>51.5</v>
      </c>
      <c r="E302" s="4">
        <v>14.5</v>
      </c>
      <c r="F302" s="4">
        <v>1280</v>
      </c>
      <c r="G302" s="18">
        <v>45245</v>
      </c>
    </row>
    <row r="303" spans="1:8" ht="12.75" customHeight="1">
      <c r="A303" s="4" t="s">
        <v>333</v>
      </c>
      <c r="C303" s="4">
        <v>42.5</v>
      </c>
      <c r="D303" s="4">
        <v>52.1</v>
      </c>
      <c r="E303" s="4">
        <v>13.1</v>
      </c>
      <c r="F303" s="4">
        <v>1029</v>
      </c>
      <c r="G303" s="18">
        <v>45245</v>
      </c>
    </row>
    <row r="304" spans="1:8" ht="12.75" customHeight="1">
      <c r="A304" s="4" t="s">
        <v>334</v>
      </c>
      <c r="C304" s="4">
        <v>27.9</v>
      </c>
      <c r="D304" s="4">
        <v>37.5</v>
      </c>
      <c r="E304" s="4">
        <v>10.4</v>
      </c>
      <c r="F304" s="4">
        <v>530</v>
      </c>
      <c r="G304" s="18">
        <v>45245</v>
      </c>
    </row>
    <row r="305" spans="1:7" ht="12.75" customHeight="1">
      <c r="A305" s="4" t="s">
        <v>335</v>
      </c>
      <c r="C305" s="4">
        <v>40.6</v>
      </c>
      <c r="D305" s="4">
        <v>51</v>
      </c>
      <c r="E305" s="4">
        <v>12.6</v>
      </c>
      <c r="F305" s="4">
        <v>1206</v>
      </c>
      <c r="G305" s="18">
        <v>45245</v>
      </c>
    </row>
    <row r="306" spans="1:7" ht="12.75" customHeight="1">
      <c r="A306" s="4" t="s">
        <v>336</v>
      </c>
      <c r="C306" s="4">
        <v>38.299999999999997</v>
      </c>
      <c r="D306" s="4">
        <v>47.4</v>
      </c>
      <c r="E306" s="4">
        <v>11.4</v>
      </c>
      <c r="F306" s="4">
        <v>794</v>
      </c>
      <c r="G306" s="18">
        <v>45245</v>
      </c>
    </row>
    <row r="307" spans="1:7" ht="12.75" customHeight="1">
      <c r="A307" s="4" t="s">
        <v>337</v>
      </c>
      <c r="C307" s="4">
        <v>29.6</v>
      </c>
      <c r="D307" s="4">
        <v>38.4</v>
      </c>
      <c r="E307" s="4">
        <v>8.5</v>
      </c>
      <c r="F307" s="4">
        <v>399</v>
      </c>
      <c r="G307" s="18">
        <v>45245</v>
      </c>
    </row>
    <row r="308" spans="1:7" ht="12.75" customHeight="1">
      <c r="A308" s="4" t="s">
        <v>338</v>
      </c>
      <c r="B308" s="4" t="s">
        <v>18</v>
      </c>
      <c r="C308" s="4">
        <v>30.7</v>
      </c>
      <c r="D308" s="4">
        <v>39.9</v>
      </c>
      <c r="E308" s="4">
        <v>9.8000000000000007</v>
      </c>
      <c r="F308" s="4">
        <v>447</v>
      </c>
      <c r="G308" s="18">
        <v>45245</v>
      </c>
    </row>
    <row r="309" spans="1:7" ht="12.75" customHeight="1">
      <c r="A309" s="4" t="s">
        <v>339</v>
      </c>
      <c r="B309" s="4" t="s">
        <v>18</v>
      </c>
      <c r="C309" s="4">
        <v>30</v>
      </c>
      <c r="D309" s="4">
        <v>38.6</v>
      </c>
      <c r="E309" s="4">
        <v>10.4</v>
      </c>
      <c r="F309" s="4">
        <v>457</v>
      </c>
      <c r="G309" s="18">
        <v>45245</v>
      </c>
    </row>
    <row r="310" spans="1:7" ht="12.75" customHeight="1">
      <c r="A310" s="4" t="s">
        <v>340</v>
      </c>
      <c r="B310" s="4" t="s">
        <v>18</v>
      </c>
      <c r="C310" s="4">
        <v>26.4</v>
      </c>
      <c r="D310" s="4">
        <v>35.299999999999997</v>
      </c>
      <c r="E310" s="4">
        <v>9.1</v>
      </c>
      <c r="F310" s="4">
        <v>303</v>
      </c>
      <c r="G310" s="18">
        <v>45245</v>
      </c>
    </row>
    <row r="311" spans="1:7" ht="12.75" customHeight="1">
      <c r="A311" s="4" t="s">
        <v>341</v>
      </c>
      <c r="C311" s="4">
        <v>35.1</v>
      </c>
      <c r="D311" s="4">
        <v>44.6</v>
      </c>
      <c r="E311" s="4">
        <v>10.5</v>
      </c>
      <c r="F311" s="4">
        <v>539</v>
      </c>
      <c r="G311" s="18">
        <v>45245</v>
      </c>
    </row>
    <row r="312" spans="1:7" ht="12.75" customHeight="1">
      <c r="A312" s="4" t="s">
        <v>342</v>
      </c>
      <c r="C312" s="4">
        <v>27</v>
      </c>
      <c r="D312" s="4">
        <v>34.799999999999997</v>
      </c>
      <c r="E312" s="4">
        <v>6.9</v>
      </c>
      <c r="F312" s="4">
        <v>241</v>
      </c>
      <c r="G312" s="18">
        <v>45245</v>
      </c>
    </row>
    <row r="313" spans="1:7" ht="12.75" customHeight="1">
      <c r="A313" s="4" t="s">
        <v>343</v>
      </c>
      <c r="C313" s="4">
        <v>26.4</v>
      </c>
      <c r="D313" s="4">
        <v>33.299999999999997</v>
      </c>
      <c r="E313" s="4">
        <v>8.8000000000000007</v>
      </c>
      <c r="F313" s="4">
        <v>294</v>
      </c>
      <c r="G313" s="18">
        <v>45245</v>
      </c>
    </row>
    <row r="314" spans="1:7" ht="12.75" customHeight="1">
      <c r="A314" s="4" t="s">
        <v>344</v>
      </c>
      <c r="C314" s="4">
        <v>24.7</v>
      </c>
      <c r="D314" s="4">
        <v>31.9</v>
      </c>
      <c r="E314" s="4">
        <v>6.5</v>
      </c>
      <c r="F314" s="4">
        <v>266</v>
      </c>
      <c r="G314" s="18">
        <v>45245</v>
      </c>
    </row>
    <row r="315" spans="1:7" ht="12.75" customHeight="1">
      <c r="A315" s="4" t="s">
        <v>345</v>
      </c>
      <c r="C315" s="4">
        <v>20.6</v>
      </c>
      <c r="D315" s="4">
        <v>23.6</v>
      </c>
      <c r="E315" s="4">
        <v>5.8</v>
      </c>
      <c r="F315" s="4">
        <v>154</v>
      </c>
      <c r="G315" s="18">
        <v>45245</v>
      </c>
    </row>
    <row r="316" spans="1:7" ht="12.75" customHeight="1">
      <c r="A316" s="4" t="s">
        <v>346</v>
      </c>
      <c r="C316" s="4">
        <v>14.4</v>
      </c>
      <c r="D316" s="4">
        <v>16.600000000000001</v>
      </c>
      <c r="E316" s="4">
        <v>4.2</v>
      </c>
      <c r="F316" s="4">
        <v>52</v>
      </c>
      <c r="G316" s="18">
        <v>45245</v>
      </c>
    </row>
    <row r="317" spans="1:7" ht="12.75" customHeight="1">
      <c r="A317" s="18" t="s">
        <v>347</v>
      </c>
      <c r="C317" s="4">
        <v>37.5</v>
      </c>
      <c r="D317" s="4">
        <v>49.8</v>
      </c>
      <c r="E317" s="4">
        <v>14.4</v>
      </c>
      <c r="F317" s="4">
        <v>1361</v>
      </c>
      <c r="G317" s="18">
        <v>45245</v>
      </c>
    </row>
    <row r="318" spans="1:7" ht="12.75" customHeight="1">
      <c r="A318" s="18" t="s">
        <v>348</v>
      </c>
      <c r="C318" s="4">
        <v>37.6</v>
      </c>
      <c r="D318" s="4">
        <v>48.2</v>
      </c>
      <c r="E318" s="4">
        <v>11.2</v>
      </c>
      <c r="F318" s="4">
        <v>959</v>
      </c>
      <c r="G318" s="18">
        <v>45245</v>
      </c>
    </row>
    <row r="319" spans="1:7" ht="12.75" customHeight="1">
      <c r="A319" s="18" t="s">
        <v>349</v>
      </c>
      <c r="C319" s="4">
        <v>39.299999999999997</v>
      </c>
      <c r="D319" s="4">
        <v>49.5</v>
      </c>
      <c r="E319" s="4">
        <v>11.4</v>
      </c>
      <c r="F319" s="4">
        <v>1041</v>
      </c>
      <c r="G319" s="18">
        <v>45245</v>
      </c>
    </row>
    <row r="320" spans="1:7" ht="12.75" customHeight="1">
      <c r="A320" s="18" t="s">
        <v>350</v>
      </c>
      <c r="C320" s="4">
        <v>39.200000000000003</v>
      </c>
      <c r="D320" s="4">
        <v>49.9</v>
      </c>
      <c r="E320" s="4">
        <v>11.6</v>
      </c>
      <c r="F320" s="4">
        <v>1143</v>
      </c>
      <c r="G320" s="18">
        <v>45245</v>
      </c>
    </row>
    <row r="321" spans="1:7" ht="12.75" customHeight="1">
      <c r="A321" s="18" t="s">
        <v>351</v>
      </c>
      <c r="C321" s="4">
        <v>22.9</v>
      </c>
      <c r="D321" s="4">
        <v>28.6</v>
      </c>
      <c r="E321" s="4">
        <v>6.5</v>
      </c>
      <c r="F321" s="4">
        <v>186</v>
      </c>
      <c r="G321" s="18">
        <v>45245</v>
      </c>
    </row>
    <row r="322" spans="1:7" ht="12.75" customHeight="1">
      <c r="A322" s="18" t="s">
        <v>352</v>
      </c>
      <c r="C322" s="4">
        <v>32.4</v>
      </c>
      <c r="D322" s="4">
        <v>42.8</v>
      </c>
      <c r="E322" s="4">
        <v>9.3000000000000007</v>
      </c>
      <c r="F322" s="4">
        <v>587</v>
      </c>
      <c r="G322" s="18">
        <v>45245</v>
      </c>
    </row>
    <row r="323" spans="1:7" ht="12.75" customHeight="1">
      <c r="A323" s="18" t="s">
        <v>353</v>
      </c>
      <c r="C323" s="4">
        <v>24.7</v>
      </c>
      <c r="D323" s="4">
        <v>30.1</v>
      </c>
      <c r="E323" s="4">
        <v>7.4</v>
      </c>
      <c r="F323" s="4">
        <v>244</v>
      </c>
      <c r="G323" s="18">
        <v>45245</v>
      </c>
    </row>
    <row r="324" spans="1:7" ht="12.75" customHeight="1">
      <c r="A324" s="18" t="s">
        <v>354</v>
      </c>
      <c r="C324" s="4">
        <v>34.6</v>
      </c>
      <c r="D324" s="4">
        <v>46.4</v>
      </c>
      <c r="E324" s="4">
        <v>11.7</v>
      </c>
      <c r="F324" s="4">
        <v>869</v>
      </c>
      <c r="G324" s="18">
        <v>45245</v>
      </c>
    </row>
    <row r="325" spans="1:7" ht="12.75" customHeight="1">
      <c r="A325" s="4" t="s">
        <v>355</v>
      </c>
      <c r="C325" s="4">
        <v>21.4</v>
      </c>
      <c r="D325" s="4">
        <v>29.4</v>
      </c>
      <c r="E325" s="4">
        <v>5.9</v>
      </c>
      <c r="F325" s="4">
        <v>177</v>
      </c>
      <c r="G325" s="18">
        <v>45245</v>
      </c>
    </row>
    <row r="326" spans="1:7" ht="12.75" customHeight="1">
      <c r="A326" s="4" t="s">
        <v>356</v>
      </c>
      <c r="C326" s="4">
        <v>40.5</v>
      </c>
      <c r="D326" s="4">
        <v>50.7</v>
      </c>
      <c r="E326" s="4">
        <v>11.4</v>
      </c>
      <c r="F326" s="4">
        <v>905</v>
      </c>
      <c r="G326" s="18">
        <v>45245</v>
      </c>
    </row>
    <row r="327" spans="1:7" ht="12.75" customHeight="1">
      <c r="A327" s="4" t="s">
        <v>357</v>
      </c>
      <c r="C327" s="4">
        <v>12.9</v>
      </c>
      <c r="D327" s="4">
        <v>14.7</v>
      </c>
      <c r="E327" s="4">
        <v>3.6</v>
      </c>
      <c r="F327" s="4">
        <v>38</v>
      </c>
      <c r="G327" s="18">
        <v>45245</v>
      </c>
    </row>
    <row r="328" spans="1:7" ht="12.75" customHeight="1">
      <c r="A328" s="4" t="s">
        <v>358</v>
      </c>
      <c r="C328" s="4">
        <v>39.5</v>
      </c>
      <c r="D328" s="4">
        <v>44.8</v>
      </c>
      <c r="E328" s="4">
        <v>10</v>
      </c>
      <c r="F328" s="4">
        <v>694</v>
      </c>
      <c r="G328" s="18">
        <v>45245</v>
      </c>
    </row>
    <row r="329" spans="1:7" ht="12.75" customHeight="1">
      <c r="A329" s="4" t="s">
        <v>359</v>
      </c>
      <c r="C329" s="4">
        <v>22.8</v>
      </c>
      <c r="D329" s="4">
        <v>28</v>
      </c>
      <c r="E329" s="4">
        <v>6.4</v>
      </c>
      <c r="F329" s="4">
        <v>206</v>
      </c>
      <c r="G329" s="18">
        <v>45245</v>
      </c>
    </row>
    <row r="330" spans="1:7" ht="12.75" customHeight="1">
      <c r="A330" s="4" t="s">
        <v>360</v>
      </c>
      <c r="C330" s="4">
        <v>31.5</v>
      </c>
      <c r="D330" s="4">
        <v>36.200000000000003</v>
      </c>
      <c r="E330" s="4">
        <v>8.6999999999999993</v>
      </c>
      <c r="F330" s="4">
        <v>482</v>
      </c>
      <c r="G330" s="18">
        <v>45245</v>
      </c>
    </row>
    <row r="331" spans="1:7" ht="12.75" customHeight="1">
      <c r="A331" s="4" t="s">
        <v>361</v>
      </c>
      <c r="C331" s="4">
        <v>33.200000000000003</v>
      </c>
      <c r="D331" s="4">
        <v>41.7</v>
      </c>
      <c r="E331" s="4">
        <v>8.5</v>
      </c>
      <c r="F331" s="4">
        <v>534</v>
      </c>
      <c r="G331" s="18">
        <v>45245</v>
      </c>
    </row>
    <row r="332" spans="1:7" ht="12.75" customHeight="1">
      <c r="A332" s="4" t="s">
        <v>362</v>
      </c>
      <c r="C332" s="4">
        <v>21.1</v>
      </c>
      <c r="D332" s="4">
        <v>25.8</v>
      </c>
      <c r="E332" s="4">
        <v>6.1</v>
      </c>
      <c r="F332" s="4">
        <v>168</v>
      </c>
      <c r="G332" s="18">
        <v>45245</v>
      </c>
    </row>
    <row r="333" spans="1:7" ht="12.75" customHeight="1">
      <c r="A333" s="4" t="s">
        <v>363</v>
      </c>
      <c r="C333" s="4">
        <v>26.9</v>
      </c>
      <c r="D333" s="4">
        <v>34.4</v>
      </c>
      <c r="E333" s="4">
        <v>8</v>
      </c>
      <c r="F333" s="4">
        <v>336</v>
      </c>
      <c r="G333" s="18">
        <v>45245</v>
      </c>
    </row>
    <row r="334" spans="1:7" ht="12.75" customHeight="1">
      <c r="A334" s="4" t="s">
        <v>364</v>
      </c>
      <c r="C334" s="4">
        <v>22</v>
      </c>
      <c r="D334" s="4">
        <v>26</v>
      </c>
      <c r="E334" s="4">
        <v>6.3</v>
      </c>
      <c r="F334" s="4">
        <v>174</v>
      </c>
      <c r="G334" s="18">
        <v>45245</v>
      </c>
    </row>
    <row r="335" spans="1:7" ht="12.75" customHeight="1">
      <c r="A335" s="4" t="s">
        <v>365</v>
      </c>
      <c r="C335" s="4">
        <v>24.7</v>
      </c>
      <c r="D335" s="4">
        <v>32.299999999999997</v>
      </c>
      <c r="E335" s="4">
        <v>7.4</v>
      </c>
      <c r="F335" s="4">
        <v>297</v>
      </c>
      <c r="G335" s="18">
        <v>45245</v>
      </c>
    </row>
    <row r="336" spans="1:7" ht="12.75" customHeight="1">
      <c r="A336" s="4" t="s">
        <v>366</v>
      </c>
      <c r="C336" s="4">
        <v>29.6</v>
      </c>
      <c r="D336" s="4">
        <v>34.700000000000003</v>
      </c>
      <c r="E336" s="4">
        <v>7.6</v>
      </c>
      <c r="F336" s="4">
        <v>361</v>
      </c>
      <c r="G336" s="18">
        <v>45245</v>
      </c>
    </row>
    <row r="337" spans="1:7" ht="12.75" customHeight="1">
      <c r="A337" s="4" t="s">
        <v>367</v>
      </c>
      <c r="C337" s="4">
        <v>19.3</v>
      </c>
      <c r="D337" s="4">
        <v>22.4</v>
      </c>
      <c r="E337" s="4">
        <v>5.4</v>
      </c>
      <c r="F337" s="4">
        <v>109</v>
      </c>
      <c r="G337" s="18">
        <v>45245</v>
      </c>
    </row>
    <row r="338" spans="1:7" ht="12.75" customHeight="1">
      <c r="A338" s="4" t="s">
        <v>368</v>
      </c>
      <c r="C338" s="4">
        <v>23.8</v>
      </c>
      <c r="D338" s="4">
        <v>28.8</v>
      </c>
      <c r="E338" s="4">
        <v>6.9</v>
      </c>
      <c r="F338" s="4">
        <v>188</v>
      </c>
      <c r="G338" s="18">
        <v>45245</v>
      </c>
    </row>
    <row r="339" spans="1:7" ht="12.75" customHeight="1">
      <c r="A339" s="4" t="s">
        <v>369</v>
      </c>
      <c r="C339" s="4">
        <v>26.6</v>
      </c>
      <c r="D339" s="4">
        <v>32.299999999999997</v>
      </c>
      <c r="E339" s="4">
        <v>7.7</v>
      </c>
      <c r="F339" s="4">
        <v>313</v>
      </c>
      <c r="G339" s="18">
        <v>45245</v>
      </c>
    </row>
    <row r="340" spans="1:7" ht="12.75" customHeight="1">
      <c r="A340" s="4" t="s">
        <v>370</v>
      </c>
      <c r="C340" s="4">
        <v>36.9</v>
      </c>
      <c r="D340" s="4">
        <v>44.4</v>
      </c>
      <c r="E340" s="4">
        <v>9</v>
      </c>
      <c r="F340" s="4">
        <v>743</v>
      </c>
      <c r="G340" s="18">
        <v>45245</v>
      </c>
    </row>
    <row r="341" spans="1:7" ht="12.75" customHeight="1">
      <c r="A341" s="4" t="s">
        <v>371</v>
      </c>
      <c r="C341" s="4">
        <v>23.1</v>
      </c>
      <c r="D341" s="4">
        <v>29.1</v>
      </c>
      <c r="E341" s="4">
        <v>6.2</v>
      </c>
      <c r="F341" s="4">
        <v>233</v>
      </c>
      <c r="G341" s="18">
        <v>45245</v>
      </c>
    </row>
    <row r="342" spans="1:7" ht="12.75" customHeight="1">
      <c r="A342" s="4" t="s">
        <v>372</v>
      </c>
      <c r="C342" s="4">
        <v>32.6</v>
      </c>
      <c r="D342" s="4">
        <v>41.9</v>
      </c>
      <c r="E342" s="4">
        <v>8.4</v>
      </c>
      <c r="F342" s="4">
        <v>602</v>
      </c>
      <c r="G342" s="18">
        <v>45245</v>
      </c>
    </row>
    <row r="343" spans="1:7" ht="12.75" customHeight="1">
      <c r="A343" s="4" t="s">
        <v>373</v>
      </c>
      <c r="C343" s="4">
        <v>39.4</v>
      </c>
      <c r="D343" s="4">
        <v>50.4</v>
      </c>
      <c r="E343" s="4">
        <v>10.8</v>
      </c>
      <c r="F343" s="4">
        <v>1004</v>
      </c>
      <c r="G343" s="18">
        <v>45245</v>
      </c>
    </row>
    <row r="344" spans="1:7" ht="12.75" customHeight="1">
      <c r="A344" s="4" t="s">
        <v>374</v>
      </c>
      <c r="C344" s="4">
        <v>24</v>
      </c>
      <c r="D344" s="4">
        <v>29.8</v>
      </c>
      <c r="E344" s="4">
        <v>7.1</v>
      </c>
      <c r="F344" s="4">
        <v>255</v>
      </c>
      <c r="G344" s="18">
        <v>45245</v>
      </c>
    </row>
    <row r="345" spans="1:7" ht="12.75" customHeight="1">
      <c r="A345" s="4" t="s">
        <v>375</v>
      </c>
      <c r="C345" s="4">
        <v>11.2</v>
      </c>
      <c r="D345" s="4">
        <v>17.8</v>
      </c>
      <c r="E345" s="4">
        <v>4.5999999999999996</v>
      </c>
      <c r="F345" s="4">
        <v>68</v>
      </c>
      <c r="G345" s="18">
        <v>45245</v>
      </c>
    </row>
    <row r="346" spans="1:7" ht="12.75" customHeight="1">
      <c r="A346" s="4" t="s">
        <v>376</v>
      </c>
      <c r="C346" s="4">
        <v>23.6</v>
      </c>
      <c r="D346" s="4">
        <v>27.7</v>
      </c>
      <c r="E346" s="4">
        <v>6.5</v>
      </c>
      <c r="F346" s="4">
        <v>224</v>
      </c>
      <c r="G346" s="18">
        <v>45245</v>
      </c>
    </row>
    <row r="347" spans="1:7" ht="12.75" customHeight="1">
      <c r="A347" s="4" t="s">
        <v>377</v>
      </c>
      <c r="C347" s="4">
        <v>16.3</v>
      </c>
      <c r="D347" s="4">
        <v>19.100000000000001</v>
      </c>
      <c r="E347" s="4">
        <v>4.8</v>
      </c>
      <c r="F347" s="4">
        <v>79</v>
      </c>
      <c r="G347" s="18">
        <v>45245</v>
      </c>
    </row>
    <row r="348" spans="1:7" ht="12.75" customHeight="1">
      <c r="A348" s="4" t="s">
        <v>378</v>
      </c>
      <c r="C348" s="4">
        <v>23.2</v>
      </c>
      <c r="D348" s="4">
        <v>33.5</v>
      </c>
      <c r="E348" s="4">
        <v>6.8</v>
      </c>
      <c r="F348" s="4">
        <v>234</v>
      </c>
      <c r="G348" s="18">
        <v>45245</v>
      </c>
    </row>
    <row r="349" spans="1:7" ht="12.75" customHeight="1">
      <c r="A349" s="4" t="s">
        <v>379</v>
      </c>
      <c r="C349" s="4">
        <v>25.1</v>
      </c>
      <c r="D349" s="4">
        <v>29.6</v>
      </c>
      <c r="E349" s="4">
        <v>7.4</v>
      </c>
      <c r="F349" s="4">
        <v>295</v>
      </c>
      <c r="G349" s="18">
        <v>45245</v>
      </c>
    </row>
    <row r="350" spans="1:7" ht="12.75" customHeight="1">
      <c r="A350" s="4" t="s">
        <v>380</v>
      </c>
      <c r="C350" s="4">
        <v>22.1</v>
      </c>
      <c r="D350" s="4">
        <v>27.1</v>
      </c>
      <c r="E350" s="4">
        <v>6.4</v>
      </c>
      <c r="F350" s="4">
        <v>201</v>
      </c>
      <c r="G350" s="18">
        <v>45245</v>
      </c>
    </row>
    <row r="351" spans="1:7" ht="12.75" customHeight="1">
      <c r="A351" s="4" t="s">
        <v>381</v>
      </c>
      <c r="C351" s="4">
        <v>22.3</v>
      </c>
      <c r="D351" s="4">
        <v>26.5</v>
      </c>
      <c r="E351" s="4">
        <v>5.8</v>
      </c>
      <c r="F351" s="4">
        <v>150</v>
      </c>
      <c r="G351" s="18">
        <v>45245</v>
      </c>
    </row>
    <row r="352" spans="1:7" ht="12.75" customHeight="1">
      <c r="A352" s="4" t="s">
        <v>382</v>
      </c>
      <c r="C352" s="4">
        <v>18.600000000000001</v>
      </c>
      <c r="D352" s="4">
        <v>23.1</v>
      </c>
      <c r="E352" s="4">
        <v>5</v>
      </c>
      <c r="F352" s="4">
        <v>112</v>
      </c>
      <c r="G352" s="18">
        <v>45245</v>
      </c>
    </row>
    <row r="353" spans="1:7" ht="12.75" customHeight="1">
      <c r="A353" s="4" t="s">
        <v>383</v>
      </c>
      <c r="C353" s="4">
        <v>23.1</v>
      </c>
      <c r="D353" s="4">
        <v>28.8</v>
      </c>
      <c r="E353" s="4">
        <v>6.7</v>
      </c>
      <c r="F353" s="4">
        <v>238</v>
      </c>
      <c r="G353" s="18">
        <v>45245</v>
      </c>
    </row>
    <row r="354" spans="1:7" ht="12.75" customHeight="1">
      <c r="A354" s="4" t="s">
        <v>384</v>
      </c>
      <c r="C354" s="4">
        <v>19.7</v>
      </c>
      <c r="D354" s="4">
        <v>25.4</v>
      </c>
      <c r="E354" s="4">
        <v>4.5</v>
      </c>
      <c r="F354" s="4">
        <v>115</v>
      </c>
      <c r="G354" s="18">
        <v>45245</v>
      </c>
    </row>
    <row r="355" spans="1:7" ht="12.75" customHeight="1">
      <c r="A355" s="4" t="s">
        <v>385</v>
      </c>
      <c r="C355" s="4">
        <v>22.9</v>
      </c>
      <c r="D355" s="4">
        <v>28</v>
      </c>
      <c r="E355" s="4">
        <v>5.8</v>
      </c>
      <c r="F355" s="4">
        <v>169</v>
      </c>
      <c r="G355" s="18">
        <v>45245</v>
      </c>
    </row>
    <row r="356" spans="1:7" ht="12.75" customHeight="1">
      <c r="A356" s="4" t="s">
        <v>386</v>
      </c>
      <c r="C356" s="4">
        <v>25.2</v>
      </c>
      <c r="D356" s="4">
        <v>30.9</v>
      </c>
      <c r="E356" s="4">
        <v>6.4</v>
      </c>
      <c r="F356" s="4">
        <v>296</v>
      </c>
      <c r="G356" s="18">
        <v>45245</v>
      </c>
    </row>
    <row r="357" spans="1:7" ht="12.75" customHeight="1">
      <c r="A357" s="4" t="s">
        <v>387</v>
      </c>
      <c r="C357" s="4">
        <v>23.1</v>
      </c>
      <c r="D357" s="4">
        <v>33.799999999999997</v>
      </c>
      <c r="E357" s="4">
        <v>9.4</v>
      </c>
      <c r="F357" s="4">
        <v>672</v>
      </c>
      <c r="G357" s="18">
        <v>45245</v>
      </c>
    </row>
    <row r="358" spans="1:7" ht="12.75" customHeight="1">
      <c r="A358" s="4" t="s">
        <v>388</v>
      </c>
      <c r="C358" s="4">
        <v>19.7</v>
      </c>
      <c r="D358" s="4">
        <v>25.4</v>
      </c>
      <c r="E358" s="4">
        <v>4.5</v>
      </c>
      <c r="F358" s="4">
        <v>115</v>
      </c>
      <c r="G358" s="18">
        <v>45245</v>
      </c>
    </row>
    <row r="359" spans="1:7" ht="12.75" customHeight="1">
      <c r="A359" s="4" t="s">
        <v>389</v>
      </c>
      <c r="C359" s="4">
        <v>22.7</v>
      </c>
      <c r="D359" s="4">
        <v>27.6</v>
      </c>
      <c r="E359" s="4">
        <v>5.0999999999999996</v>
      </c>
      <c r="F359" s="4">
        <v>169</v>
      </c>
      <c r="G359" s="18">
        <v>45245</v>
      </c>
    </row>
    <row r="360" spans="1:7" ht="12.75" customHeight="1">
      <c r="A360" s="4" t="s">
        <v>390</v>
      </c>
      <c r="C360" s="4">
        <v>21</v>
      </c>
      <c r="D360" s="4">
        <v>27.1</v>
      </c>
      <c r="E360" s="4">
        <v>4.5999999999999996</v>
      </c>
      <c r="F360" s="4">
        <v>127</v>
      </c>
      <c r="G360" s="18">
        <v>45245</v>
      </c>
    </row>
    <row r="361" spans="1:7" ht="12.75" customHeight="1">
      <c r="A361" s="4" t="s">
        <v>391</v>
      </c>
      <c r="C361" s="4">
        <v>19.7</v>
      </c>
      <c r="D361" s="4">
        <v>25.6</v>
      </c>
      <c r="E361" s="4">
        <v>4.7</v>
      </c>
      <c r="F361" s="4">
        <v>121</v>
      </c>
      <c r="G361" s="18">
        <v>45245</v>
      </c>
    </row>
    <row r="362" spans="1:7" ht="12.75" customHeight="1">
      <c r="A362" s="4" t="s">
        <v>392</v>
      </c>
      <c r="C362" s="4">
        <v>24</v>
      </c>
      <c r="D362" s="4">
        <v>31.3</v>
      </c>
      <c r="E362" s="4">
        <v>6.2</v>
      </c>
      <c r="F362" s="4">
        <v>223</v>
      </c>
      <c r="G362" s="18">
        <v>45245</v>
      </c>
    </row>
    <row r="363" spans="1:7" ht="12.75" customHeight="1">
      <c r="A363" s="4" t="s">
        <v>393</v>
      </c>
      <c r="C363" s="4">
        <v>20.8</v>
      </c>
      <c r="D363" s="4">
        <v>25.7</v>
      </c>
      <c r="E363" s="4">
        <v>6.3</v>
      </c>
      <c r="F363" s="4">
        <v>179</v>
      </c>
      <c r="G363" s="18">
        <v>45245</v>
      </c>
    </row>
    <row r="364" spans="1:7" ht="12.75" customHeight="1">
      <c r="A364" s="4" t="s">
        <v>394</v>
      </c>
      <c r="C364" s="4">
        <v>33.799999999999997</v>
      </c>
      <c r="D364" s="4">
        <v>43.1</v>
      </c>
      <c r="E364" s="4">
        <v>9</v>
      </c>
      <c r="F364" s="4">
        <v>641</v>
      </c>
      <c r="G364" s="18">
        <v>45245</v>
      </c>
    </row>
    <row r="365" spans="1:7" ht="12.75" customHeight="1">
      <c r="A365" s="4" t="s">
        <v>395</v>
      </c>
      <c r="C365" s="4">
        <v>23.9</v>
      </c>
      <c r="D365" s="4">
        <v>29.4</v>
      </c>
      <c r="E365" s="4">
        <v>5.6</v>
      </c>
      <c r="F365" s="4">
        <v>237</v>
      </c>
      <c r="G365" s="18">
        <v>45245</v>
      </c>
    </row>
    <row r="366" spans="1:7" ht="12.75" customHeight="1">
      <c r="A366" s="4" t="s">
        <v>396</v>
      </c>
      <c r="C366" s="4">
        <v>22.9</v>
      </c>
      <c r="D366" s="4">
        <v>29.2</v>
      </c>
      <c r="E366" s="4">
        <v>5.8</v>
      </c>
      <c r="F366" s="4">
        <v>166</v>
      </c>
      <c r="G366" s="18">
        <v>45245</v>
      </c>
    </row>
    <row r="367" spans="1:7" ht="12.75" customHeight="1">
      <c r="A367" s="4" t="s">
        <v>397</v>
      </c>
      <c r="B367" s="4" t="s">
        <v>18</v>
      </c>
      <c r="C367" s="4">
        <v>26.4</v>
      </c>
      <c r="D367" s="4">
        <v>35.299999999999997</v>
      </c>
      <c r="E367" s="4">
        <v>8.3000000000000007</v>
      </c>
      <c r="F367" s="4">
        <v>363</v>
      </c>
      <c r="G367" s="18">
        <v>45245</v>
      </c>
    </row>
    <row r="368" spans="1:7" ht="12.75" customHeight="1">
      <c r="A368" s="4" t="s">
        <v>398</v>
      </c>
      <c r="C368" s="4">
        <v>12.9</v>
      </c>
      <c r="D368" s="4">
        <v>17</v>
      </c>
      <c r="E368" s="4">
        <v>2.4</v>
      </c>
      <c r="F368" s="4">
        <v>36</v>
      </c>
      <c r="G368" s="18">
        <v>45245</v>
      </c>
    </row>
    <row r="369" spans="1:7" ht="12.75" customHeight="1">
      <c r="A369" s="4" t="s">
        <v>399</v>
      </c>
      <c r="C369" s="4">
        <v>17.5</v>
      </c>
      <c r="D369" s="4">
        <v>22.1</v>
      </c>
      <c r="E369" s="4">
        <v>3.9</v>
      </c>
      <c r="F369" s="4">
        <v>73</v>
      </c>
      <c r="G369" s="18">
        <v>45245</v>
      </c>
    </row>
    <row r="370" spans="1:7" ht="12.75" customHeight="1">
      <c r="A370" s="4" t="s">
        <v>400</v>
      </c>
      <c r="C370" s="4">
        <v>23.8</v>
      </c>
      <c r="D370" s="4">
        <v>31</v>
      </c>
      <c r="E370" s="4">
        <v>6.7</v>
      </c>
      <c r="F370" s="4">
        <v>281</v>
      </c>
      <c r="G370" s="18">
        <v>45245</v>
      </c>
    </row>
    <row r="371" spans="1:7" ht="12.75" customHeight="1">
      <c r="A371" s="4" t="s">
        <v>401</v>
      </c>
      <c r="C371" s="4">
        <v>22.1</v>
      </c>
      <c r="D371" s="4">
        <v>27.1</v>
      </c>
      <c r="E371" s="4">
        <v>6.3</v>
      </c>
      <c r="F371" s="4">
        <v>204</v>
      </c>
      <c r="G371" s="18">
        <v>45245</v>
      </c>
    </row>
    <row r="372" spans="1:7" ht="12.75" customHeight="1">
      <c r="A372" s="4" t="s">
        <v>402</v>
      </c>
      <c r="C372" s="4">
        <v>20.2</v>
      </c>
      <c r="D372" s="4">
        <v>24.3</v>
      </c>
      <c r="E372" s="4">
        <v>5.5</v>
      </c>
      <c r="F372" s="4">
        <v>135</v>
      </c>
      <c r="G372" s="18">
        <v>45245</v>
      </c>
    </row>
    <row r="373" spans="1:7" ht="12.75" customHeight="1">
      <c r="A373" s="4" t="s">
        <v>403</v>
      </c>
      <c r="C373" s="4">
        <v>18.399999999999999</v>
      </c>
      <c r="D373" s="4">
        <v>22.9</v>
      </c>
      <c r="E373" s="4">
        <v>4.2</v>
      </c>
      <c r="F373" s="4">
        <v>92</v>
      </c>
      <c r="G373" s="18">
        <v>45245</v>
      </c>
    </row>
    <row r="374" spans="1:7" ht="12.75" customHeight="1">
      <c r="A374" s="4" t="s">
        <v>404</v>
      </c>
      <c r="C374" s="4">
        <v>20.3</v>
      </c>
      <c r="D374" s="4">
        <v>24.3</v>
      </c>
      <c r="E374" s="4">
        <v>5.0999999999999996</v>
      </c>
      <c r="F374" s="4">
        <v>156</v>
      </c>
      <c r="G374" s="18">
        <v>45245</v>
      </c>
    </row>
    <row r="375" spans="1:7" ht="12.75" customHeight="1">
      <c r="A375" s="4" t="s">
        <v>405</v>
      </c>
      <c r="C375" s="4">
        <v>23.2</v>
      </c>
      <c r="D375" s="4">
        <v>29.5</v>
      </c>
      <c r="E375" s="4">
        <v>6</v>
      </c>
      <c r="F375" s="4">
        <v>256</v>
      </c>
      <c r="G375" s="18">
        <v>45245</v>
      </c>
    </row>
    <row r="376" spans="1:7" ht="12.75" customHeight="1">
      <c r="A376" s="4" t="s">
        <v>406</v>
      </c>
      <c r="C376" s="4">
        <v>22.1</v>
      </c>
      <c r="D376" s="4">
        <v>26.8</v>
      </c>
      <c r="E376" s="4">
        <v>6.9</v>
      </c>
      <c r="F376" s="4">
        <v>206</v>
      </c>
      <c r="G376" s="18">
        <v>45245</v>
      </c>
    </row>
    <row r="377" spans="1:7" ht="12.75" customHeight="1">
      <c r="A377" s="4" t="s">
        <v>407</v>
      </c>
      <c r="C377" s="4">
        <v>11.2</v>
      </c>
      <c r="D377" s="4">
        <v>14.3</v>
      </c>
      <c r="E377" s="4">
        <v>2.2999999999999998</v>
      </c>
      <c r="F377" s="4">
        <v>29</v>
      </c>
      <c r="G377" s="18">
        <v>45245</v>
      </c>
    </row>
    <row r="378" spans="1:7" ht="12.75" customHeight="1">
      <c r="A378" s="4" t="s">
        <v>408</v>
      </c>
      <c r="C378" s="4">
        <v>21</v>
      </c>
      <c r="D378" s="4">
        <v>27.5</v>
      </c>
      <c r="E378" s="4">
        <v>3.6</v>
      </c>
      <c r="F378" s="4">
        <v>123</v>
      </c>
      <c r="G378" s="18">
        <v>45245</v>
      </c>
    </row>
    <row r="379" spans="1:7" ht="12.75" customHeight="1">
      <c r="A379" s="4" t="s">
        <v>409</v>
      </c>
      <c r="C379" s="4">
        <v>13.2</v>
      </c>
      <c r="D379" s="4">
        <v>16.399999999999999</v>
      </c>
      <c r="E379" s="4">
        <v>3.3</v>
      </c>
      <c r="F379" s="4">
        <v>41</v>
      </c>
      <c r="G379" s="18">
        <v>45245</v>
      </c>
    </row>
    <row r="380" spans="1:7" ht="12.75" customHeight="1">
      <c r="A380" s="4" t="s">
        <v>410</v>
      </c>
      <c r="C380" s="4">
        <v>22.2</v>
      </c>
      <c r="D380" s="4">
        <v>27.6</v>
      </c>
      <c r="E380" s="4">
        <v>6</v>
      </c>
      <c r="F380" s="4">
        <v>189</v>
      </c>
      <c r="G380" s="18">
        <v>45245</v>
      </c>
    </row>
    <row r="381" spans="1:7" ht="12.75" customHeight="1">
      <c r="A381" s="4" t="s">
        <v>411</v>
      </c>
      <c r="C381" s="4">
        <v>24.6</v>
      </c>
      <c r="D381" s="4">
        <v>31.3</v>
      </c>
      <c r="E381" s="4">
        <v>6.9</v>
      </c>
      <c r="F381" s="4">
        <v>238</v>
      </c>
      <c r="G381" s="18">
        <v>45245</v>
      </c>
    </row>
    <row r="382" spans="1:7" ht="12.75" customHeight="1">
      <c r="A382" s="4" t="s">
        <v>412</v>
      </c>
      <c r="C382" s="4">
        <v>23.4</v>
      </c>
      <c r="D382" s="4">
        <v>29</v>
      </c>
      <c r="E382" s="4">
        <v>6</v>
      </c>
      <c r="F382" s="4">
        <v>216</v>
      </c>
      <c r="G382" s="18">
        <v>45245</v>
      </c>
    </row>
    <row r="383" spans="1:7" ht="12.75" customHeight="1">
      <c r="A383" s="4" t="s">
        <v>413</v>
      </c>
      <c r="C383" s="4">
        <v>24.2</v>
      </c>
      <c r="D383" s="4">
        <v>29.5</v>
      </c>
      <c r="E383" s="4">
        <v>6.1</v>
      </c>
      <c r="F383" s="4">
        <v>211</v>
      </c>
      <c r="G383" s="18">
        <v>45245</v>
      </c>
    </row>
    <row r="384" spans="1:7" ht="12.75" customHeight="1">
      <c r="A384" s="4" t="s">
        <v>414</v>
      </c>
      <c r="C384" s="4">
        <v>20.100000000000001</v>
      </c>
      <c r="D384" s="4">
        <v>24.5</v>
      </c>
      <c r="E384" s="4">
        <v>4.9000000000000004</v>
      </c>
      <c r="F384" s="4">
        <v>213</v>
      </c>
      <c r="G384" s="18">
        <v>45245</v>
      </c>
    </row>
    <row r="385" spans="1:7" ht="12.75" customHeight="1">
      <c r="A385" s="4" t="s">
        <v>415</v>
      </c>
      <c r="C385" s="4">
        <v>21.7</v>
      </c>
      <c r="D385" s="4">
        <v>26.3</v>
      </c>
      <c r="E385" s="4">
        <v>6</v>
      </c>
      <c r="F385" s="4">
        <v>178</v>
      </c>
      <c r="G385" s="18">
        <v>45245</v>
      </c>
    </row>
    <row r="386" spans="1:7" ht="12.75" customHeight="1">
      <c r="A386" s="4" t="s">
        <v>416</v>
      </c>
      <c r="C386" s="4">
        <v>21.1</v>
      </c>
      <c r="D386" s="4">
        <v>25.3</v>
      </c>
      <c r="E386" s="4">
        <v>4.9000000000000004</v>
      </c>
      <c r="F386" s="4">
        <v>154</v>
      </c>
      <c r="G386" s="18">
        <v>45245</v>
      </c>
    </row>
    <row r="387" spans="1:7" ht="12.75" customHeight="1">
      <c r="A387" s="4" t="s">
        <v>417</v>
      </c>
      <c r="C387" s="4">
        <v>22.3</v>
      </c>
      <c r="D387" s="4">
        <v>26.2</v>
      </c>
      <c r="E387" s="4">
        <v>6.3</v>
      </c>
      <c r="F387" s="4">
        <v>186</v>
      </c>
      <c r="G387" s="18">
        <v>45245</v>
      </c>
    </row>
    <row r="388" spans="1:7" ht="12.75" customHeight="1">
      <c r="A388" s="4" t="s">
        <v>418</v>
      </c>
      <c r="C388" s="4">
        <v>19</v>
      </c>
      <c r="D388" s="4">
        <v>23.5</v>
      </c>
      <c r="E388" s="4">
        <v>5.0999999999999996</v>
      </c>
      <c r="F388" s="4">
        <v>112</v>
      </c>
      <c r="G388" s="18">
        <v>45245</v>
      </c>
    </row>
    <row r="389" spans="1:7" ht="12.75" customHeight="1">
      <c r="A389" s="4" t="s">
        <v>419</v>
      </c>
      <c r="C389" s="4">
        <v>22.3</v>
      </c>
      <c r="D389" s="4">
        <v>28.8</v>
      </c>
      <c r="E389" s="4">
        <v>6.5</v>
      </c>
      <c r="F389" s="4">
        <v>214</v>
      </c>
      <c r="G389" s="18">
        <v>45245</v>
      </c>
    </row>
    <row r="390" spans="1:7" ht="12.75" customHeight="1">
      <c r="A390" s="4" t="s">
        <v>420</v>
      </c>
      <c r="C390" s="4">
        <v>23.3</v>
      </c>
      <c r="D390" s="4">
        <v>28.4</v>
      </c>
      <c r="E390" s="4">
        <v>6.3</v>
      </c>
      <c r="F390" s="4">
        <v>176</v>
      </c>
      <c r="G390" s="18">
        <v>45245</v>
      </c>
    </row>
    <row r="391" spans="1:7" ht="12.75" customHeight="1">
      <c r="A391" s="4" t="s">
        <v>421</v>
      </c>
      <c r="C391" s="4">
        <v>17.600000000000001</v>
      </c>
      <c r="D391" s="4">
        <v>22.9</v>
      </c>
      <c r="E391" s="4">
        <v>5</v>
      </c>
      <c r="F391" s="4">
        <v>104</v>
      </c>
      <c r="G391" s="18">
        <v>45245</v>
      </c>
    </row>
    <row r="392" spans="1:7" ht="12.75" customHeight="1">
      <c r="A392" s="4" t="s">
        <v>422</v>
      </c>
      <c r="C392" s="4">
        <v>16.399999999999999</v>
      </c>
      <c r="D392" s="4">
        <v>19.899999999999999</v>
      </c>
      <c r="E392" s="4">
        <v>3.9</v>
      </c>
      <c r="F392" s="4">
        <v>60</v>
      </c>
      <c r="G392" s="18">
        <v>45245</v>
      </c>
    </row>
    <row r="393" spans="1:7" ht="12.75" customHeight="1">
      <c r="A393" s="4" t="s">
        <v>423</v>
      </c>
      <c r="C393" s="4">
        <v>23.1</v>
      </c>
      <c r="D393" s="4">
        <v>28.8</v>
      </c>
      <c r="E393" s="4">
        <v>6.2</v>
      </c>
      <c r="F393" s="4">
        <v>224</v>
      </c>
      <c r="G393" s="18">
        <v>45245</v>
      </c>
    </row>
    <row r="394" spans="1:7" ht="12.75" customHeight="1">
      <c r="A394" s="4" t="s">
        <v>424</v>
      </c>
      <c r="C394" s="4">
        <v>24</v>
      </c>
      <c r="D394" s="4">
        <v>30.5</v>
      </c>
      <c r="E394" s="4">
        <v>6.2</v>
      </c>
      <c r="F394" s="4">
        <v>238</v>
      </c>
      <c r="G394" s="18">
        <v>45245</v>
      </c>
    </row>
    <row r="395" spans="1:7" ht="12.75" customHeight="1">
      <c r="A395" s="4" t="s">
        <v>425</v>
      </c>
      <c r="C395" s="4">
        <v>21.6</v>
      </c>
      <c r="D395" s="4">
        <v>27</v>
      </c>
      <c r="E395" s="4">
        <v>5.7</v>
      </c>
      <c r="F395" s="4">
        <v>180</v>
      </c>
      <c r="G395" s="18">
        <v>45245</v>
      </c>
    </row>
    <row r="396" spans="1:7" ht="12.75" customHeight="1">
      <c r="A396" s="4" t="s">
        <v>426</v>
      </c>
      <c r="C396" s="4">
        <v>19.100000000000001</v>
      </c>
      <c r="D396" s="4">
        <v>23.8</v>
      </c>
      <c r="E396" s="4">
        <v>4.8</v>
      </c>
      <c r="F396" s="4">
        <v>125</v>
      </c>
      <c r="G396" s="18">
        <v>45245</v>
      </c>
    </row>
    <row r="397" spans="1:7" ht="12.75" customHeight="1">
      <c r="A397" s="4" t="s">
        <v>427</v>
      </c>
      <c r="C397" s="4">
        <v>17.7</v>
      </c>
      <c r="D397" s="4">
        <v>21.4</v>
      </c>
      <c r="E397" s="4">
        <v>4.3</v>
      </c>
      <c r="F397" s="4">
        <v>98</v>
      </c>
      <c r="G397" s="18">
        <v>45245</v>
      </c>
    </row>
    <row r="398" spans="1:7" ht="12.75" customHeight="1">
      <c r="A398" s="4" t="s">
        <v>428</v>
      </c>
      <c r="C398" s="4">
        <v>18.2</v>
      </c>
      <c r="D398" s="4">
        <v>22.5</v>
      </c>
      <c r="E398" s="4">
        <v>4.8</v>
      </c>
      <c r="F398" s="4">
        <v>109</v>
      </c>
      <c r="G398" s="18">
        <v>45245</v>
      </c>
    </row>
    <row r="399" spans="1:7" ht="12.75" customHeight="1">
      <c r="A399" s="4" t="s">
        <v>429</v>
      </c>
      <c r="C399" s="4">
        <v>17.5</v>
      </c>
      <c r="D399" s="4">
        <v>20.8</v>
      </c>
      <c r="E399" s="4">
        <v>4.5</v>
      </c>
      <c r="F399" s="4">
        <v>111</v>
      </c>
      <c r="G399" s="18">
        <v>45245</v>
      </c>
    </row>
    <row r="400" spans="1:7" ht="12.75" customHeight="1">
      <c r="A400" s="4" t="s">
        <v>430</v>
      </c>
      <c r="C400" s="4">
        <v>16.5</v>
      </c>
      <c r="D400" s="4">
        <v>20.5</v>
      </c>
      <c r="E400" s="4">
        <v>4.2</v>
      </c>
      <c r="F400" s="4">
        <v>77</v>
      </c>
      <c r="G400" s="18">
        <v>45245</v>
      </c>
    </row>
    <row r="401" spans="1:7" ht="12.75" customHeight="1">
      <c r="A401" s="4" t="s">
        <v>431</v>
      </c>
      <c r="C401" s="4">
        <v>17.399999999999999</v>
      </c>
      <c r="D401" s="4">
        <v>20.2</v>
      </c>
      <c r="E401" s="4">
        <v>4.2</v>
      </c>
      <c r="F401" s="4">
        <v>45</v>
      </c>
      <c r="G401" s="18">
        <v>45245</v>
      </c>
    </row>
    <row r="402" spans="1:7" ht="12.75" customHeight="1">
      <c r="A402" s="4" t="s">
        <v>432</v>
      </c>
      <c r="C402" s="4">
        <v>21.6</v>
      </c>
      <c r="D402" s="4">
        <v>26.1</v>
      </c>
      <c r="E402" s="4">
        <v>5.7</v>
      </c>
      <c r="F402" s="4">
        <v>196</v>
      </c>
      <c r="G402" s="18">
        <v>45245</v>
      </c>
    </row>
    <row r="403" spans="1:7" ht="12.75" customHeight="1">
      <c r="A403" s="4" t="s">
        <v>433</v>
      </c>
      <c r="C403" s="4">
        <v>22.5</v>
      </c>
      <c r="D403" s="4">
        <v>28.2</v>
      </c>
      <c r="E403" s="4">
        <v>6</v>
      </c>
      <c r="F403" s="4">
        <v>189</v>
      </c>
      <c r="G403" s="18">
        <v>45245</v>
      </c>
    </row>
    <row r="404" spans="1:7" ht="12.75" customHeight="1">
      <c r="A404" s="4" t="s">
        <v>434</v>
      </c>
      <c r="C404" s="4">
        <v>18.5</v>
      </c>
      <c r="D404" s="4">
        <v>21.9</v>
      </c>
      <c r="E404" s="4">
        <v>4.9000000000000004</v>
      </c>
      <c r="F404" s="4">
        <v>102</v>
      </c>
      <c r="G404" s="18">
        <v>45245</v>
      </c>
    </row>
    <row r="405" spans="1:7" ht="12.75" customHeight="1">
      <c r="A405" s="4" t="s">
        <v>435</v>
      </c>
      <c r="C405" s="4">
        <v>22.8</v>
      </c>
      <c r="D405" s="4">
        <v>29.3</v>
      </c>
      <c r="E405" s="4">
        <v>5.7</v>
      </c>
      <c r="F405" s="4">
        <v>189</v>
      </c>
      <c r="G405" s="18">
        <v>45245</v>
      </c>
    </row>
    <row r="406" spans="1:7" ht="12.75" customHeight="1">
      <c r="A406" s="4" t="s">
        <v>436</v>
      </c>
      <c r="C406" s="4">
        <v>14.8</v>
      </c>
      <c r="D406" s="4">
        <v>18.100000000000001</v>
      </c>
      <c r="E406" s="4">
        <v>3.8</v>
      </c>
      <c r="F406" s="4">
        <v>59</v>
      </c>
      <c r="G406" s="18">
        <v>45245</v>
      </c>
    </row>
    <row r="407" spans="1:7" ht="12.75" customHeight="1">
      <c r="A407" s="4" t="s">
        <v>437</v>
      </c>
      <c r="C407" s="4">
        <v>14.5</v>
      </c>
      <c r="D407" s="4">
        <v>17.399999999999999</v>
      </c>
      <c r="E407" s="4">
        <v>4.0999999999999996</v>
      </c>
      <c r="F407" s="4">
        <v>43</v>
      </c>
      <c r="G407" s="18">
        <v>45245</v>
      </c>
    </row>
    <row r="408" spans="1:7" ht="12.75" customHeight="1">
      <c r="A408" s="4" t="s">
        <v>438</v>
      </c>
      <c r="C408" s="4">
        <v>17.5</v>
      </c>
      <c r="D408" s="4">
        <v>15.2</v>
      </c>
      <c r="E408" s="4">
        <v>3.3</v>
      </c>
      <c r="F408" s="4">
        <v>44</v>
      </c>
      <c r="G408" s="18">
        <v>45245</v>
      </c>
    </row>
    <row r="409" spans="1:7" ht="12.75" customHeight="1">
      <c r="A409" s="4" t="s">
        <v>439</v>
      </c>
      <c r="C409" s="4">
        <v>21.3</v>
      </c>
      <c r="D409" s="4">
        <v>26.5</v>
      </c>
      <c r="E409" s="4">
        <v>6</v>
      </c>
      <c r="F409" s="4">
        <v>128</v>
      </c>
      <c r="G409" s="18">
        <v>45245</v>
      </c>
    </row>
    <row r="410" spans="1:7" ht="12.75" customHeight="1">
      <c r="A410" s="4" t="s">
        <v>440</v>
      </c>
      <c r="C410" s="4">
        <v>31.7</v>
      </c>
      <c r="D410" s="4">
        <v>37.9</v>
      </c>
      <c r="E410" s="4">
        <v>10.4</v>
      </c>
      <c r="F410" s="4">
        <v>555</v>
      </c>
      <c r="G410" s="18">
        <v>45245</v>
      </c>
    </row>
    <row r="411" spans="1:7" ht="12.75" customHeight="1">
      <c r="A411" s="4" t="s">
        <v>441</v>
      </c>
      <c r="C411" s="4">
        <v>24.1</v>
      </c>
      <c r="D411" s="4">
        <v>30.2</v>
      </c>
      <c r="E411" s="4">
        <v>7.5</v>
      </c>
      <c r="F411" s="4">
        <v>264</v>
      </c>
      <c r="G411" s="18">
        <v>45245</v>
      </c>
    </row>
    <row r="412" spans="1:7" ht="12.75" customHeight="1">
      <c r="A412" s="4" t="s">
        <v>442</v>
      </c>
      <c r="C412" s="4">
        <v>27.4</v>
      </c>
      <c r="D412" s="4">
        <v>34.1</v>
      </c>
      <c r="E412" s="4">
        <v>7.2</v>
      </c>
      <c r="F412" s="4">
        <v>242</v>
      </c>
      <c r="G412" s="18">
        <v>45245</v>
      </c>
    </row>
    <row r="413" spans="1:7" ht="12.75" customHeight="1">
      <c r="A413" s="4" t="s">
        <v>443</v>
      </c>
      <c r="C413" s="4">
        <v>23.9</v>
      </c>
      <c r="D413" s="4">
        <v>31.3</v>
      </c>
      <c r="E413" s="4">
        <v>6.4</v>
      </c>
      <c r="F413" s="4">
        <v>165</v>
      </c>
      <c r="G413" s="18">
        <v>45245</v>
      </c>
    </row>
    <row r="414" spans="1:7" ht="12.75" customHeight="1">
      <c r="A414" s="4" t="s">
        <v>444</v>
      </c>
      <c r="C414" s="4">
        <v>37.700000000000003</v>
      </c>
      <c r="D414" s="4">
        <v>48</v>
      </c>
      <c r="E414" s="4">
        <v>10.6</v>
      </c>
      <c r="F414" s="4">
        <v>705</v>
      </c>
      <c r="G414" s="18">
        <v>45245</v>
      </c>
    </row>
    <row r="415" spans="1:7" ht="12.75" customHeight="1">
      <c r="A415" s="4" t="s">
        <v>445</v>
      </c>
      <c r="C415" s="4">
        <v>35</v>
      </c>
      <c r="D415" s="4">
        <v>45.2</v>
      </c>
      <c r="E415" s="4">
        <v>10.1</v>
      </c>
      <c r="F415" s="4">
        <v>591</v>
      </c>
      <c r="G415" s="18">
        <v>45245</v>
      </c>
    </row>
    <row r="416" spans="1:7" ht="12.75" customHeight="1">
      <c r="A416" s="4" t="s">
        <v>446</v>
      </c>
      <c r="C416" s="4">
        <v>24.3</v>
      </c>
      <c r="D416" s="4">
        <v>30.7</v>
      </c>
      <c r="E416" s="4">
        <v>6.9</v>
      </c>
      <c r="F416" s="4">
        <v>188</v>
      </c>
      <c r="G416" s="18">
        <v>45245</v>
      </c>
    </row>
    <row r="417" spans="1:7" ht="12.75" customHeight="1">
      <c r="A417" s="4" t="s">
        <v>447</v>
      </c>
      <c r="C417" s="4">
        <v>33.299999999999997</v>
      </c>
      <c r="D417" s="4">
        <v>41.8</v>
      </c>
      <c r="E417" s="4">
        <v>9.6999999999999993</v>
      </c>
      <c r="F417" s="4">
        <v>500</v>
      </c>
      <c r="G417" s="18">
        <v>45245</v>
      </c>
    </row>
    <row r="418" spans="1:7" ht="12.75" customHeight="1">
      <c r="A418" s="4" t="s">
        <v>448</v>
      </c>
      <c r="C418" s="4">
        <v>40</v>
      </c>
      <c r="D418" s="4">
        <v>48.9</v>
      </c>
      <c r="E418" s="4">
        <v>10.3</v>
      </c>
      <c r="F418" s="4">
        <v>807</v>
      </c>
      <c r="G418" s="18">
        <v>45245</v>
      </c>
    </row>
    <row r="419" spans="1:7" ht="12.75" customHeight="1">
      <c r="A419" s="4" t="s">
        <v>449</v>
      </c>
      <c r="C419" s="4">
        <v>20.2</v>
      </c>
      <c r="D419" s="4">
        <v>25.7</v>
      </c>
      <c r="E419" s="4">
        <v>6.1</v>
      </c>
      <c r="F419" s="4">
        <v>111</v>
      </c>
      <c r="G419" s="18">
        <v>45245</v>
      </c>
    </row>
    <row r="420" spans="1:7" ht="12.75" customHeight="1">
      <c r="A420" s="4" t="s">
        <v>450</v>
      </c>
      <c r="C420" s="4">
        <v>22.1</v>
      </c>
      <c r="D420" s="4">
        <v>28.9</v>
      </c>
      <c r="E420" s="4">
        <v>6.5</v>
      </c>
      <c r="F420" s="4">
        <v>176</v>
      </c>
      <c r="G420" s="18">
        <v>45245</v>
      </c>
    </row>
    <row r="421" spans="1:7" ht="12.75" customHeight="1">
      <c r="A421" s="4" t="s">
        <v>451</v>
      </c>
      <c r="C421" s="4">
        <v>23.8</v>
      </c>
      <c r="D421" s="4">
        <v>29.9</v>
      </c>
      <c r="E421" s="4">
        <v>6.5</v>
      </c>
      <c r="F421" s="4">
        <v>218</v>
      </c>
      <c r="G421" s="18">
        <v>45245</v>
      </c>
    </row>
    <row r="422" spans="1:7" ht="12.75" customHeight="1">
      <c r="A422" s="4" t="s">
        <v>452</v>
      </c>
      <c r="C422" s="4">
        <v>23.2</v>
      </c>
      <c r="D422" s="4">
        <v>29.3</v>
      </c>
      <c r="E422" s="4">
        <v>6.3</v>
      </c>
      <c r="F422" s="4">
        <v>200</v>
      </c>
      <c r="G422" s="18">
        <v>45245</v>
      </c>
    </row>
    <row r="423" spans="1:7" ht="12.75" customHeight="1">
      <c r="A423" s="4" t="s">
        <v>453</v>
      </c>
      <c r="C423" s="4">
        <v>32.6</v>
      </c>
      <c r="D423" s="4">
        <v>42.1</v>
      </c>
      <c r="E423" s="4">
        <v>8.6999999999999993</v>
      </c>
      <c r="F423" s="4">
        <v>578</v>
      </c>
      <c r="G423" s="18">
        <v>45245</v>
      </c>
    </row>
    <row r="424" spans="1:7" ht="12.75" customHeight="1">
      <c r="A424" s="4" t="s">
        <v>454</v>
      </c>
      <c r="C424" s="4">
        <v>21.9</v>
      </c>
      <c r="D424" s="4">
        <v>25.8</v>
      </c>
      <c r="E424" s="4">
        <v>6.3</v>
      </c>
      <c r="F424" s="4">
        <v>186</v>
      </c>
      <c r="G424" s="18">
        <v>45245</v>
      </c>
    </row>
  </sheetData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7"/>
  <sheetViews>
    <sheetView zoomScale="60" zoomScaleNormal="60" workbookViewId="0">
      <selection activeCell="R63" sqref="R63"/>
    </sheetView>
  </sheetViews>
  <sheetFormatPr defaultColWidth="14.42578125" defaultRowHeight="12.75"/>
  <cols>
    <col min="1" max="1" width="11.7109375" style="4" customWidth="1"/>
    <col min="2" max="2" width="8.5703125" style="4" customWidth="1"/>
    <col min="3" max="3" width="24.85546875" style="4" customWidth="1"/>
    <col min="4" max="10" width="11.7109375" style="4" customWidth="1"/>
    <col min="11" max="13" width="8.5703125" style="4" customWidth="1"/>
    <col min="14" max="14" width="12.140625" style="4" customWidth="1"/>
    <col min="15" max="15" width="8.85546875" style="4" customWidth="1"/>
    <col min="16" max="20" width="8.5703125" style="4" customWidth="1"/>
    <col min="21" max="16384" width="14.42578125" style="4"/>
  </cols>
  <sheetData>
    <row r="1" spans="1:20" ht="12.75" customHeight="1">
      <c r="A1" s="4" t="s">
        <v>0</v>
      </c>
      <c r="B1" s="5" t="s">
        <v>455</v>
      </c>
      <c r="C1" s="4" t="s">
        <v>456</v>
      </c>
      <c r="D1" s="4" t="s">
        <v>457</v>
      </c>
      <c r="E1" s="4" t="s">
        <v>458</v>
      </c>
      <c r="F1" s="4" t="s">
        <v>459</v>
      </c>
      <c r="G1" s="4" t="s">
        <v>460</v>
      </c>
      <c r="H1" s="4" t="s">
        <v>461</v>
      </c>
      <c r="I1" s="4" t="s">
        <v>6</v>
      </c>
      <c r="J1" s="4" t="s">
        <v>7</v>
      </c>
      <c r="K1" s="5" t="s">
        <v>462</v>
      </c>
      <c r="L1" s="5" t="s">
        <v>463</v>
      </c>
      <c r="M1" s="5" t="s">
        <v>464</v>
      </c>
      <c r="N1" s="5" t="s">
        <v>465</v>
      </c>
      <c r="O1" s="5" t="s">
        <v>466</v>
      </c>
      <c r="P1" s="5" t="s">
        <v>467</v>
      </c>
      <c r="Q1" s="5" t="s">
        <v>468</v>
      </c>
      <c r="R1" s="5" t="s">
        <v>469</v>
      </c>
      <c r="S1" s="5" t="s">
        <v>470</v>
      </c>
      <c r="T1" s="5" t="s">
        <v>471</v>
      </c>
    </row>
    <row r="2" spans="1:20" ht="12.75" customHeight="1">
      <c r="A2" s="4" t="s">
        <v>8</v>
      </c>
      <c r="B2" s="9" t="s">
        <v>472</v>
      </c>
      <c r="C2" s="6" t="s">
        <v>473</v>
      </c>
      <c r="D2" s="7">
        <v>22.2</v>
      </c>
      <c r="E2" s="7">
        <v>30.3</v>
      </c>
      <c r="F2" s="7">
        <v>6.4</v>
      </c>
      <c r="G2" s="4">
        <v>218</v>
      </c>
      <c r="H2" s="4">
        <f t="shared" ref="H2:H65" si="0">G2/1000</f>
        <v>0.218</v>
      </c>
      <c r="I2" s="8">
        <v>45168</v>
      </c>
      <c r="K2" s="5" t="s">
        <v>474</v>
      </c>
      <c r="L2" s="5" t="s">
        <v>475</v>
      </c>
      <c r="M2" s="5" t="s">
        <v>476</v>
      </c>
      <c r="N2" s="10" t="s">
        <v>477</v>
      </c>
      <c r="O2" s="11">
        <v>1</v>
      </c>
      <c r="P2" s="12" t="s">
        <v>474</v>
      </c>
      <c r="Q2" s="12" t="s">
        <v>478</v>
      </c>
      <c r="R2" s="12" t="s">
        <v>462</v>
      </c>
      <c r="S2" s="11">
        <v>10</v>
      </c>
      <c r="T2" s="11">
        <v>4</v>
      </c>
    </row>
    <row r="3" spans="1:20" ht="12.75" customHeight="1">
      <c r="A3" s="4" t="s">
        <v>9</v>
      </c>
      <c r="B3" s="9" t="s">
        <v>472</v>
      </c>
      <c r="C3" s="6" t="s">
        <v>473</v>
      </c>
      <c r="D3" s="7">
        <v>19</v>
      </c>
      <c r="E3" s="7">
        <v>24.4</v>
      </c>
      <c r="F3" s="7">
        <v>4.8</v>
      </c>
      <c r="G3" s="4">
        <v>142</v>
      </c>
      <c r="H3" s="4">
        <f t="shared" si="0"/>
        <v>0.14199999999999999</v>
      </c>
      <c r="I3" s="8">
        <v>45168</v>
      </c>
      <c r="K3" s="5" t="s">
        <v>474</v>
      </c>
      <c r="L3" s="5" t="s">
        <v>475</v>
      </c>
      <c r="M3" s="5" t="s">
        <v>476</v>
      </c>
      <c r="N3" s="10" t="s">
        <v>477</v>
      </c>
      <c r="O3" s="11">
        <v>1</v>
      </c>
      <c r="P3" s="12" t="s">
        <v>474</v>
      </c>
      <c r="Q3" s="12" t="s">
        <v>478</v>
      </c>
      <c r="R3" s="12" t="s">
        <v>462</v>
      </c>
      <c r="S3" s="11">
        <v>10</v>
      </c>
      <c r="T3" s="11">
        <v>4</v>
      </c>
    </row>
    <row r="4" spans="1:20" ht="12.75" customHeight="1">
      <c r="A4" s="4" t="s">
        <v>10</v>
      </c>
      <c r="B4" s="9" t="s">
        <v>472</v>
      </c>
      <c r="C4" s="6" t="s">
        <v>473</v>
      </c>
      <c r="D4" s="7">
        <v>24.4</v>
      </c>
      <c r="E4" s="7">
        <v>29.1</v>
      </c>
      <c r="F4" s="7">
        <v>6.9</v>
      </c>
      <c r="G4" s="4">
        <v>299</v>
      </c>
      <c r="H4" s="4">
        <f t="shared" si="0"/>
        <v>0.29899999999999999</v>
      </c>
      <c r="I4" s="8">
        <v>45168</v>
      </c>
      <c r="K4" s="5" t="s">
        <v>474</v>
      </c>
      <c r="L4" s="5" t="s">
        <v>475</v>
      </c>
      <c r="M4" s="5" t="s">
        <v>476</v>
      </c>
      <c r="N4" s="10" t="s">
        <v>477</v>
      </c>
      <c r="O4" s="11">
        <v>1</v>
      </c>
      <c r="P4" s="12" t="s">
        <v>474</v>
      </c>
      <c r="Q4" s="12" t="s">
        <v>478</v>
      </c>
      <c r="R4" s="12" t="s">
        <v>462</v>
      </c>
      <c r="S4" s="11">
        <v>10</v>
      </c>
      <c r="T4" s="11">
        <v>4</v>
      </c>
    </row>
    <row r="5" spans="1:20" ht="12.75" customHeight="1">
      <c r="A5" s="4" t="s">
        <v>11</v>
      </c>
      <c r="B5" s="9" t="s">
        <v>472</v>
      </c>
      <c r="C5" s="6" t="s">
        <v>473</v>
      </c>
      <c r="D5" s="7">
        <v>22.5</v>
      </c>
      <c r="E5" s="7">
        <v>27.5</v>
      </c>
      <c r="F5" s="7">
        <v>6.6</v>
      </c>
      <c r="G5" s="4">
        <v>255</v>
      </c>
      <c r="H5" s="4">
        <f t="shared" si="0"/>
        <v>0.255</v>
      </c>
      <c r="I5" s="8">
        <v>45168</v>
      </c>
      <c r="K5" s="5" t="s">
        <v>474</v>
      </c>
      <c r="L5" s="5" t="s">
        <v>475</v>
      </c>
      <c r="M5" s="5" t="s">
        <v>476</v>
      </c>
      <c r="N5" s="10" t="s">
        <v>477</v>
      </c>
      <c r="O5" s="11">
        <v>1</v>
      </c>
      <c r="P5" s="12" t="s">
        <v>474</v>
      </c>
      <c r="Q5" s="12" t="s">
        <v>478</v>
      </c>
      <c r="R5" s="12" t="s">
        <v>462</v>
      </c>
      <c r="S5" s="11">
        <v>10</v>
      </c>
      <c r="T5" s="11">
        <v>4</v>
      </c>
    </row>
    <row r="6" spans="1:20" ht="12.75" customHeight="1">
      <c r="A6" s="4" t="s">
        <v>12</v>
      </c>
      <c r="B6" s="9" t="s">
        <v>472</v>
      </c>
      <c r="C6" s="6" t="s">
        <v>479</v>
      </c>
      <c r="D6" s="7">
        <v>17.8</v>
      </c>
      <c r="E6" s="7">
        <v>20.9</v>
      </c>
      <c r="F6" s="7">
        <v>4.7</v>
      </c>
      <c r="G6" s="4">
        <v>119</v>
      </c>
      <c r="H6" s="4">
        <f t="shared" si="0"/>
        <v>0.11899999999999999</v>
      </c>
      <c r="I6" s="8">
        <v>45168</v>
      </c>
      <c r="K6" s="5" t="s">
        <v>474</v>
      </c>
      <c r="L6" s="5" t="s">
        <v>475</v>
      </c>
      <c r="M6" s="5" t="s">
        <v>476</v>
      </c>
      <c r="N6" s="10" t="s">
        <v>477</v>
      </c>
      <c r="O6" s="11">
        <v>1</v>
      </c>
      <c r="P6" s="12" t="s">
        <v>474</v>
      </c>
      <c r="Q6" s="12" t="s">
        <v>478</v>
      </c>
      <c r="R6" s="12" t="s">
        <v>462</v>
      </c>
      <c r="S6" s="11">
        <v>10</v>
      </c>
      <c r="T6" s="11">
        <v>4</v>
      </c>
    </row>
    <row r="7" spans="1:20" ht="12.75" customHeight="1">
      <c r="A7" s="4" t="s">
        <v>13</v>
      </c>
      <c r="B7" s="9" t="s">
        <v>472</v>
      </c>
      <c r="C7" s="6" t="s">
        <v>479</v>
      </c>
      <c r="D7" s="7">
        <v>19.8</v>
      </c>
      <c r="E7" s="7">
        <v>23.3</v>
      </c>
      <c r="F7" s="7">
        <v>5</v>
      </c>
      <c r="G7" s="4">
        <v>168</v>
      </c>
      <c r="H7" s="4">
        <f t="shared" si="0"/>
        <v>0.16800000000000001</v>
      </c>
      <c r="I7" s="8">
        <v>45168</v>
      </c>
      <c r="K7" s="5" t="s">
        <v>474</v>
      </c>
      <c r="L7" s="5" t="s">
        <v>475</v>
      </c>
      <c r="M7" s="5" t="s">
        <v>476</v>
      </c>
      <c r="N7" s="10" t="s">
        <v>477</v>
      </c>
      <c r="O7" s="11">
        <v>1</v>
      </c>
      <c r="P7" s="12" t="s">
        <v>474</v>
      </c>
      <c r="Q7" s="12" t="s">
        <v>478</v>
      </c>
      <c r="R7" s="12" t="s">
        <v>462</v>
      </c>
      <c r="S7" s="11">
        <v>10</v>
      </c>
      <c r="T7" s="11">
        <v>4</v>
      </c>
    </row>
    <row r="8" spans="1:20" ht="12.75" customHeight="1">
      <c r="A8" s="4" t="s">
        <v>14</v>
      </c>
      <c r="B8" s="9" t="s">
        <v>472</v>
      </c>
      <c r="C8" s="6" t="s">
        <v>480</v>
      </c>
      <c r="D8" s="7">
        <v>52.7</v>
      </c>
      <c r="E8" s="33">
        <v>60</v>
      </c>
      <c r="F8" s="7">
        <v>24.1</v>
      </c>
      <c r="G8" s="4">
        <v>5865</v>
      </c>
      <c r="H8" s="4">
        <f t="shared" si="0"/>
        <v>5.8650000000000002</v>
      </c>
      <c r="I8" s="8">
        <v>45168</v>
      </c>
      <c r="J8" s="4" t="s">
        <v>16</v>
      </c>
      <c r="K8" s="5" t="s">
        <v>474</v>
      </c>
      <c r="L8" s="5" t="s">
        <v>475</v>
      </c>
      <c r="M8" s="5" t="s">
        <v>476</v>
      </c>
      <c r="N8" s="10" t="s">
        <v>477</v>
      </c>
      <c r="O8" s="11">
        <v>1</v>
      </c>
      <c r="P8" s="12" t="s">
        <v>474</v>
      </c>
      <c r="Q8" s="12" t="s">
        <v>478</v>
      </c>
      <c r="R8" s="12" t="s">
        <v>462</v>
      </c>
      <c r="S8" s="11">
        <v>10</v>
      </c>
      <c r="T8" s="11">
        <v>4</v>
      </c>
    </row>
    <row r="9" spans="1:20" ht="12.75" customHeight="1">
      <c r="A9" s="4" t="s">
        <v>17</v>
      </c>
      <c r="B9" s="9" t="s">
        <v>481</v>
      </c>
      <c r="C9" s="6" t="s">
        <v>482</v>
      </c>
      <c r="D9" s="7">
        <v>25.4</v>
      </c>
      <c r="E9" s="7">
        <v>35.4</v>
      </c>
      <c r="F9" s="7">
        <v>9.3000000000000007</v>
      </c>
      <c r="G9" s="4">
        <v>363</v>
      </c>
      <c r="H9" s="4">
        <f t="shared" si="0"/>
        <v>0.36299999999999999</v>
      </c>
      <c r="I9" s="8">
        <v>45210</v>
      </c>
      <c r="K9" s="5" t="s">
        <v>474</v>
      </c>
      <c r="L9" s="5" t="s">
        <v>483</v>
      </c>
      <c r="M9" s="5" t="s">
        <v>484</v>
      </c>
      <c r="N9" s="10" t="s">
        <v>485</v>
      </c>
      <c r="O9" s="11">
        <v>2</v>
      </c>
      <c r="P9" s="12" t="s">
        <v>474</v>
      </c>
      <c r="Q9" s="12" t="s">
        <v>486</v>
      </c>
      <c r="R9" s="12" t="s">
        <v>462</v>
      </c>
      <c r="S9" s="11">
        <v>6</v>
      </c>
      <c r="T9" s="11">
        <v>1</v>
      </c>
    </row>
    <row r="10" spans="1:20" ht="12.75" customHeight="1">
      <c r="A10" s="4" t="s">
        <v>19</v>
      </c>
      <c r="B10" s="9" t="s">
        <v>481</v>
      </c>
      <c r="C10" s="6" t="s">
        <v>482</v>
      </c>
      <c r="D10" s="7">
        <v>23.1</v>
      </c>
      <c r="E10" s="7">
        <v>31.8</v>
      </c>
      <c r="F10" s="7">
        <v>8.1999999999999993</v>
      </c>
      <c r="G10" s="4">
        <v>236</v>
      </c>
      <c r="H10" s="4">
        <f t="shared" si="0"/>
        <v>0.23599999999999999</v>
      </c>
      <c r="I10" s="8">
        <v>45210</v>
      </c>
      <c r="K10" s="5" t="s">
        <v>474</v>
      </c>
      <c r="L10" s="5" t="s">
        <v>483</v>
      </c>
      <c r="M10" s="5" t="s">
        <v>484</v>
      </c>
      <c r="N10" s="10" t="s">
        <v>485</v>
      </c>
      <c r="O10" s="11">
        <v>2</v>
      </c>
      <c r="P10" s="12" t="s">
        <v>474</v>
      </c>
      <c r="Q10" s="12" t="s">
        <v>486</v>
      </c>
      <c r="R10" s="12" t="s">
        <v>462</v>
      </c>
      <c r="S10" s="11">
        <v>6</v>
      </c>
      <c r="T10" s="11">
        <v>1</v>
      </c>
    </row>
    <row r="11" spans="1:20" ht="12.75" customHeight="1">
      <c r="A11" s="4" t="s">
        <v>20</v>
      </c>
      <c r="B11" s="9" t="s">
        <v>481</v>
      </c>
      <c r="C11" s="6" t="s">
        <v>482</v>
      </c>
      <c r="D11" s="7">
        <v>24.2</v>
      </c>
      <c r="E11" s="7">
        <v>31.5</v>
      </c>
      <c r="F11" s="7">
        <v>8.6</v>
      </c>
      <c r="G11" s="4">
        <v>277</v>
      </c>
      <c r="H11" s="4">
        <f t="shared" si="0"/>
        <v>0.27700000000000002</v>
      </c>
      <c r="I11" s="8">
        <v>45210</v>
      </c>
      <c r="K11" s="5" t="s">
        <v>474</v>
      </c>
      <c r="L11" s="5" t="s">
        <v>483</v>
      </c>
      <c r="M11" s="5" t="s">
        <v>484</v>
      </c>
      <c r="N11" s="10" t="s">
        <v>485</v>
      </c>
      <c r="O11" s="11">
        <v>2</v>
      </c>
      <c r="P11" s="12" t="s">
        <v>474</v>
      </c>
      <c r="Q11" s="12" t="s">
        <v>486</v>
      </c>
      <c r="R11" s="12" t="s">
        <v>462</v>
      </c>
      <c r="S11" s="11">
        <v>6</v>
      </c>
      <c r="T11" s="11">
        <v>1</v>
      </c>
    </row>
    <row r="12" spans="1:20" ht="12.75" customHeight="1">
      <c r="A12" s="4" t="s">
        <v>21</v>
      </c>
      <c r="B12" s="9" t="s">
        <v>481</v>
      </c>
      <c r="C12" s="6" t="s">
        <v>482</v>
      </c>
      <c r="D12" s="7">
        <v>24.2</v>
      </c>
      <c r="E12" s="7">
        <v>32</v>
      </c>
      <c r="F12" s="7">
        <v>9.1</v>
      </c>
      <c r="G12" s="4">
        <v>297</v>
      </c>
      <c r="H12" s="4">
        <f t="shared" si="0"/>
        <v>0.29699999999999999</v>
      </c>
      <c r="I12" s="8">
        <v>45210</v>
      </c>
      <c r="K12" s="5" t="s">
        <v>474</v>
      </c>
      <c r="L12" s="5" t="s">
        <v>483</v>
      </c>
      <c r="M12" s="5" t="s">
        <v>484</v>
      </c>
      <c r="N12" s="10" t="s">
        <v>485</v>
      </c>
      <c r="O12" s="11">
        <v>2</v>
      </c>
      <c r="P12" s="12" t="s">
        <v>474</v>
      </c>
      <c r="Q12" s="12" t="s">
        <v>486</v>
      </c>
      <c r="R12" s="12" t="s">
        <v>462</v>
      </c>
      <c r="S12" s="11">
        <v>6</v>
      </c>
      <c r="T12" s="11">
        <v>1</v>
      </c>
    </row>
    <row r="13" spans="1:20" ht="12.75" customHeight="1">
      <c r="A13" s="4" t="s">
        <v>22</v>
      </c>
      <c r="B13" s="9" t="s">
        <v>481</v>
      </c>
      <c r="C13" s="6" t="s">
        <v>482</v>
      </c>
      <c r="D13" s="7">
        <v>27.4</v>
      </c>
      <c r="E13" s="7">
        <v>32.1</v>
      </c>
      <c r="F13" s="7">
        <v>10.1</v>
      </c>
      <c r="G13" s="4">
        <v>459</v>
      </c>
      <c r="H13" s="4">
        <f t="shared" si="0"/>
        <v>0.45900000000000002</v>
      </c>
      <c r="I13" s="8">
        <v>45210</v>
      </c>
      <c r="K13" s="5" t="s">
        <v>474</v>
      </c>
      <c r="L13" s="5" t="s">
        <v>483</v>
      </c>
      <c r="M13" s="5" t="s">
        <v>484</v>
      </c>
      <c r="N13" s="10" t="s">
        <v>485</v>
      </c>
      <c r="O13" s="11">
        <v>2</v>
      </c>
      <c r="P13" s="12" t="s">
        <v>474</v>
      </c>
      <c r="Q13" s="12" t="s">
        <v>486</v>
      </c>
      <c r="R13" s="12" t="s">
        <v>462</v>
      </c>
      <c r="S13" s="11">
        <v>6</v>
      </c>
      <c r="T13" s="11">
        <v>1</v>
      </c>
    </row>
    <row r="14" spans="1:20" ht="12.75" customHeight="1">
      <c r="A14" s="4" t="s">
        <v>23</v>
      </c>
      <c r="B14" s="9" t="s">
        <v>481</v>
      </c>
      <c r="C14" s="6" t="s">
        <v>482</v>
      </c>
      <c r="D14" s="7">
        <v>26.2</v>
      </c>
      <c r="E14" s="7">
        <v>34.700000000000003</v>
      </c>
      <c r="F14" s="7">
        <v>9.3000000000000007</v>
      </c>
      <c r="G14" s="4">
        <v>434</v>
      </c>
      <c r="H14" s="4">
        <f t="shared" si="0"/>
        <v>0.434</v>
      </c>
      <c r="I14" s="8">
        <v>45210</v>
      </c>
      <c r="K14" s="5" t="s">
        <v>474</v>
      </c>
      <c r="L14" s="5" t="s">
        <v>483</v>
      </c>
      <c r="M14" s="5" t="s">
        <v>484</v>
      </c>
      <c r="N14" s="10" t="s">
        <v>485</v>
      </c>
      <c r="O14" s="11">
        <v>2</v>
      </c>
      <c r="P14" s="12" t="s">
        <v>474</v>
      </c>
      <c r="Q14" s="12" t="s">
        <v>486</v>
      </c>
      <c r="R14" s="12" t="s">
        <v>462</v>
      </c>
      <c r="S14" s="11">
        <v>6</v>
      </c>
      <c r="T14" s="11">
        <v>1</v>
      </c>
    </row>
    <row r="15" spans="1:20" ht="12.75" customHeight="1">
      <c r="A15" s="4" t="s">
        <v>24</v>
      </c>
      <c r="B15" s="9" t="s">
        <v>481</v>
      </c>
      <c r="C15" s="6" t="s">
        <v>482</v>
      </c>
      <c r="D15" s="7">
        <v>24.6</v>
      </c>
      <c r="E15" s="7">
        <v>32.200000000000003</v>
      </c>
      <c r="F15" s="7">
        <v>9.6</v>
      </c>
      <c r="G15" s="4">
        <v>320</v>
      </c>
      <c r="H15" s="13">
        <f t="shared" si="0"/>
        <v>0.32</v>
      </c>
      <c r="I15" s="8">
        <v>45210</v>
      </c>
      <c r="K15" s="5" t="s">
        <v>474</v>
      </c>
      <c r="L15" s="5" t="s">
        <v>483</v>
      </c>
      <c r="M15" s="5" t="s">
        <v>484</v>
      </c>
      <c r="N15" s="10" t="s">
        <v>485</v>
      </c>
      <c r="O15" s="11">
        <v>2</v>
      </c>
      <c r="P15" s="12" t="s">
        <v>474</v>
      </c>
      <c r="Q15" s="12" t="s">
        <v>486</v>
      </c>
      <c r="R15" s="12" t="s">
        <v>462</v>
      </c>
      <c r="S15" s="11">
        <v>6</v>
      </c>
      <c r="T15" s="11">
        <v>1</v>
      </c>
    </row>
    <row r="16" spans="1:20" ht="12.75" customHeight="1">
      <c r="A16" s="4" t="s">
        <v>25</v>
      </c>
      <c r="B16" s="9" t="s">
        <v>481</v>
      </c>
      <c r="C16" s="6" t="s">
        <v>482</v>
      </c>
      <c r="D16" s="7">
        <v>33.200000000000003</v>
      </c>
      <c r="E16" s="7">
        <v>35.4</v>
      </c>
      <c r="F16" s="7">
        <v>9.1999999999999993</v>
      </c>
      <c r="G16" s="4">
        <v>244</v>
      </c>
      <c r="H16" s="4">
        <f t="shared" si="0"/>
        <v>0.24399999999999999</v>
      </c>
      <c r="I16" s="8">
        <v>45210</v>
      </c>
      <c r="K16" s="5" t="s">
        <v>474</v>
      </c>
      <c r="L16" s="5" t="s">
        <v>483</v>
      </c>
      <c r="M16" s="5" t="s">
        <v>484</v>
      </c>
      <c r="N16" s="10" t="s">
        <v>485</v>
      </c>
      <c r="O16" s="11">
        <v>2</v>
      </c>
      <c r="P16" s="12" t="s">
        <v>474</v>
      </c>
      <c r="Q16" s="12" t="s">
        <v>486</v>
      </c>
      <c r="R16" s="12" t="s">
        <v>462</v>
      </c>
      <c r="S16" s="11">
        <v>6</v>
      </c>
      <c r="T16" s="11">
        <v>1</v>
      </c>
    </row>
    <row r="17" spans="1:20" ht="12.75" customHeight="1">
      <c r="A17" s="4" t="s">
        <v>26</v>
      </c>
      <c r="B17" s="9" t="s">
        <v>481</v>
      </c>
      <c r="C17" s="6" t="s">
        <v>482</v>
      </c>
      <c r="D17" s="7">
        <v>29.2</v>
      </c>
      <c r="E17" s="7">
        <v>49.1</v>
      </c>
      <c r="F17" s="7">
        <v>11</v>
      </c>
      <c r="G17" s="4">
        <v>476</v>
      </c>
      <c r="H17" s="4">
        <f t="shared" si="0"/>
        <v>0.47599999999999998</v>
      </c>
      <c r="I17" s="8">
        <v>45210</v>
      </c>
      <c r="K17" s="5" t="s">
        <v>474</v>
      </c>
      <c r="L17" s="5" t="s">
        <v>483</v>
      </c>
      <c r="M17" s="5" t="s">
        <v>484</v>
      </c>
      <c r="N17" s="10" t="s">
        <v>485</v>
      </c>
      <c r="O17" s="11">
        <v>2</v>
      </c>
      <c r="P17" s="12" t="s">
        <v>474</v>
      </c>
      <c r="Q17" s="12" t="s">
        <v>486</v>
      </c>
      <c r="R17" s="12" t="s">
        <v>462</v>
      </c>
      <c r="S17" s="11">
        <v>6</v>
      </c>
      <c r="T17" s="11">
        <v>1</v>
      </c>
    </row>
    <row r="18" spans="1:20" ht="12.75" customHeight="1">
      <c r="A18" s="4" t="s">
        <v>27</v>
      </c>
      <c r="B18" s="9" t="s">
        <v>481</v>
      </c>
      <c r="C18" s="6" t="s">
        <v>482</v>
      </c>
      <c r="D18" s="7">
        <v>25</v>
      </c>
      <c r="E18" s="7">
        <v>33.299999999999997</v>
      </c>
      <c r="F18" s="7">
        <v>8.5</v>
      </c>
      <c r="G18" s="4">
        <v>258</v>
      </c>
      <c r="H18" s="4">
        <f t="shared" si="0"/>
        <v>0.25800000000000001</v>
      </c>
      <c r="I18" s="8">
        <v>45210</v>
      </c>
      <c r="K18" s="5" t="s">
        <v>474</v>
      </c>
      <c r="L18" s="5" t="s">
        <v>483</v>
      </c>
      <c r="M18" s="5" t="s">
        <v>484</v>
      </c>
      <c r="N18" s="10" t="s">
        <v>485</v>
      </c>
      <c r="O18" s="11">
        <v>2</v>
      </c>
      <c r="P18" s="12" t="s">
        <v>474</v>
      </c>
      <c r="Q18" s="12" t="s">
        <v>486</v>
      </c>
      <c r="R18" s="12" t="s">
        <v>462</v>
      </c>
      <c r="S18" s="11">
        <v>6</v>
      </c>
      <c r="T18" s="11">
        <v>1</v>
      </c>
    </row>
    <row r="19" spans="1:20" ht="12.75" customHeight="1">
      <c r="A19" s="4" t="s">
        <v>28</v>
      </c>
      <c r="B19" s="9" t="s">
        <v>481</v>
      </c>
      <c r="C19" s="6" t="s">
        <v>482</v>
      </c>
      <c r="D19" s="7">
        <v>27.2</v>
      </c>
      <c r="E19" s="7">
        <v>35.4</v>
      </c>
      <c r="F19" s="7">
        <v>9.4</v>
      </c>
      <c r="G19" s="4">
        <v>288</v>
      </c>
      <c r="H19" s="4">
        <f t="shared" si="0"/>
        <v>0.28799999999999998</v>
      </c>
      <c r="I19" s="8">
        <v>45210</v>
      </c>
      <c r="K19" s="5" t="s">
        <v>474</v>
      </c>
      <c r="L19" s="5" t="s">
        <v>483</v>
      </c>
      <c r="M19" s="5" t="s">
        <v>484</v>
      </c>
      <c r="N19" s="10" t="s">
        <v>485</v>
      </c>
      <c r="O19" s="11">
        <v>2</v>
      </c>
      <c r="P19" s="12" t="s">
        <v>474</v>
      </c>
      <c r="Q19" s="12" t="s">
        <v>486</v>
      </c>
      <c r="R19" s="12" t="s">
        <v>462</v>
      </c>
      <c r="S19" s="11">
        <v>6</v>
      </c>
      <c r="T19" s="11">
        <v>1</v>
      </c>
    </row>
    <row r="20" spans="1:20" ht="12.75" customHeight="1">
      <c r="A20" s="4" t="s">
        <v>29</v>
      </c>
      <c r="B20" s="9" t="s">
        <v>481</v>
      </c>
      <c r="C20" s="6" t="s">
        <v>482</v>
      </c>
      <c r="D20" s="7">
        <v>25.2</v>
      </c>
      <c r="E20" s="7">
        <v>33.299999999999997</v>
      </c>
      <c r="F20" s="7">
        <v>10.199999999999999</v>
      </c>
      <c r="G20" s="4">
        <v>393</v>
      </c>
      <c r="H20" s="4">
        <f t="shared" si="0"/>
        <v>0.39300000000000002</v>
      </c>
      <c r="I20" s="8">
        <v>45210</v>
      </c>
      <c r="K20" s="5" t="s">
        <v>474</v>
      </c>
      <c r="L20" s="5" t="s">
        <v>483</v>
      </c>
      <c r="M20" s="5" t="s">
        <v>484</v>
      </c>
      <c r="N20" s="10" t="s">
        <v>485</v>
      </c>
      <c r="O20" s="11">
        <v>2</v>
      </c>
      <c r="P20" s="12" t="s">
        <v>474</v>
      </c>
      <c r="Q20" s="12" t="s">
        <v>486</v>
      </c>
      <c r="R20" s="12" t="s">
        <v>462</v>
      </c>
      <c r="S20" s="11">
        <v>6</v>
      </c>
      <c r="T20" s="11">
        <v>1</v>
      </c>
    </row>
    <row r="21" spans="1:20" ht="12.75" customHeight="1">
      <c r="A21" s="4" t="s">
        <v>30</v>
      </c>
      <c r="B21" s="9" t="s">
        <v>487</v>
      </c>
      <c r="C21" s="6" t="s">
        <v>482</v>
      </c>
      <c r="D21" s="7">
        <v>24.5</v>
      </c>
      <c r="E21" s="7">
        <v>32</v>
      </c>
      <c r="F21" s="7">
        <v>8.3000000000000007</v>
      </c>
      <c r="G21" s="4">
        <v>274</v>
      </c>
      <c r="H21" s="4">
        <f t="shared" si="0"/>
        <v>0.27400000000000002</v>
      </c>
      <c r="I21" s="8">
        <v>45210</v>
      </c>
      <c r="K21" s="5" t="s">
        <v>474</v>
      </c>
      <c r="L21" s="5" t="s">
        <v>483</v>
      </c>
      <c r="M21" s="5" t="s">
        <v>488</v>
      </c>
      <c r="N21" s="10" t="s">
        <v>485</v>
      </c>
      <c r="O21" s="11">
        <v>2</v>
      </c>
      <c r="P21" s="12" t="s">
        <v>474</v>
      </c>
      <c r="Q21" s="12" t="s">
        <v>486</v>
      </c>
      <c r="R21" s="12" t="s">
        <v>462</v>
      </c>
      <c r="S21" s="11">
        <v>7</v>
      </c>
      <c r="T21" s="11">
        <v>1</v>
      </c>
    </row>
    <row r="22" spans="1:20" ht="12.75" customHeight="1">
      <c r="A22" s="4" t="s">
        <v>31</v>
      </c>
      <c r="B22" s="9" t="s">
        <v>487</v>
      </c>
      <c r="C22" s="6" t="s">
        <v>482</v>
      </c>
      <c r="D22" s="7">
        <v>21.7</v>
      </c>
      <c r="E22" s="7">
        <v>26.9</v>
      </c>
      <c r="F22" s="7">
        <v>6.8</v>
      </c>
      <c r="G22" s="4">
        <v>159</v>
      </c>
      <c r="H22" s="4">
        <f t="shared" si="0"/>
        <v>0.159</v>
      </c>
      <c r="I22" s="8">
        <v>45210</v>
      </c>
      <c r="K22" s="5" t="s">
        <v>474</v>
      </c>
      <c r="L22" s="5" t="s">
        <v>483</v>
      </c>
      <c r="M22" s="5" t="s">
        <v>488</v>
      </c>
      <c r="N22" s="10" t="s">
        <v>485</v>
      </c>
      <c r="O22" s="11">
        <v>2</v>
      </c>
      <c r="P22" s="12" t="s">
        <v>474</v>
      </c>
      <c r="Q22" s="12" t="s">
        <v>486</v>
      </c>
      <c r="R22" s="12" t="s">
        <v>462</v>
      </c>
      <c r="S22" s="11">
        <v>7</v>
      </c>
      <c r="T22" s="11">
        <v>1</v>
      </c>
    </row>
    <row r="23" spans="1:20" ht="12.75" customHeight="1">
      <c r="A23" s="4" t="s">
        <v>32</v>
      </c>
      <c r="B23" s="9" t="s">
        <v>487</v>
      </c>
      <c r="C23" s="6" t="s">
        <v>482</v>
      </c>
      <c r="D23" s="7">
        <v>27.5</v>
      </c>
      <c r="E23" s="7">
        <v>30</v>
      </c>
      <c r="F23" s="7">
        <v>9.1</v>
      </c>
      <c r="G23" s="4">
        <v>355</v>
      </c>
      <c r="H23" s="4">
        <f t="shared" si="0"/>
        <v>0.35499999999999998</v>
      </c>
      <c r="I23" s="8">
        <v>45210</v>
      </c>
      <c r="K23" s="5" t="s">
        <v>474</v>
      </c>
      <c r="L23" s="5" t="s">
        <v>483</v>
      </c>
      <c r="M23" s="5" t="s">
        <v>488</v>
      </c>
      <c r="N23" s="10" t="s">
        <v>485</v>
      </c>
      <c r="O23" s="11">
        <v>2</v>
      </c>
      <c r="P23" s="12" t="s">
        <v>474</v>
      </c>
      <c r="Q23" s="12" t="s">
        <v>486</v>
      </c>
      <c r="R23" s="12" t="s">
        <v>462</v>
      </c>
      <c r="S23" s="11">
        <v>7</v>
      </c>
      <c r="T23" s="11">
        <v>1</v>
      </c>
    </row>
    <row r="24" spans="1:20" ht="12.75" customHeight="1">
      <c r="A24" s="4" t="s">
        <v>33</v>
      </c>
      <c r="B24" s="9" t="s">
        <v>487</v>
      </c>
      <c r="C24" s="6" t="s">
        <v>482</v>
      </c>
      <c r="D24" s="7">
        <v>29.5</v>
      </c>
      <c r="E24" s="7">
        <v>34.200000000000003</v>
      </c>
      <c r="F24" s="7">
        <v>11.8</v>
      </c>
      <c r="G24" s="4">
        <v>523</v>
      </c>
      <c r="H24" s="4">
        <f t="shared" si="0"/>
        <v>0.52300000000000002</v>
      </c>
      <c r="I24" s="8">
        <v>45210</v>
      </c>
      <c r="K24" s="5" t="s">
        <v>474</v>
      </c>
      <c r="L24" s="5" t="s">
        <v>483</v>
      </c>
      <c r="M24" s="5" t="s">
        <v>488</v>
      </c>
      <c r="N24" s="10" t="s">
        <v>485</v>
      </c>
      <c r="O24" s="11">
        <v>2</v>
      </c>
      <c r="P24" s="12" t="s">
        <v>474</v>
      </c>
      <c r="Q24" s="12" t="s">
        <v>486</v>
      </c>
      <c r="R24" s="12" t="s">
        <v>462</v>
      </c>
      <c r="S24" s="11">
        <v>7</v>
      </c>
      <c r="T24" s="11">
        <v>1</v>
      </c>
    </row>
    <row r="25" spans="1:20" ht="12.75" customHeight="1">
      <c r="A25" s="4" t="s">
        <v>34</v>
      </c>
      <c r="B25" s="9" t="s">
        <v>487</v>
      </c>
      <c r="C25" s="6" t="s">
        <v>482</v>
      </c>
      <c r="D25" s="7">
        <v>30.4</v>
      </c>
      <c r="E25" s="7">
        <v>37.6</v>
      </c>
      <c r="F25" s="7">
        <v>10.6</v>
      </c>
      <c r="G25" s="4">
        <v>520</v>
      </c>
      <c r="H25" s="13">
        <f t="shared" si="0"/>
        <v>0.52</v>
      </c>
      <c r="I25" s="8">
        <v>45210</v>
      </c>
      <c r="K25" s="5" t="s">
        <v>474</v>
      </c>
      <c r="L25" s="5" t="s">
        <v>483</v>
      </c>
      <c r="M25" s="5" t="s">
        <v>488</v>
      </c>
      <c r="N25" s="10" t="s">
        <v>485</v>
      </c>
      <c r="O25" s="11">
        <v>2</v>
      </c>
      <c r="P25" s="12" t="s">
        <v>474</v>
      </c>
      <c r="Q25" s="12" t="s">
        <v>486</v>
      </c>
      <c r="R25" s="12" t="s">
        <v>462</v>
      </c>
      <c r="S25" s="11">
        <v>7</v>
      </c>
      <c r="T25" s="11">
        <v>1</v>
      </c>
    </row>
    <row r="26" spans="1:20" ht="12.75" customHeight="1">
      <c r="A26" s="4" t="s">
        <v>35</v>
      </c>
      <c r="B26" s="9" t="s">
        <v>487</v>
      </c>
      <c r="C26" s="6" t="s">
        <v>482</v>
      </c>
      <c r="D26" s="7">
        <v>23.8</v>
      </c>
      <c r="E26" s="7">
        <v>33.700000000000003</v>
      </c>
      <c r="F26" s="7">
        <v>8.6</v>
      </c>
      <c r="G26" s="4">
        <v>289</v>
      </c>
      <c r="H26" s="4">
        <f t="shared" si="0"/>
        <v>0.28899999999999998</v>
      </c>
      <c r="I26" s="8">
        <v>45210</v>
      </c>
      <c r="K26" s="5" t="s">
        <v>474</v>
      </c>
      <c r="L26" s="5" t="s">
        <v>483</v>
      </c>
      <c r="M26" s="5" t="s">
        <v>488</v>
      </c>
      <c r="N26" s="10" t="s">
        <v>485</v>
      </c>
      <c r="O26" s="11">
        <v>2</v>
      </c>
      <c r="P26" s="12" t="s">
        <v>474</v>
      </c>
      <c r="Q26" s="12" t="s">
        <v>486</v>
      </c>
      <c r="R26" s="12" t="s">
        <v>462</v>
      </c>
      <c r="S26" s="11">
        <v>7</v>
      </c>
      <c r="T26" s="11">
        <v>1</v>
      </c>
    </row>
    <row r="27" spans="1:20" ht="12.75" customHeight="1">
      <c r="A27" s="4" t="s">
        <v>36</v>
      </c>
      <c r="B27" s="9" t="s">
        <v>489</v>
      </c>
      <c r="C27" s="6" t="s">
        <v>482</v>
      </c>
      <c r="D27" s="7">
        <v>20.5</v>
      </c>
      <c r="E27" s="7">
        <v>23.3</v>
      </c>
      <c r="F27" s="7">
        <v>7.7</v>
      </c>
      <c r="G27" s="4">
        <v>168</v>
      </c>
      <c r="H27" s="4">
        <f t="shared" si="0"/>
        <v>0.16800000000000001</v>
      </c>
      <c r="I27" s="8">
        <v>45231</v>
      </c>
      <c r="K27" s="5" t="s">
        <v>474</v>
      </c>
      <c r="L27" s="5" t="s">
        <v>483</v>
      </c>
      <c r="M27" s="5" t="s">
        <v>490</v>
      </c>
      <c r="N27" s="10" t="s">
        <v>485</v>
      </c>
      <c r="O27" s="11">
        <v>2</v>
      </c>
      <c r="P27" s="12" t="s">
        <v>474</v>
      </c>
      <c r="Q27" s="12" t="s">
        <v>486</v>
      </c>
      <c r="R27" s="12" t="s">
        <v>462</v>
      </c>
      <c r="S27" s="11">
        <v>5</v>
      </c>
      <c r="T27" s="11">
        <v>1</v>
      </c>
    </row>
    <row r="28" spans="1:20" ht="12.75" customHeight="1">
      <c r="A28" s="4" t="s">
        <v>37</v>
      </c>
      <c r="B28" s="9" t="s">
        <v>489</v>
      </c>
      <c r="C28" s="6" t="s">
        <v>482</v>
      </c>
      <c r="D28" s="7">
        <v>22</v>
      </c>
      <c r="E28" s="7">
        <v>27.7</v>
      </c>
      <c r="F28" s="7">
        <v>8.1</v>
      </c>
      <c r="G28" s="4">
        <v>213</v>
      </c>
      <c r="H28" s="4">
        <f t="shared" si="0"/>
        <v>0.21299999999999999</v>
      </c>
      <c r="I28" s="8">
        <v>45231</v>
      </c>
      <c r="K28" s="5" t="s">
        <v>474</v>
      </c>
      <c r="L28" s="5" t="s">
        <v>483</v>
      </c>
      <c r="M28" s="5" t="s">
        <v>490</v>
      </c>
      <c r="N28" s="10" t="s">
        <v>485</v>
      </c>
      <c r="O28" s="11">
        <v>2</v>
      </c>
      <c r="P28" s="12" t="s">
        <v>474</v>
      </c>
      <c r="Q28" s="12" t="s">
        <v>486</v>
      </c>
      <c r="R28" s="12" t="s">
        <v>462</v>
      </c>
      <c r="S28" s="11">
        <v>5</v>
      </c>
      <c r="T28" s="11">
        <v>1</v>
      </c>
    </row>
    <row r="29" spans="1:20" ht="12.75" customHeight="1">
      <c r="A29" s="4" t="s">
        <v>38</v>
      </c>
      <c r="B29" s="9" t="s">
        <v>489</v>
      </c>
      <c r="C29" s="6" t="s">
        <v>482</v>
      </c>
      <c r="D29" s="7">
        <v>18.5</v>
      </c>
      <c r="E29" s="7">
        <v>23.3</v>
      </c>
      <c r="F29" s="7">
        <v>6.8</v>
      </c>
      <c r="G29" s="4">
        <v>112</v>
      </c>
      <c r="H29" s="4">
        <f t="shared" si="0"/>
        <v>0.112</v>
      </c>
      <c r="I29" s="8">
        <v>45231</v>
      </c>
      <c r="K29" s="5" t="s">
        <v>474</v>
      </c>
      <c r="L29" s="5" t="s">
        <v>483</v>
      </c>
      <c r="M29" s="5" t="s">
        <v>490</v>
      </c>
      <c r="N29" s="10" t="s">
        <v>485</v>
      </c>
      <c r="O29" s="11">
        <v>2</v>
      </c>
      <c r="P29" s="12" t="s">
        <v>474</v>
      </c>
      <c r="Q29" s="12" t="s">
        <v>486</v>
      </c>
      <c r="R29" s="12" t="s">
        <v>462</v>
      </c>
      <c r="S29" s="11">
        <v>5</v>
      </c>
      <c r="T29" s="11">
        <v>1</v>
      </c>
    </row>
    <row r="30" spans="1:20" ht="12.75" customHeight="1">
      <c r="A30" s="4" t="s">
        <v>39</v>
      </c>
      <c r="B30" s="9" t="s">
        <v>489</v>
      </c>
      <c r="C30" s="6" t="s">
        <v>482</v>
      </c>
      <c r="D30" s="7">
        <v>27.1</v>
      </c>
      <c r="E30" s="7">
        <v>32.200000000000003</v>
      </c>
      <c r="F30" s="7">
        <v>9.5</v>
      </c>
      <c r="G30" s="4">
        <v>348</v>
      </c>
      <c r="H30" s="4">
        <f t="shared" si="0"/>
        <v>0.34799999999999998</v>
      </c>
      <c r="I30" s="8">
        <v>45231</v>
      </c>
      <c r="K30" s="5" t="s">
        <v>474</v>
      </c>
      <c r="L30" s="5" t="s">
        <v>483</v>
      </c>
      <c r="M30" s="5" t="s">
        <v>490</v>
      </c>
      <c r="N30" s="10" t="s">
        <v>485</v>
      </c>
      <c r="O30" s="11">
        <v>2</v>
      </c>
      <c r="P30" s="12" t="s">
        <v>474</v>
      </c>
      <c r="Q30" s="12" t="s">
        <v>486</v>
      </c>
      <c r="R30" s="12" t="s">
        <v>462</v>
      </c>
      <c r="S30" s="11">
        <v>5</v>
      </c>
      <c r="T30" s="11">
        <v>1</v>
      </c>
    </row>
    <row r="31" spans="1:20" ht="12.75" customHeight="1">
      <c r="A31" s="4" t="s">
        <v>40</v>
      </c>
      <c r="B31" s="9" t="s">
        <v>489</v>
      </c>
      <c r="C31" s="6" t="s">
        <v>482</v>
      </c>
      <c r="D31" s="7">
        <v>25.6</v>
      </c>
      <c r="E31" s="7">
        <v>30.5</v>
      </c>
      <c r="F31" s="7">
        <v>10</v>
      </c>
      <c r="G31" s="4">
        <v>370</v>
      </c>
      <c r="H31" s="13">
        <f t="shared" si="0"/>
        <v>0.37</v>
      </c>
      <c r="I31" s="8">
        <v>45231</v>
      </c>
      <c r="K31" s="5" t="s">
        <v>474</v>
      </c>
      <c r="L31" s="5" t="s">
        <v>483</v>
      </c>
      <c r="M31" s="5" t="s">
        <v>490</v>
      </c>
      <c r="N31" s="10" t="s">
        <v>485</v>
      </c>
      <c r="O31" s="11">
        <v>2</v>
      </c>
      <c r="P31" s="12" t="s">
        <v>474</v>
      </c>
      <c r="Q31" s="12" t="s">
        <v>486</v>
      </c>
      <c r="R31" s="12" t="s">
        <v>462</v>
      </c>
      <c r="S31" s="11">
        <v>5</v>
      </c>
      <c r="T31" s="11">
        <v>1</v>
      </c>
    </row>
    <row r="32" spans="1:20" ht="12.75" customHeight="1">
      <c r="A32" s="4" t="s">
        <v>41</v>
      </c>
      <c r="B32" s="9" t="s">
        <v>489</v>
      </c>
      <c r="C32" s="6" t="s">
        <v>482</v>
      </c>
      <c r="D32" s="7">
        <v>16.600000000000001</v>
      </c>
      <c r="E32" s="7">
        <v>18</v>
      </c>
      <c r="F32" s="7">
        <v>6.1</v>
      </c>
      <c r="G32" s="4">
        <v>110</v>
      </c>
      <c r="H32" s="13">
        <f t="shared" si="0"/>
        <v>0.11</v>
      </c>
      <c r="I32" s="8">
        <v>45231</v>
      </c>
      <c r="K32" s="5" t="s">
        <v>474</v>
      </c>
      <c r="L32" s="5" t="s">
        <v>483</v>
      </c>
      <c r="M32" s="5" t="s">
        <v>490</v>
      </c>
      <c r="N32" s="10" t="s">
        <v>485</v>
      </c>
      <c r="O32" s="11">
        <v>2</v>
      </c>
      <c r="P32" s="12" t="s">
        <v>474</v>
      </c>
      <c r="Q32" s="12" t="s">
        <v>486</v>
      </c>
      <c r="R32" s="12" t="s">
        <v>462</v>
      </c>
      <c r="S32" s="11">
        <v>5</v>
      </c>
      <c r="T32" s="11">
        <v>1</v>
      </c>
    </row>
    <row r="33" spans="1:20" ht="12.75" customHeight="1">
      <c r="A33" s="4" t="s">
        <v>42</v>
      </c>
      <c r="B33" s="9" t="s">
        <v>489</v>
      </c>
      <c r="C33" s="6" t="s">
        <v>482</v>
      </c>
      <c r="D33" s="7">
        <v>17.7</v>
      </c>
      <c r="E33" s="7">
        <v>19.8</v>
      </c>
      <c r="F33" s="7">
        <v>6</v>
      </c>
      <c r="G33" s="4">
        <v>95</v>
      </c>
      <c r="H33" s="13">
        <f t="shared" si="0"/>
        <v>9.5000000000000001E-2</v>
      </c>
      <c r="I33" s="8">
        <v>45231</v>
      </c>
      <c r="K33" s="5" t="s">
        <v>474</v>
      </c>
      <c r="L33" s="5" t="s">
        <v>483</v>
      </c>
      <c r="M33" s="5" t="s">
        <v>490</v>
      </c>
      <c r="N33" s="10" t="s">
        <v>485</v>
      </c>
      <c r="O33" s="11">
        <v>2</v>
      </c>
      <c r="P33" s="12" t="s">
        <v>474</v>
      </c>
      <c r="Q33" s="12" t="s">
        <v>486</v>
      </c>
      <c r="R33" s="12" t="s">
        <v>462</v>
      </c>
      <c r="S33" s="11">
        <v>5</v>
      </c>
      <c r="T33" s="11">
        <v>1</v>
      </c>
    </row>
    <row r="34" spans="1:20" ht="12.75" customHeight="1">
      <c r="A34" s="4" t="s">
        <v>43</v>
      </c>
      <c r="B34" s="9" t="s">
        <v>489</v>
      </c>
      <c r="C34" s="6" t="s">
        <v>482</v>
      </c>
      <c r="D34" s="7">
        <v>22.2</v>
      </c>
      <c r="E34" s="7">
        <v>26.6</v>
      </c>
      <c r="F34" s="7">
        <v>8.3000000000000007</v>
      </c>
      <c r="G34" s="4">
        <v>220</v>
      </c>
      <c r="H34" s="13">
        <f t="shared" si="0"/>
        <v>0.22</v>
      </c>
      <c r="I34" s="8">
        <v>45231</v>
      </c>
      <c r="K34" s="5" t="s">
        <v>474</v>
      </c>
      <c r="L34" s="5" t="s">
        <v>483</v>
      </c>
      <c r="M34" s="5" t="s">
        <v>490</v>
      </c>
      <c r="N34" s="10" t="s">
        <v>485</v>
      </c>
      <c r="O34" s="11">
        <v>2</v>
      </c>
      <c r="P34" s="12" t="s">
        <v>474</v>
      </c>
      <c r="Q34" s="12" t="s">
        <v>486</v>
      </c>
      <c r="R34" s="12" t="s">
        <v>462</v>
      </c>
      <c r="S34" s="11">
        <v>5</v>
      </c>
      <c r="T34" s="11">
        <v>1</v>
      </c>
    </row>
    <row r="35" spans="1:20" ht="12.75" customHeight="1">
      <c r="A35" s="4" t="s">
        <v>44</v>
      </c>
      <c r="B35" s="9" t="s">
        <v>489</v>
      </c>
      <c r="C35" s="6" t="s">
        <v>482</v>
      </c>
      <c r="D35" s="7">
        <v>22.2</v>
      </c>
      <c r="E35" s="7">
        <v>26.1</v>
      </c>
      <c r="F35" s="7">
        <v>7.2</v>
      </c>
      <c r="G35" s="4">
        <v>192</v>
      </c>
      <c r="H35" s="4">
        <f t="shared" si="0"/>
        <v>0.192</v>
      </c>
      <c r="I35" s="8">
        <v>45231</v>
      </c>
      <c r="K35" s="5" t="s">
        <v>474</v>
      </c>
      <c r="L35" s="5" t="s">
        <v>483</v>
      </c>
      <c r="M35" s="5" t="s">
        <v>490</v>
      </c>
      <c r="N35" s="10" t="s">
        <v>485</v>
      </c>
      <c r="O35" s="11">
        <v>2</v>
      </c>
      <c r="P35" s="12" t="s">
        <v>474</v>
      </c>
      <c r="Q35" s="12" t="s">
        <v>486</v>
      </c>
      <c r="R35" s="12" t="s">
        <v>462</v>
      </c>
      <c r="S35" s="11">
        <v>5</v>
      </c>
      <c r="T35" s="11">
        <v>1</v>
      </c>
    </row>
    <row r="36" spans="1:20" ht="12.75" customHeight="1">
      <c r="A36" s="4" t="s">
        <v>45</v>
      </c>
      <c r="B36" s="9" t="s">
        <v>489</v>
      </c>
      <c r="C36" s="6" t="s">
        <v>482</v>
      </c>
      <c r="D36" s="7">
        <v>22.2</v>
      </c>
      <c r="E36" s="7">
        <v>26.1</v>
      </c>
      <c r="F36" s="7">
        <v>8</v>
      </c>
      <c r="G36" s="4">
        <v>197</v>
      </c>
      <c r="H36" s="4">
        <f t="shared" si="0"/>
        <v>0.19700000000000001</v>
      </c>
      <c r="I36" s="8">
        <v>45231</v>
      </c>
      <c r="K36" s="5" t="s">
        <v>474</v>
      </c>
      <c r="L36" s="5" t="s">
        <v>483</v>
      </c>
      <c r="M36" s="5" t="s">
        <v>490</v>
      </c>
      <c r="N36" s="10" t="s">
        <v>485</v>
      </c>
      <c r="O36" s="11">
        <v>2</v>
      </c>
      <c r="P36" s="12" t="s">
        <v>474</v>
      </c>
      <c r="Q36" s="12" t="s">
        <v>486</v>
      </c>
      <c r="R36" s="12" t="s">
        <v>462</v>
      </c>
      <c r="S36" s="11">
        <v>5</v>
      </c>
      <c r="T36" s="11">
        <v>1</v>
      </c>
    </row>
    <row r="37" spans="1:20" ht="12.75" customHeight="1">
      <c r="A37" s="4" t="s">
        <v>46</v>
      </c>
      <c r="B37" s="9" t="s">
        <v>489</v>
      </c>
      <c r="C37" s="6" t="s">
        <v>482</v>
      </c>
      <c r="D37" s="7">
        <v>21.6</v>
      </c>
      <c r="E37" s="7">
        <v>25.2</v>
      </c>
      <c r="F37" s="7">
        <v>8.1999999999999993</v>
      </c>
      <c r="G37" s="4">
        <v>211</v>
      </c>
      <c r="H37" s="4">
        <f t="shared" si="0"/>
        <v>0.21099999999999999</v>
      </c>
      <c r="I37" s="8">
        <v>45231</v>
      </c>
      <c r="K37" s="5" t="s">
        <v>474</v>
      </c>
      <c r="L37" s="5" t="s">
        <v>483</v>
      </c>
      <c r="M37" s="5" t="s">
        <v>490</v>
      </c>
      <c r="N37" s="10" t="s">
        <v>485</v>
      </c>
      <c r="O37" s="11">
        <v>2</v>
      </c>
      <c r="P37" s="12" t="s">
        <v>474</v>
      </c>
      <c r="Q37" s="12" t="s">
        <v>486</v>
      </c>
      <c r="R37" s="12" t="s">
        <v>462</v>
      </c>
      <c r="S37" s="11">
        <v>5</v>
      </c>
      <c r="T37" s="11">
        <v>1</v>
      </c>
    </row>
    <row r="38" spans="1:20" ht="12.75" customHeight="1">
      <c r="A38" s="4" t="s">
        <v>47</v>
      </c>
      <c r="B38" s="9" t="s">
        <v>489</v>
      </c>
      <c r="C38" s="6" t="s">
        <v>482</v>
      </c>
      <c r="D38" s="7">
        <v>23.3</v>
      </c>
      <c r="E38" s="7">
        <v>25.4</v>
      </c>
      <c r="F38" s="7">
        <v>8.4</v>
      </c>
      <c r="G38" s="4">
        <v>248</v>
      </c>
      <c r="H38" s="4">
        <f t="shared" si="0"/>
        <v>0.248</v>
      </c>
      <c r="I38" s="8">
        <v>45231</v>
      </c>
      <c r="K38" s="5" t="s">
        <v>474</v>
      </c>
      <c r="L38" s="5" t="s">
        <v>483</v>
      </c>
      <c r="M38" s="5" t="s">
        <v>490</v>
      </c>
      <c r="N38" s="10" t="s">
        <v>485</v>
      </c>
      <c r="O38" s="11">
        <v>2</v>
      </c>
      <c r="P38" s="12" t="s">
        <v>474</v>
      </c>
      <c r="Q38" s="12" t="s">
        <v>486</v>
      </c>
      <c r="R38" s="12" t="s">
        <v>462</v>
      </c>
      <c r="S38" s="11">
        <v>5</v>
      </c>
      <c r="T38" s="11">
        <v>1</v>
      </c>
    </row>
    <row r="39" spans="1:20" ht="12.75" customHeight="1">
      <c r="A39" s="4" t="s">
        <v>48</v>
      </c>
      <c r="B39" s="9" t="s">
        <v>489</v>
      </c>
      <c r="C39" s="6" t="s">
        <v>482</v>
      </c>
      <c r="D39" s="7">
        <v>22.7</v>
      </c>
      <c r="E39" s="7">
        <v>29.1</v>
      </c>
      <c r="F39" s="7">
        <v>8.3000000000000007</v>
      </c>
      <c r="G39" s="4">
        <v>233</v>
      </c>
      <c r="H39" s="4">
        <f t="shared" si="0"/>
        <v>0.23300000000000001</v>
      </c>
      <c r="I39" s="8">
        <v>45231</v>
      </c>
      <c r="K39" s="5" t="s">
        <v>474</v>
      </c>
      <c r="L39" s="5" t="s">
        <v>483</v>
      </c>
      <c r="M39" s="5" t="s">
        <v>490</v>
      </c>
      <c r="N39" s="10" t="s">
        <v>485</v>
      </c>
      <c r="O39" s="11">
        <v>2</v>
      </c>
      <c r="P39" s="12" t="s">
        <v>474</v>
      </c>
      <c r="Q39" s="12" t="s">
        <v>486</v>
      </c>
      <c r="R39" s="12" t="s">
        <v>462</v>
      </c>
      <c r="S39" s="11">
        <v>5</v>
      </c>
      <c r="T39" s="11">
        <v>1</v>
      </c>
    </row>
    <row r="40" spans="1:20" ht="12.75" customHeight="1">
      <c r="A40" s="4" t="s">
        <v>49</v>
      </c>
      <c r="B40" s="9" t="s">
        <v>489</v>
      </c>
      <c r="C40" s="6" t="s">
        <v>482</v>
      </c>
      <c r="D40" s="7">
        <v>32.1</v>
      </c>
      <c r="E40" s="7">
        <v>24.4</v>
      </c>
      <c r="F40" s="7">
        <v>9.8000000000000007</v>
      </c>
      <c r="G40" s="4">
        <v>269</v>
      </c>
      <c r="H40" s="4">
        <f t="shared" si="0"/>
        <v>0.26900000000000002</v>
      </c>
      <c r="I40" s="8">
        <v>45231</v>
      </c>
      <c r="K40" s="5" t="s">
        <v>474</v>
      </c>
      <c r="L40" s="5" t="s">
        <v>483</v>
      </c>
      <c r="M40" s="5" t="s">
        <v>490</v>
      </c>
      <c r="N40" s="10" t="s">
        <v>485</v>
      </c>
      <c r="O40" s="11">
        <v>2</v>
      </c>
      <c r="P40" s="12" t="s">
        <v>474</v>
      </c>
      <c r="Q40" s="12" t="s">
        <v>486</v>
      </c>
      <c r="R40" s="12" t="s">
        <v>462</v>
      </c>
      <c r="S40" s="11">
        <v>5</v>
      </c>
      <c r="T40" s="11">
        <v>1</v>
      </c>
    </row>
    <row r="41" spans="1:20" ht="12.75" customHeight="1">
      <c r="A41" s="4" t="s">
        <v>50</v>
      </c>
      <c r="B41" s="9" t="s">
        <v>489</v>
      </c>
      <c r="C41" s="6" t="s">
        <v>482</v>
      </c>
      <c r="D41" s="7">
        <v>25.2</v>
      </c>
      <c r="E41" s="7">
        <v>32.4</v>
      </c>
      <c r="F41" s="7">
        <v>9.1</v>
      </c>
      <c r="G41" s="4">
        <v>340</v>
      </c>
      <c r="H41" s="13">
        <f t="shared" si="0"/>
        <v>0.34</v>
      </c>
      <c r="I41" s="8">
        <v>45231</v>
      </c>
      <c r="K41" s="5" t="s">
        <v>474</v>
      </c>
      <c r="L41" s="5" t="s">
        <v>483</v>
      </c>
      <c r="M41" s="5" t="s">
        <v>490</v>
      </c>
      <c r="N41" s="10" t="s">
        <v>485</v>
      </c>
      <c r="O41" s="11">
        <v>2</v>
      </c>
      <c r="P41" s="12" t="s">
        <v>474</v>
      </c>
      <c r="Q41" s="12" t="s">
        <v>486</v>
      </c>
      <c r="R41" s="12" t="s">
        <v>462</v>
      </c>
      <c r="S41" s="11">
        <v>5</v>
      </c>
      <c r="T41" s="11">
        <v>1</v>
      </c>
    </row>
    <row r="42" spans="1:20" ht="12.75" customHeight="1">
      <c r="A42" s="4" t="s">
        <v>51</v>
      </c>
      <c r="B42" s="9" t="s">
        <v>489</v>
      </c>
      <c r="C42" s="6" t="s">
        <v>482</v>
      </c>
      <c r="D42" s="7">
        <v>25</v>
      </c>
      <c r="E42" s="7">
        <v>31.5</v>
      </c>
      <c r="F42" s="7">
        <v>9.4</v>
      </c>
      <c r="G42" s="4">
        <v>336</v>
      </c>
      <c r="H42" s="4">
        <f t="shared" si="0"/>
        <v>0.33600000000000002</v>
      </c>
      <c r="I42" s="8">
        <v>45231</v>
      </c>
      <c r="K42" s="5" t="s">
        <v>474</v>
      </c>
      <c r="L42" s="5" t="s">
        <v>483</v>
      </c>
      <c r="M42" s="5" t="s">
        <v>490</v>
      </c>
      <c r="N42" s="10" t="s">
        <v>485</v>
      </c>
      <c r="O42" s="11">
        <v>2</v>
      </c>
      <c r="P42" s="12" t="s">
        <v>474</v>
      </c>
      <c r="Q42" s="12" t="s">
        <v>486</v>
      </c>
      <c r="R42" s="12" t="s">
        <v>462</v>
      </c>
      <c r="S42" s="11">
        <v>5</v>
      </c>
      <c r="T42" s="11">
        <v>1</v>
      </c>
    </row>
    <row r="43" spans="1:20" ht="12.75" customHeight="1">
      <c r="A43" s="4" t="s">
        <v>52</v>
      </c>
      <c r="B43" s="9" t="s">
        <v>489</v>
      </c>
      <c r="C43" s="6" t="s">
        <v>482</v>
      </c>
      <c r="D43" s="7">
        <v>27.8</v>
      </c>
      <c r="E43" s="7">
        <v>34.1</v>
      </c>
      <c r="F43" s="7">
        <v>10.1</v>
      </c>
      <c r="G43" s="4">
        <v>454</v>
      </c>
      <c r="H43" s="4">
        <f t="shared" si="0"/>
        <v>0.45400000000000001</v>
      </c>
      <c r="I43" s="8">
        <v>45231</v>
      </c>
      <c r="K43" s="5" t="s">
        <v>474</v>
      </c>
      <c r="L43" s="5" t="s">
        <v>483</v>
      </c>
      <c r="M43" s="5" t="s">
        <v>490</v>
      </c>
      <c r="N43" s="10" t="s">
        <v>485</v>
      </c>
      <c r="O43" s="11">
        <v>2</v>
      </c>
      <c r="P43" s="12" t="s">
        <v>474</v>
      </c>
      <c r="Q43" s="12" t="s">
        <v>486</v>
      </c>
      <c r="R43" s="12" t="s">
        <v>462</v>
      </c>
      <c r="S43" s="11">
        <v>5</v>
      </c>
      <c r="T43" s="11">
        <v>1</v>
      </c>
    </row>
    <row r="44" spans="1:20" ht="12.75" customHeight="1">
      <c r="A44" s="4" t="s">
        <v>53</v>
      </c>
      <c r="B44" s="9" t="s">
        <v>489</v>
      </c>
      <c r="C44" s="6" t="s">
        <v>482</v>
      </c>
      <c r="D44" s="7">
        <v>28.3</v>
      </c>
      <c r="E44" s="7">
        <v>34.1</v>
      </c>
      <c r="F44" s="7">
        <v>10.3</v>
      </c>
      <c r="G44" s="4">
        <v>414</v>
      </c>
      <c r="H44" s="4">
        <f t="shared" si="0"/>
        <v>0.41399999999999998</v>
      </c>
      <c r="I44" s="8">
        <v>45231</v>
      </c>
      <c r="K44" s="5" t="s">
        <v>474</v>
      </c>
      <c r="L44" s="5" t="s">
        <v>483</v>
      </c>
      <c r="M44" s="5" t="s">
        <v>490</v>
      </c>
      <c r="N44" s="10" t="s">
        <v>485</v>
      </c>
      <c r="O44" s="11">
        <v>2</v>
      </c>
      <c r="P44" s="12" t="s">
        <v>474</v>
      </c>
      <c r="Q44" s="12" t="s">
        <v>486</v>
      </c>
      <c r="R44" s="12" t="s">
        <v>462</v>
      </c>
      <c r="S44" s="11">
        <v>5</v>
      </c>
      <c r="T44" s="11">
        <v>1</v>
      </c>
    </row>
    <row r="45" spans="1:20" ht="12.75" customHeight="1">
      <c r="A45" s="4" t="s">
        <v>54</v>
      </c>
      <c r="B45" s="9" t="s">
        <v>489</v>
      </c>
      <c r="C45" s="6" t="s">
        <v>482</v>
      </c>
      <c r="D45" s="7">
        <v>29</v>
      </c>
      <c r="E45" s="7">
        <v>38.1</v>
      </c>
      <c r="F45" s="7">
        <v>11.1</v>
      </c>
      <c r="G45" s="4">
        <v>558</v>
      </c>
      <c r="H45" s="4">
        <f t="shared" si="0"/>
        <v>0.55800000000000005</v>
      </c>
      <c r="I45" s="8">
        <v>45231</v>
      </c>
      <c r="K45" s="5" t="s">
        <v>474</v>
      </c>
      <c r="L45" s="5" t="s">
        <v>483</v>
      </c>
      <c r="M45" s="5" t="s">
        <v>490</v>
      </c>
      <c r="N45" s="10" t="s">
        <v>485</v>
      </c>
      <c r="O45" s="11">
        <v>2</v>
      </c>
      <c r="P45" s="12" t="s">
        <v>474</v>
      </c>
      <c r="Q45" s="12" t="s">
        <v>486</v>
      </c>
      <c r="R45" s="12" t="s">
        <v>462</v>
      </c>
      <c r="S45" s="11">
        <v>5</v>
      </c>
      <c r="T45" s="11">
        <v>1</v>
      </c>
    </row>
    <row r="46" spans="1:20" ht="12.75" customHeight="1">
      <c r="A46" s="4" t="s">
        <v>55</v>
      </c>
      <c r="B46" s="9" t="s">
        <v>489</v>
      </c>
      <c r="C46" s="6" t="s">
        <v>482</v>
      </c>
      <c r="D46" s="7">
        <v>31.3</v>
      </c>
      <c r="E46" s="7">
        <v>42.6</v>
      </c>
      <c r="F46" s="7">
        <v>12.2</v>
      </c>
      <c r="G46" s="4">
        <v>623</v>
      </c>
      <c r="H46" s="4">
        <f t="shared" si="0"/>
        <v>0.623</v>
      </c>
      <c r="I46" s="8">
        <v>45231</v>
      </c>
      <c r="K46" s="5" t="s">
        <v>474</v>
      </c>
      <c r="L46" s="5" t="s">
        <v>483</v>
      </c>
      <c r="M46" s="5" t="s">
        <v>490</v>
      </c>
      <c r="N46" s="10" t="s">
        <v>485</v>
      </c>
      <c r="O46" s="11">
        <v>2</v>
      </c>
      <c r="P46" s="12" t="s">
        <v>474</v>
      </c>
      <c r="Q46" s="12" t="s">
        <v>486</v>
      </c>
      <c r="R46" s="12" t="s">
        <v>462</v>
      </c>
      <c r="S46" s="11">
        <v>5</v>
      </c>
      <c r="T46" s="11">
        <v>1</v>
      </c>
    </row>
    <row r="47" spans="1:20" ht="12.75" customHeight="1">
      <c r="A47" s="4" t="s">
        <v>56</v>
      </c>
      <c r="B47" s="9" t="s">
        <v>489</v>
      </c>
      <c r="C47" s="6" t="s">
        <v>482</v>
      </c>
      <c r="D47" s="7">
        <v>30.1</v>
      </c>
      <c r="E47" s="7">
        <v>41.7</v>
      </c>
      <c r="F47" s="7">
        <v>12.7</v>
      </c>
      <c r="G47" s="4">
        <v>533</v>
      </c>
      <c r="H47" s="4">
        <f t="shared" si="0"/>
        <v>0.53300000000000003</v>
      </c>
      <c r="I47" s="8">
        <v>45231</v>
      </c>
      <c r="K47" s="5" t="s">
        <v>474</v>
      </c>
      <c r="L47" s="5" t="s">
        <v>483</v>
      </c>
      <c r="M47" s="5" t="s">
        <v>490</v>
      </c>
      <c r="N47" s="10" t="s">
        <v>485</v>
      </c>
      <c r="O47" s="11">
        <v>2</v>
      </c>
      <c r="P47" s="12" t="s">
        <v>474</v>
      </c>
      <c r="Q47" s="12" t="s">
        <v>486</v>
      </c>
      <c r="R47" s="12" t="s">
        <v>462</v>
      </c>
      <c r="S47" s="11">
        <v>5</v>
      </c>
      <c r="T47" s="11">
        <v>1</v>
      </c>
    </row>
    <row r="48" spans="1:20" ht="12.75" customHeight="1">
      <c r="A48" s="4" t="s">
        <v>57</v>
      </c>
      <c r="B48" s="9" t="s">
        <v>489</v>
      </c>
      <c r="C48" s="6" t="s">
        <v>482</v>
      </c>
      <c r="D48" s="7">
        <v>27.4</v>
      </c>
      <c r="E48" s="7">
        <v>38.799999999999997</v>
      </c>
      <c r="F48" s="7">
        <v>11.6</v>
      </c>
      <c r="G48" s="4">
        <v>440</v>
      </c>
      <c r="H48" s="13">
        <f t="shared" si="0"/>
        <v>0.44</v>
      </c>
      <c r="I48" s="8">
        <v>45231</v>
      </c>
      <c r="K48" s="5" t="s">
        <v>474</v>
      </c>
      <c r="L48" s="5" t="s">
        <v>483</v>
      </c>
      <c r="M48" s="5" t="s">
        <v>490</v>
      </c>
      <c r="N48" s="10" t="s">
        <v>485</v>
      </c>
      <c r="O48" s="11">
        <v>2</v>
      </c>
      <c r="P48" s="12" t="s">
        <v>474</v>
      </c>
      <c r="Q48" s="12" t="s">
        <v>486</v>
      </c>
      <c r="R48" s="12" t="s">
        <v>462</v>
      </c>
      <c r="S48" s="11">
        <v>5</v>
      </c>
      <c r="T48" s="11">
        <v>1</v>
      </c>
    </row>
    <row r="49" spans="1:20" ht="12.75" customHeight="1">
      <c r="A49" s="4" t="s">
        <v>58</v>
      </c>
      <c r="B49" s="9" t="s">
        <v>489</v>
      </c>
      <c r="C49" s="6" t="s">
        <v>482</v>
      </c>
      <c r="D49" s="7">
        <v>30.7</v>
      </c>
      <c r="E49" s="7">
        <v>38.700000000000003</v>
      </c>
      <c r="F49" s="7">
        <v>10.5</v>
      </c>
      <c r="G49" s="4">
        <v>426</v>
      </c>
      <c r="H49" s="4">
        <f t="shared" si="0"/>
        <v>0.42599999999999999</v>
      </c>
      <c r="I49" s="8">
        <v>45231</v>
      </c>
      <c r="K49" s="5" t="s">
        <v>474</v>
      </c>
      <c r="L49" s="5" t="s">
        <v>483</v>
      </c>
      <c r="M49" s="5" t="s">
        <v>490</v>
      </c>
      <c r="N49" s="10" t="s">
        <v>485</v>
      </c>
      <c r="O49" s="11">
        <v>2</v>
      </c>
      <c r="P49" s="12" t="s">
        <v>474</v>
      </c>
      <c r="Q49" s="12" t="s">
        <v>486</v>
      </c>
      <c r="R49" s="12" t="s">
        <v>462</v>
      </c>
      <c r="S49" s="11">
        <v>5</v>
      </c>
      <c r="T49" s="11">
        <v>1</v>
      </c>
    </row>
    <row r="50" spans="1:20" ht="12.75" customHeight="1">
      <c r="A50" s="4" t="s">
        <v>59</v>
      </c>
      <c r="B50" s="9" t="s">
        <v>489</v>
      </c>
      <c r="C50" s="6" t="s">
        <v>482</v>
      </c>
      <c r="D50" s="7">
        <v>26.3</v>
      </c>
      <c r="E50" s="7">
        <v>34.5</v>
      </c>
      <c r="F50" s="7">
        <v>10.1</v>
      </c>
      <c r="G50" s="4">
        <v>366</v>
      </c>
      <c r="H50" s="4">
        <f t="shared" si="0"/>
        <v>0.36599999999999999</v>
      </c>
      <c r="I50" s="8">
        <v>45231</v>
      </c>
      <c r="K50" s="5" t="s">
        <v>474</v>
      </c>
      <c r="L50" s="5" t="s">
        <v>483</v>
      </c>
      <c r="M50" s="5" t="s">
        <v>490</v>
      </c>
      <c r="N50" s="10" t="s">
        <v>485</v>
      </c>
      <c r="O50" s="11">
        <v>2</v>
      </c>
      <c r="P50" s="12" t="s">
        <v>474</v>
      </c>
      <c r="Q50" s="12" t="s">
        <v>486</v>
      </c>
      <c r="R50" s="12" t="s">
        <v>462</v>
      </c>
      <c r="S50" s="11">
        <v>5</v>
      </c>
      <c r="T50" s="11">
        <v>1</v>
      </c>
    </row>
    <row r="51" spans="1:20" ht="12.75" customHeight="1">
      <c r="A51" s="4" t="s">
        <v>60</v>
      </c>
      <c r="B51" s="9" t="s">
        <v>489</v>
      </c>
      <c r="C51" s="6" t="s">
        <v>482</v>
      </c>
      <c r="D51" s="7">
        <v>20.6</v>
      </c>
      <c r="E51" s="7">
        <v>28.5</v>
      </c>
      <c r="F51" s="7">
        <v>7.6</v>
      </c>
      <c r="G51" s="4">
        <v>157</v>
      </c>
      <c r="H51" s="4">
        <f t="shared" si="0"/>
        <v>0.157</v>
      </c>
      <c r="I51" s="8">
        <v>45231</v>
      </c>
      <c r="K51" s="5" t="s">
        <v>474</v>
      </c>
      <c r="L51" s="5" t="s">
        <v>483</v>
      </c>
      <c r="M51" s="5" t="s">
        <v>490</v>
      </c>
      <c r="N51" s="10" t="s">
        <v>485</v>
      </c>
      <c r="O51" s="11">
        <v>2</v>
      </c>
      <c r="P51" s="12" t="s">
        <v>474</v>
      </c>
      <c r="Q51" s="12" t="s">
        <v>486</v>
      </c>
      <c r="R51" s="12" t="s">
        <v>462</v>
      </c>
      <c r="S51" s="11">
        <v>5</v>
      </c>
      <c r="T51" s="11">
        <v>1</v>
      </c>
    </row>
    <row r="52" spans="1:20" ht="12.75" customHeight="1">
      <c r="A52" s="4" t="s">
        <v>61</v>
      </c>
      <c r="B52" s="9" t="s">
        <v>489</v>
      </c>
      <c r="C52" s="6" t="s">
        <v>482</v>
      </c>
      <c r="D52" s="7">
        <v>28.6</v>
      </c>
      <c r="E52" s="7">
        <v>37.5</v>
      </c>
      <c r="F52" s="7">
        <v>10.3</v>
      </c>
      <c r="G52" s="4">
        <v>422</v>
      </c>
      <c r="H52" s="4">
        <f t="shared" si="0"/>
        <v>0.42199999999999999</v>
      </c>
      <c r="I52" s="8">
        <v>45231</v>
      </c>
      <c r="K52" s="5" t="s">
        <v>474</v>
      </c>
      <c r="L52" s="5" t="s">
        <v>483</v>
      </c>
      <c r="M52" s="5" t="s">
        <v>490</v>
      </c>
      <c r="N52" s="10" t="s">
        <v>485</v>
      </c>
      <c r="O52" s="11">
        <v>2</v>
      </c>
      <c r="P52" s="12" t="s">
        <v>474</v>
      </c>
      <c r="Q52" s="12" t="s">
        <v>486</v>
      </c>
      <c r="R52" s="12" t="s">
        <v>462</v>
      </c>
      <c r="S52" s="11">
        <v>5</v>
      </c>
      <c r="T52" s="11">
        <v>1</v>
      </c>
    </row>
    <row r="53" spans="1:20" ht="12.75" customHeight="1">
      <c r="A53" s="4" t="s">
        <v>62</v>
      </c>
      <c r="B53" s="9" t="s">
        <v>489</v>
      </c>
      <c r="C53" s="6" t="s">
        <v>482</v>
      </c>
      <c r="D53" s="7">
        <v>23.2</v>
      </c>
      <c r="E53" s="7">
        <v>31.4</v>
      </c>
      <c r="F53" s="7">
        <v>8.8000000000000007</v>
      </c>
      <c r="G53" s="4">
        <v>220</v>
      </c>
      <c r="H53" s="13">
        <f t="shared" si="0"/>
        <v>0.22</v>
      </c>
      <c r="I53" s="8">
        <v>45231</v>
      </c>
      <c r="K53" s="5" t="s">
        <v>474</v>
      </c>
      <c r="L53" s="5" t="s">
        <v>483</v>
      </c>
      <c r="M53" s="5" t="s">
        <v>490</v>
      </c>
      <c r="N53" s="10" t="s">
        <v>485</v>
      </c>
      <c r="O53" s="11">
        <v>2</v>
      </c>
      <c r="P53" s="12" t="s">
        <v>474</v>
      </c>
      <c r="Q53" s="12" t="s">
        <v>486</v>
      </c>
      <c r="R53" s="12" t="s">
        <v>462</v>
      </c>
      <c r="S53" s="11">
        <v>5</v>
      </c>
      <c r="T53" s="11">
        <v>1</v>
      </c>
    </row>
    <row r="54" spans="1:20" ht="12.75" customHeight="1">
      <c r="A54" s="4" t="s">
        <v>63</v>
      </c>
      <c r="B54" s="9" t="s">
        <v>489</v>
      </c>
      <c r="C54" s="6" t="s">
        <v>482</v>
      </c>
      <c r="D54" s="7">
        <v>27.2</v>
      </c>
      <c r="E54" s="7">
        <v>35.299999999999997</v>
      </c>
      <c r="F54" s="7">
        <v>10</v>
      </c>
      <c r="G54" s="4">
        <v>350</v>
      </c>
      <c r="H54" s="13">
        <f t="shared" si="0"/>
        <v>0.35</v>
      </c>
      <c r="I54" s="8">
        <v>45231</v>
      </c>
      <c r="K54" s="5" t="s">
        <v>474</v>
      </c>
      <c r="L54" s="5" t="s">
        <v>483</v>
      </c>
      <c r="M54" s="5" t="s">
        <v>490</v>
      </c>
      <c r="N54" s="10" t="s">
        <v>485</v>
      </c>
      <c r="O54" s="11">
        <v>2</v>
      </c>
      <c r="P54" s="12" t="s">
        <v>474</v>
      </c>
      <c r="Q54" s="12" t="s">
        <v>486</v>
      </c>
      <c r="R54" s="12" t="s">
        <v>462</v>
      </c>
      <c r="S54" s="11">
        <v>5</v>
      </c>
      <c r="T54" s="11">
        <v>1</v>
      </c>
    </row>
    <row r="55" spans="1:20" ht="12.75" customHeight="1">
      <c r="A55" s="4" t="s">
        <v>64</v>
      </c>
      <c r="B55" s="9" t="s">
        <v>489</v>
      </c>
      <c r="C55" s="6" t="s">
        <v>482</v>
      </c>
      <c r="D55" s="7">
        <v>20.3</v>
      </c>
      <c r="E55" s="7">
        <v>31.5</v>
      </c>
      <c r="F55" s="7">
        <v>7.3</v>
      </c>
      <c r="G55" s="4">
        <v>105</v>
      </c>
      <c r="H55" s="4">
        <f t="shared" si="0"/>
        <v>0.105</v>
      </c>
      <c r="I55" s="8">
        <v>45231</v>
      </c>
      <c r="K55" s="5" t="s">
        <v>474</v>
      </c>
      <c r="L55" s="5" t="s">
        <v>483</v>
      </c>
      <c r="M55" s="5" t="s">
        <v>490</v>
      </c>
      <c r="N55" s="10" t="s">
        <v>485</v>
      </c>
      <c r="O55" s="11">
        <v>2</v>
      </c>
      <c r="P55" s="12" t="s">
        <v>474</v>
      </c>
      <c r="Q55" s="12" t="s">
        <v>486</v>
      </c>
      <c r="R55" s="12" t="s">
        <v>462</v>
      </c>
      <c r="S55" s="11">
        <v>5</v>
      </c>
      <c r="T55" s="11">
        <v>1</v>
      </c>
    </row>
    <row r="56" spans="1:20" ht="12.75" customHeight="1">
      <c r="A56" s="4" t="s">
        <v>65</v>
      </c>
      <c r="B56" s="9" t="s">
        <v>481</v>
      </c>
      <c r="C56" s="6" t="s">
        <v>482</v>
      </c>
      <c r="D56" s="7">
        <v>24.4</v>
      </c>
      <c r="E56" s="7">
        <v>31.4</v>
      </c>
      <c r="F56" s="7">
        <v>8.3000000000000007</v>
      </c>
      <c r="G56" s="4">
        <v>222</v>
      </c>
      <c r="H56" s="4">
        <f t="shared" si="0"/>
        <v>0.222</v>
      </c>
      <c r="I56" s="8">
        <v>45231</v>
      </c>
      <c r="K56" s="5" t="s">
        <v>474</v>
      </c>
      <c r="L56" s="5" t="s">
        <v>483</v>
      </c>
      <c r="M56" s="5" t="s">
        <v>484</v>
      </c>
      <c r="N56" s="10" t="s">
        <v>485</v>
      </c>
      <c r="O56" s="11">
        <v>2</v>
      </c>
      <c r="P56" s="12" t="s">
        <v>474</v>
      </c>
      <c r="Q56" s="12" t="s">
        <v>486</v>
      </c>
      <c r="R56" s="12" t="s">
        <v>462</v>
      </c>
      <c r="S56" s="11">
        <v>6</v>
      </c>
      <c r="T56" s="11">
        <v>1</v>
      </c>
    </row>
    <row r="57" spans="1:20" ht="12.75" customHeight="1">
      <c r="A57" s="4" t="s">
        <v>66</v>
      </c>
      <c r="B57" s="9" t="s">
        <v>481</v>
      </c>
      <c r="C57" s="6" t="s">
        <v>482</v>
      </c>
      <c r="D57" s="7">
        <v>25.3</v>
      </c>
      <c r="E57" s="7">
        <v>30</v>
      </c>
      <c r="F57" s="7">
        <v>8.5</v>
      </c>
      <c r="G57" s="4">
        <v>220</v>
      </c>
      <c r="H57" s="13">
        <f t="shared" si="0"/>
        <v>0.22</v>
      </c>
      <c r="I57" s="8">
        <v>45231</v>
      </c>
      <c r="K57" s="5" t="s">
        <v>474</v>
      </c>
      <c r="L57" s="5" t="s">
        <v>483</v>
      </c>
      <c r="M57" s="5" t="s">
        <v>484</v>
      </c>
      <c r="N57" s="10" t="s">
        <v>485</v>
      </c>
      <c r="O57" s="11">
        <v>2</v>
      </c>
      <c r="P57" s="12" t="s">
        <v>474</v>
      </c>
      <c r="Q57" s="12" t="s">
        <v>486</v>
      </c>
      <c r="R57" s="12" t="s">
        <v>462</v>
      </c>
      <c r="S57" s="11">
        <v>6</v>
      </c>
      <c r="T57" s="11">
        <v>1</v>
      </c>
    </row>
    <row r="58" spans="1:20" ht="12.75" customHeight="1">
      <c r="A58" s="4" t="s">
        <v>67</v>
      </c>
      <c r="B58" s="9" t="s">
        <v>481</v>
      </c>
      <c r="C58" s="6" t="s">
        <v>482</v>
      </c>
      <c r="D58" s="7">
        <v>24.7</v>
      </c>
      <c r="E58" s="7">
        <v>32.6</v>
      </c>
      <c r="F58" s="7">
        <v>9.6999999999999993</v>
      </c>
      <c r="G58" s="4">
        <v>282</v>
      </c>
      <c r="H58" s="4">
        <f t="shared" si="0"/>
        <v>0.28199999999999997</v>
      </c>
      <c r="I58" s="8">
        <v>45231</v>
      </c>
      <c r="K58" s="5" t="s">
        <v>474</v>
      </c>
      <c r="L58" s="5" t="s">
        <v>483</v>
      </c>
      <c r="M58" s="5" t="s">
        <v>484</v>
      </c>
      <c r="N58" s="10" t="s">
        <v>485</v>
      </c>
      <c r="O58" s="11">
        <v>2</v>
      </c>
      <c r="P58" s="12" t="s">
        <v>474</v>
      </c>
      <c r="Q58" s="12" t="s">
        <v>486</v>
      </c>
      <c r="R58" s="12" t="s">
        <v>462</v>
      </c>
      <c r="S58" s="11">
        <v>6</v>
      </c>
      <c r="T58" s="11">
        <v>1</v>
      </c>
    </row>
    <row r="59" spans="1:20" ht="12.75" customHeight="1">
      <c r="A59" s="4" t="s">
        <v>68</v>
      </c>
      <c r="B59" s="9" t="s">
        <v>481</v>
      </c>
      <c r="C59" s="6" t="s">
        <v>482</v>
      </c>
      <c r="D59" s="7">
        <v>26.1</v>
      </c>
      <c r="E59" s="7">
        <v>35.1</v>
      </c>
      <c r="F59" s="7">
        <v>9.1999999999999993</v>
      </c>
      <c r="G59" s="4">
        <v>361</v>
      </c>
      <c r="H59" s="4">
        <f t="shared" si="0"/>
        <v>0.36099999999999999</v>
      </c>
      <c r="I59" s="8">
        <v>45231</v>
      </c>
      <c r="K59" s="5" t="s">
        <v>474</v>
      </c>
      <c r="L59" s="5" t="s">
        <v>483</v>
      </c>
      <c r="M59" s="5" t="s">
        <v>484</v>
      </c>
      <c r="N59" s="10" t="s">
        <v>485</v>
      </c>
      <c r="O59" s="11">
        <v>2</v>
      </c>
      <c r="P59" s="12" t="s">
        <v>474</v>
      </c>
      <c r="Q59" s="12" t="s">
        <v>486</v>
      </c>
      <c r="R59" s="12" t="s">
        <v>462</v>
      </c>
      <c r="S59" s="11">
        <v>6</v>
      </c>
      <c r="T59" s="11">
        <v>1</v>
      </c>
    </row>
    <row r="60" spans="1:20" ht="12.75" customHeight="1">
      <c r="A60" s="4" t="s">
        <v>69</v>
      </c>
      <c r="B60" s="9" t="s">
        <v>481</v>
      </c>
      <c r="C60" s="6" t="s">
        <v>482</v>
      </c>
      <c r="D60" s="7">
        <v>24.1</v>
      </c>
      <c r="E60" s="7">
        <v>31.1</v>
      </c>
      <c r="F60" s="7">
        <v>8.6999999999999993</v>
      </c>
      <c r="G60" s="4">
        <v>229</v>
      </c>
      <c r="H60" s="4">
        <f t="shared" si="0"/>
        <v>0.22900000000000001</v>
      </c>
      <c r="I60" s="8">
        <v>45231</v>
      </c>
      <c r="K60" s="5" t="s">
        <v>474</v>
      </c>
      <c r="L60" s="5" t="s">
        <v>483</v>
      </c>
      <c r="M60" s="5" t="s">
        <v>484</v>
      </c>
      <c r="N60" s="10" t="s">
        <v>485</v>
      </c>
      <c r="O60" s="11">
        <v>2</v>
      </c>
      <c r="P60" s="12" t="s">
        <v>474</v>
      </c>
      <c r="Q60" s="12" t="s">
        <v>486</v>
      </c>
      <c r="R60" s="12" t="s">
        <v>462</v>
      </c>
      <c r="S60" s="11">
        <v>6</v>
      </c>
      <c r="T60" s="11">
        <v>1</v>
      </c>
    </row>
    <row r="61" spans="1:20" ht="12.75" customHeight="1">
      <c r="A61" s="4" t="s">
        <v>70</v>
      </c>
      <c r="B61" s="9" t="s">
        <v>481</v>
      </c>
      <c r="C61" s="6" t="s">
        <v>482</v>
      </c>
      <c r="D61" s="7">
        <v>23.3</v>
      </c>
      <c r="E61" s="7">
        <v>24.1</v>
      </c>
      <c r="F61" s="7">
        <v>8.1</v>
      </c>
      <c r="G61" s="4">
        <v>226</v>
      </c>
      <c r="H61" s="4">
        <f t="shared" si="0"/>
        <v>0.22600000000000001</v>
      </c>
      <c r="I61" s="8">
        <v>45231</v>
      </c>
      <c r="K61" s="5" t="s">
        <v>474</v>
      </c>
      <c r="L61" s="5" t="s">
        <v>483</v>
      </c>
      <c r="M61" s="5" t="s">
        <v>484</v>
      </c>
      <c r="N61" s="10" t="s">
        <v>485</v>
      </c>
      <c r="O61" s="11">
        <v>2</v>
      </c>
      <c r="P61" s="12" t="s">
        <v>474</v>
      </c>
      <c r="Q61" s="12" t="s">
        <v>486</v>
      </c>
      <c r="R61" s="12" t="s">
        <v>462</v>
      </c>
      <c r="S61" s="11">
        <v>6</v>
      </c>
      <c r="T61" s="11">
        <v>1</v>
      </c>
    </row>
    <row r="62" spans="1:20" ht="12.75" customHeight="1">
      <c r="A62" s="4" t="s">
        <v>71</v>
      </c>
      <c r="B62" s="9" t="s">
        <v>481</v>
      </c>
      <c r="C62" s="6" t="s">
        <v>482</v>
      </c>
      <c r="D62" s="7">
        <v>22.2</v>
      </c>
      <c r="E62" s="7">
        <v>29.6</v>
      </c>
      <c r="F62" s="7">
        <v>7.6</v>
      </c>
      <c r="G62" s="4">
        <v>198</v>
      </c>
      <c r="H62" s="4">
        <f t="shared" si="0"/>
        <v>0.19800000000000001</v>
      </c>
      <c r="I62" s="8">
        <v>45231</v>
      </c>
      <c r="K62" s="5" t="s">
        <v>474</v>
      </c>
      <c r="L62" s="5" t="s">
        <v>483</v>
      </c>
      <c r="M62" s="5" t="s">
        <v>484</v>
      </c>
      <c r="N62" s="10" t="s">
        <v>485</v>
      </c>
      <c r="O62" s="11">
        <v>2</v>
      </c>
      <c r="P62" s="12" t="s">
        <v>474</v>
      </c>
      <c r="Q62" s="12" t="s">
        <v>486</v>
      </c>
      <c r="R62" s="12" t="s">
        <v>462</v>
      </c>
      <c r="S62" s="11">
        <v>6</v>
      </c>
      <c r="T62" s="11">
        <v>1</v>
      </c>
    </row>
    <row r="63" spans="1:20" ht="12.75" customHeight="1">
      <c r="A63" s="4" t="s">
        <v>72</v>
      </c>
      <c r="B63" s="9" t="s">
        <v>481</v>
      </c>
      <c r="C63" s="6" t="s">
        <v>482</v>
      </c>
      <c r="D63" s="7">
        <v>26.1</v>
      </c>
      <c r="E63" s="7">
        <v>35.1</v>
      </c>
      <c r="F63" s="7">
        <v>9.1</v>
      </c>
      <c r="G63" s="4">
        <v>314</v>
      </c>
      <c r="H63" s="4">
        <f t="shared" si="0"/>
        <v>0.314</v>
      </c>
      <c r="I63" s="8">
        <v>45231</v>
      </c>
      <c r="K63" s="5" t="s">
        <v>474</v>
      </c>
      <c r="L63" s="5" t="s">
        <v>483</v>
      </c>
      <c r="M63" s="5" t="s">
        <v>484</v>
      </c>
      <c r="N63" s="10" t="s">
        <v>485</v>
      </c>
      <c r="O63" s="11">
        <v>2</v>
      </c>
      <c r="P63" s="12" t="s">
        <v>474</v>
      </c>
      <c r="Q63" s="12" t="s">
        <v>486</v>
      </c>
      <c r="R63" s="12" t="s">
        <v>462</v>
      </c>
      <c r="S63" s="11">
        <v>6</v>
      </c>
      <c r="T63" s="11">
        <v>1</v>
      </c>
    </row>
    <row r="64" spans="1:20" ht="12.75" customHeight="1">
      <c r="A64" s="4" t="s">
        <v>73</v>
      </c>
      <c r="B64" s="9" t="s">
        <v>481</v>
      </c>
      <c r="C64" s="6" t="s">
        <v>482</v>
      </c>
      <c r="D64" s="7">
        <v>26.3</v>
      </c>
      <c r="E64" s="7">
        <v>35.299999999999997</v>
      </c>
      <c r="F64" s="7">
        <v>9.6999999999999993</v>
      </c>
      <c r="G64" s="4">
        <v>291</v>
      </c>
      <c r="H64" s="4">
        <f t="shared" si="0"/>
        <v>0.29099999999999998</v>
      </c>
      <c r="I64" s="8">
        <v>45231</v>
      </c>
      <c r="K64" s="5" t="s">
        <v>474</v>
      </c>
      <c r="L64" s="5" t="s">
        <v>483</v>
      </c>
      <c r="M64" s="5" t="s">
        <v>484</v>
      </c>
      <c r="N64" s="10" t="s">
        <v>485</v>
      </c>
      <c r="O64" s="11">
        <v>2</v>
      </c>
      <c r="P64" s="12" t="s">
        <v>474</v>
      </c>
      <c r="Q64" s="12" t="s">
        <v>486</v>
      </c>
      <c r="R64" s="12" t="s">
        <v>462</v>
      </c>
      <c r="S64" s="11">
        <v>6</v>
      </c>
      <c r="T64" s="11">
        <v>1</v>
      </c>
    </row>
    <row r="65" spans="1:20" ht="12.75" customHeight="1">
      <c r="A65" s="4" t="s">
        <v>74</v>
      </c>
      <c r="B65" s="9" t="s">
        <v>481</v>
      </c>
      <c r="C65" s="6" t="s">
        <v>482</v>
      </c>
      <c r="D65" s="7">
        <v>30.3</v>
      </c>
      <c r="E65" s="7">
        <v>39</v>
      </c>
      <c r="F65" s="7">
        <v>9.5</v>
      </c>
      <c r="G65" s="4">
        <v>473</v>
      </c>
      <c r="H65" s="4">
        <f t="shared" si="0"/>
        <v>0.47299999999999998</v>
      </c>
      <c r="I65" s="8">
        <v>45231</v>
      </c>
      <c r="K65" s="5" t="s">
        <v>474</v>
      </c>
      <c r="L65" s="5" t="s">
        <v>483</v>
      </c>
      <c r="M65" s="5" t="s">
        <v>484</v>
      </c>
      <c r="N65" s="10" t="s">
        <v>485</v>
      </c>
      <c r="O65" s="11">
        <v>2</v>
      </c>
      <c r="P65" s="12" t="s">
        <v>474</v>
      </c>
      <c r="Q65" s="12" t="s">
        <v>486</v>
      </c>
      <c r="R65" s="12" t="s">
        <v>462</v>
      </c>
      <c r="S65" s="11">
        <v>6</v>
      </c>
      <c r="T65" s="11">
        <v>1</v>
      </c>
    </row>
    <row r="66" spans="1:20" ht="12.75" customHeight="1">
      <c r="A66" s="4" t="s">
        <v>75</v>
      </c>
      <c r="B66" s="9" t="s">
        <v>481</v>
      </c>
      <c r="C66" s="6" t="s">
        <v>482</v>
      </c>
      <c r="D66" s="7">
        <v>33.5</v>
      </c>
      <c r="E66" s="7">
        <v>44.1</v>
      </c>
      <c r="F66" s="7">
        <v>12</v>
      </c>
      <c r="G66" s="4">
        <v>696</v>
      </c>
      <c r="H66" s="4">
        <f t="shared" ref="H66:H129" si="1">G66/1000</f>
        <v>0.69599999999999995</v>
      </c>
      <c r="I66" s="8">
        <v>45231</v>
      </c>
      <c r="K66" s="5" t="s">
        <v>474</v>
      </c>
      <c r="L66" s="5" t="s">
        <v>483</v>
      </c>
      <c r="M66" s="5" t="s">
        <v>484</v>
      </c>
      <c r="N66" s="10" t="s">
        <v>485</v>
      </c>
      <c r="O66" s="11">
        <v>2</v>
      </c>
      <c r="P66" s="12" t="s">
        <v>474</v>
      </c>
      <c r="Q66" s="12" t="s">
        <v>486</v>
      </c>
      <c r="R66" s="12" t="s">
        <v>462</v>
      </c>
      <c r="S66" s="11">
        <v>6</v>
      </c>
      <c r="T66" s="11">
        <v>1</v>
      </c>
    </row>
    <row r="67" spans="1:20" ht="12.75" customHeight="1">
      <c r="A67" s="4" t="s">
        <v>76</v>
      </c>
      <c r="B67" s="9" t="s">
        <v>481</v>
      </c>
      <c r="C67" s="6" t="s">
        <v>482</v>
      </c>
      <c r="D67" s="7">
        <v>28.4</v>
      </c>
      <c r="E67" s="7">
        <v>36.1</v>
      </c>
      <c r="F67" s="7">
        <v>9.5</v>
      </c>
      <c r="G67" s="4">
        <v>359</v>
      </c>
      <c r="H67" s="4">
        <f t="shared" si="1"/>
        <v>0.35899999999999999</v>
      </c>
      <c r="I67" s="8">
        <v>45231</v>
      </c>
      <c r="K67" s="5" t="s">
        <v>474</v>
      </c>
      <c r="L67" s="5" t="s">
        <v>483</v>
      </c>
      <c r="M67" s="5" t="s">
        <v>484</v>
      </c>
      <c r="N67" s="10" t="s">
        <v>485</v>
      </c>
      <c r="O67" s="11">
        <v>2</v>
      </c>
      <c r="P67" s="12" t="s">
        <v>474</v>
      </c>
      <c r="Q67" s="12" t="s">
        <v>486</v>
      </c>
      <c r="R67" s="12" t="s">
        <v>462</v>
      </c>
      <c r="S67" s="11">
        <v>6</v>
      </c>
      <c r="T67" s="11">
        <v>1</v>
      </c>
    </row>
    <row r="68" spans="1:20" ht="12.75" customHeight="1">
      <c r="A68" s="4" t="s">
        <v>77</v>
      </c>
      <c r="B68" s="9" t="s">
        <v>481</v>
      </c>
      <c r="C68" s="6" t="s">
        <v>482</v>
      </c>
      <c r="D68" s="7">
        <v>28.6</v>
      </c>
      <c r="E68" s="7">
        <v>36.700000000000003</v>
      </c>
      <c r="F68" s="7">
        <v>9.6</v>
      </c>
      <c r="G68" s="4">
        <v>365</v>
      </c>
      <c r="H68" s="4">
        <f t="shared" si="1"/>
        <v>0.36499999999999999</v>
      </c>
      <c r="I68" s="8">
        <v>45231</v>
      </c>
      <c r="K68" s="5" t="s">
        <v>474</v>
      </c>
      <c r="L68" s="5" t="s">
        <v>483</v>
      </c>
      <c r="M68" s="5" t="s">
        <v>484</v>
      </c>
      <c r="N68" s="10" t="s">
        <v>485</v>
      </c>
      <c r="O68" s="11">
        <v>2</v>
      </c>
      <c r="P68" s="12" t="s">
        <v>474</v>
      </c>
      <c r="Q68" s="12" t="s">
        <v>486</v>
      </c>
      <c r="R68" s="12" t="s">
        <v>462</v>
      </c>
      <c r="S68" s="11">
        <v>6</v>
      </c>
      <c r="T68" s="11">
        <v>1</v>
      </c>
    </row>
    <row r="69" spans="1:20" ht="12.75" customHeight="1">
      <c r="A69" s="4" t="s">
        <v>78</v>
      </c>
      <c r="B69" s="9" t="s">
        <v>481</v>
      </c>
      <c r="C69" s="6" t="s">
        <v>482</v>
      </c>
      <c r="D69" s="7">
        <v>39.5</v>
      </c>
      <c r="E69" s="7">
        <v>41.6</v>
      </c>
      <c r="F69" s="7">
        <v>11</v>
      </c>
      <c r="G69" s="4">
        <v>457</v>
      </c>
      <c r="H69" s="4">
        <f t="shared" si="1"/>
        <v>0.45700000000000002</v>
      </c>
      <c r="I69" s="8">
        <v>45231</v>
      </c>
      <c r="K69" s="5" t="s">
        <v>474</v>
      </c>
      <c r="L69" s="5" t="s">
        <v>483</v>
      </c>
      <c r="M69" s="5" t="s">
        <v>484</v>
      </c>
      <c r="N69" s="10" t="s">
        <v>485</v>
      </c>
      <c r="O69" s="11">
        <v>2</v>
      </c>
      <c r="P69" s="12" t="s">
        <v>474</v>
      </c>
      <c r="Q69" s="12" t="s">
        <v>486</v>
      </c>
      <c r="R69" s="12" t="s">
        <v>462</v>
      </c>
      <c r="S69" s="11">
        <v>6</v>
      </c>
      <c r="T69" s="11">
        <v>1</v>
      </c>
    </row>
    <row r="70" spans="1:20" ht="12.75" customHeight="1">
      <c r="A70" s="4" t="s">
        <v>79</v>
      </c>
      <c r="B70" s="9" t="s">
        <v>481</v>
      </c>
      <c r="C70" s="6" t="s">
        <v>482</v>
      </c>
      <c r="D70" s="7">
        <v>23.4</v>
      </c>
      <c r="E70" s="7">
        <v>31</v>
      </c>
      <c r="F70" s="7">
        <v>8.6</v>
      </c>
      <c r="G70" s="4">
        <v>190</v>
      </c>
      <c r="H70" s="13">
        <f t="shared" si="1"/>
        <v>0.19</v>
      </c>
      <c r="I70" s="8">
        <v>45231</v>
      </c>
      <c r="K70" s="5" t="s">
        <v>474</v>
      </c>
      <c r="L70" s="5" t="s">
        <v>483</v>
      </c>
      <c r="M70" s="5" t="s">
        <v>484</v>
      </c>
      <c r="N70" s="10" t="s">
        <v>485</v>
      </c>
      <c r="O70" s="11">
        <v>2</v>
      </c>
      <c r="P70" s="12" t="s">
        <v>474</v>
      </c>
      <c r="Q70" s="12" t="s">
        <v>486</v>
      </c>
      <c r="R70" s="12" t="s">
        <v>462</v>
      </c>
      <c r="S70" s="11">
        <v>6</v>
      </c>
      <c r="T70" s="11">
        <v>1</v>
      </c>
    </row>
    <row r="71" spans="1:20" ht="12.75" customHeight="1">
      <c r="A71" s="4" t="s">
        <v>80</v>
      </c>
      <c r="B71" s="9" t="s">
        <v>481</v>
      </c>
      <c r="C71" s="6" t="s">
        <v>482</v>
      </c>
      <c r="D71" s="7">
        <v>26.1</v>
      </c>
      <c r="E71" s="7">
        <v>34.1</v>
      </c>
      <c r="F71" s="7">
        <v>8</v>
      </c>
      <c r="G71" s="4">
        <v>263</v>
      </c>
      <c r="H71" s="4">
        <f t="shared" si="1"/>
        <v>0.26300000000000001</v>
      </c>
      <c r="I71" s="8">
        <v>45231</v>
      </c>
      <c r="K71" s="5" t="s">
        <v>474</v>
      </c>
      <c r="L71" s="5" t="s">
        <v>483</v>
      </c>
      <c r="M71" s="5" t="s">
        <v>484</v>
      </c>
      <c r="N71" s="10" t="s">
        <v>485</v>
      </c>
      <c r="O71" s="11">
        <v>2</v>
      </c>
      <c r="P71" s="12" t="s">
        <v>474</v>
      </c>
      <c r="Q71" s="12" t="s">
        <v>486</v>
      </c>
      <c r="R71" s="12" t="s">
        <v>462</v>
      </c>
      <c r="S71" s="11">
        <v>6</v>
      </c>
      <c r="T71" s="11">
        <v>1</v>
      </c>
    </row>
    <row r="72" spans="1:20" ht="12.75" customHeight="1">
      <c r="A72" s="4" t="s">
        <v>81</v>
      </c>
      <c r="B72" s="9" t="s">
        <v>481</v>
      </c>
      <c r="C72" s="6" t="s">
        <v>482</v>
      </c>
      <c r="D72" s="7">
        <v>26</v>
      </c>
      <c r="E72" s="7">
        <v>32.9</v>
      </c>
      <c r="F72" s="7">
        <v>8.9</v>
      </c>
      <c r="G72" s="4">
        <v>348</v>
      </c>
      <c r="H72" s="4">
        <f t="shared" si="1"/>
        <v>0.34799999999999998</v>
      </c>
      <c r="I72" s="8">
        <v>45231</v>
      </c>
      <c r="K72" s="5" t="s">
        <v>474</v>
      </c>
      <c r="L72" s="5" t="s">
        <v>483</v>
      </c>
      <c r="M72" s="5" t="s">
        <v>484</v>
      </c>
      <c r="N72" s="10" t="s">
        <v>485</v>
      </c>
      <c r="O72" s="11">
        <v>2</v>
      </c>
      <c r="P72" s="12" t="s">
        <v>474</v>
      </c>
      <c r="Q72" s="12" t="s">
        <v>486</v>
      </c>
      <c r="R72" s="12" t="s">
        <v>462</v>
      </c>
      <c r="S72" s="11">
        <v>6</v>
      </c>
      <c r="T72" s="11">
        <v>1</v>
      </c>
    </row>
    <row r="73" spans="1:20" ht="12.75" customHeight="1">
      <c r="A73" s="4" t="s">
        <v>82</v>
      </c>
      <c r="B73" s="9" t="s">
        <v>481</v>
      </c>
      <c r="C73" s="6" t="s">
        <v>482</v>
      </c>
      <c r="D73" s="7">
        <v>19</v>
      </c>
      <c r="E73" s="7">
        <v>28</v>
      </c>
      <c r="F73" s="7">
        <v>6.2</v>
      </c>
      <c r="G73" s="4">
        <v>185</v>
      </c>
      <c r="H73" s="4">
        <f t="shared" si="1"/>
        <v>0.185</v>
      </c>
      <c r="I73" s="8">
        <v>45231</v>
      </c>
      <c r="J73" s="4" t="s">
        <v>86</v>
      </c>
      <c r="K73" s="5" t="s">
        <v>474</v>
      </c>
      <c r="L73" s="5" t="s">
        <v>483</v>
      </c>
      <c r="M73" s="5" t="s">
        <v>484</v>
      </c>
      <c r="N73" s="10" t="s">
        <v>485</v>
      </c>
      <c r="O73" s="11">
        <v>2</v>
      </c>
      <c r="P73" s="12" t="s">
        <v>474</v>
      </c>
      <c r="Q73" s="12" t="s">
        <v>486</v>
      </c>
      <c r="R73" s="12" t="s">
        <v>462</v>
      </c>
      <c r="S73" s="11">
        <v>6</v>
      </c>
      <c r="T73" s="11">
        <v>1</v>
      </c>
    </row>
    <row r="74" spans="1:20" ht="12.75" customHeight="1">
      <c r="A74" s="4" t="s">
        <v>87</v>
      </c>
      <c r="B74" s="9" t="s">
        <v>481</v>
      </c>
      <c r="C74" s="6" t="s">
        <v>482</v>
      </c>
      <c r="D74" s="7">
        <v>23.3</v>
      </c>
      <c r="E74" s="7">
        <v>31.1</v>
      </c>
      <c r="F74" s="7">
        <v>7.7</v>
      </c>
      <c r="G74" s="4">
        <v>174</v>
      </c>
      <c r="H74" s="4">
        <f t="shared" si="1"/>
        <v>0.17399999999999999</v>
      </c>
      <c r="I74" s="8">
        <v>45231</v>
      </c>
      <c r="K74" s="5" t="s">
        <v>474</v>
      </c>
      <c r="L74" s="5" t="s">
        <v>483</v>
      </c>
      <c r="M74" s="5" t="s">
        <v>484</v>
      </c>
      <c r="N74" s="10" t="s">
        <v>485</v>
      </c>
      <c r="O74" s="11">
        <v>2</v>
      </c>
      <c r="P74" s="12" t="s">
        <v>474</v>
      </c>
      <c r="Q74" s="12" t="s">
        <v>486</v>
      </c>
      <c r="R74" s="12" t="s">
        <v>462</v>
      </c>
      <c r="S74" s="11">
        <v>6</v>
      </c>
      <c r="T74" s="11">
        <v>1</v>
      </c>
    </row>
    <row r="75" spans="1:20" ht="12.75" customHeight="1">
      <c r="A75" s="4" t="s">
        <v>88</v>
      </c>
      <c r="B75" s="14" t="s">
        <v>481</v>
      </c>
      <c r="C75" s="6" t="s">
        <v>482</v>
      </c>
      <c r="D75" s="4">
        <v>18.8</v>
      </c>
      <c r="E75" s="4">
        <v>21.2</v>
      </c>
      <c r="F75" s="4">
        <v>5.8</v>
      </c>
      <c r="G75" s="4">
        <v>126</v>
      </c>
      <c r="H75" s="4">
        <f t="shared" si="1"/>
        <v>0.126</v>
      </c>
      <c r="I75" s="8">
        <v>45231</v>
      </c>
      <c r="K75" s="4" t="s">
        <v>474</v>
      </c>
      <c r="L75" s="4" t="s">
        <v>483</v>
      </c>
      <c r="M75" s="4" t="s">
        <v>484</v>
      </c>
      <c r="N75" s="4" t="s">
        <v>485</v>
      </c>
      <c r="O75" s="11">
        <v>2</v>
      </c>
      <c r="P75" s="4" t="s">
        <v>474</v>
      </c>
      <c r="Q75" s="4" t="s">
        <v>486</v>
      </c>
      <c r="R75" s="4" t="s">
        <v>462</v>
      </c>
      <c r="S75" s="11">
        <v>6</v>
      </c>
      <c r="T75" s="11">
        <v>1</v>
      </c>
    </row>
    <row r="76" spans="1:20" ht="12.75" customHeight="1">
      <c r="A76" s="4" t="s">
        <v>89</v>
      </c>
      <c r="B76" s="14" t="s">
        <v>481</v>
      </c>
      <c r="C76" s="6" t="s">
        <v>482</v>
      </c>
      <c r="D76" s="4">
        <v>29</v>
      </c>
      <c r="E76" s="4">
        <v>31.4</v>
      </c>
      <c r="F76" s="4">
        <v>7.4</v>
      </c>
      <c r="G76" s="4">
        <v>274</v>
      </c>
      <c r="H76" s="4">
        <f t="shared" si="1"/>
        <v>0.27400000000000002</v>
      </c>
      <c r="I76" s="8">
        <v>45231</v>
      </c>
      <c r="K76" s="4" t="s">
        <v>474</v>
      </c>
      <c r="L76" s="4" t="s">
        <v>483</v>
      </c>
      <c r="M76" s="4" t="s">
        <v>484</v>
      </c>
      <c r="N76" s="4" t="s">
        <v>485</v>
      </c>
      <c r="O76" s="11">
        <v>2</v>
      </c>
      <c r="P76" s="4" t="s">
        <v>474</v>
      </c>
      <c r="Q76" s="4" t="s">
        <v>486</v>
      </c>
      <c r="R76" s="4" t="s">
        <v>462</v>
      </c>
      <c r="S76" s="11">
        <v>6</v>
      </c>
      <c r="T76" s="11">
        <v>1</v>
      </c>
    </row>
    <row r="77" spans="1:20" ht="12.75" customHeight="1">
      <c r="A77" s="4" t="s">
        <v>90</v>
      </c>
      <c r="B77" s="14" t="s">
        <v>481</v>
      </c>
      <c r="C77" s="6" t="s">
        <v>482</v>
      </c>
      <c r="D77" s="4">
        <v>21.4</v>
      </c>
      <c r="E77" s="4">
        <v>25.4</v>
      </c>
      <c r="F77" s="4">
        <v>7</v>
      </c>
      <c r="G77" s="4">
        <v>188</v>
      </c>
      <c r="H77" s="4">
        <f t="shared" si="1"/>
        <v>0.188</v>
      </c>
      <c r="I77" s="8">
        <v>45231</v>
      </c>
      <c r="K77" s="4" t="s">
        <v>474</v>
      </c>
      <c r="L77" s="4" t="s">
        <v>483</v>
      </c>
      <c r="M77" s="4" t="s">
        <v>484</v>
      </c>
      <c r="N77" s="4" t="s">
        <v>485</v>
      </c>
      <c r="O77" s="11">
        <v>2</v>
      </c>
      <c r="P77" s="4" t="s">
        <v>474</v>
      </c>
      <c r="Q77" s="4" t="s">
        <v>486</v>
      </c>
      <c r="R77" s="4" t="s">
        <v>462</v>
      </c>
      <c r="S77" s="11">
        <v>6</v>
      </c>
      <c r="T77" s="11">
        <v>1</v>
      </c>
    </row>
    <row r="78" spans="1:20" ht="12.75" customHeight="1">
      <c r="A78" s="4" t="s">
        <v>91</v>
      </c>
      <c r="B78" s="14" t="s">
        <v>481</v>
      </c>
      <c r="C78" s="6" t="s">
        <v>482</v>
      </c>
      <c r="D78" s="4">
        <v>25</v>
      </c>
      <c r="E78" s="4">
        <v>30.4</v>
      </c>
      <c r="F78" s="4">
        <v>8.6</v>
      </c>
      <c r="G78" s="4">
        <v>324</v>
      </c>
      <c r="H78" s="4">
        <f t="shared" si="1"/>
        <v>0.32400000000000001</v>
      </c>
      <c r="I78" s="8">
        <v>45231</v>
      </c>
      <c r="K78" s="4" t="s">
        <v>474</v>
      </c>
      <c r="L78" s="4" t="s">
        <v>483</v>
      </c>
      <c r="M78" s="4" t="s">
        <v>484</v>
      </c>
      <c r="N78" s="4" t="s">
        <v>485</v>
      </c>
      <c r="O78" s="11">
        <v>2</v>
      </c>
      <c r="P78" s="4" t="s">
        <v>474</v>
      </c>
      <c r="Q78" s="4" t="s">
        <v>486</v>
      </c>
      <c r="R78" s="4" t="s">
        <v>462</v>
      </c>
      <c r="S78" s="11">
        <v>6</v>
      </c>
      <c r="T78" s="11">
        <v>1</v>
      </c>
    </row>
    <row r="79" spans="1:20" ht="12.75" customHeight="1">
      <c r="A79" s="4" t="s">
        <v>92</v>
      </c>
      <c r="B79" s="14" t="s">
        <v>481</v>
      </c>
      <c r="C79" s="6" t="s">
        <v>482</v>
      </c>
      <c r="D79" s="4">
        <v>25.7</v>
      </c>
      <c r="E79" s="4">
        <v>32.9</v>
      </c>
      <c r="F79" s="4">
        <v>9.4</v>
      </c>
      <c r="G79" s="4">
        <v>387</v>
      </c>
      <c r="H79" s="4">
        <f t="shared" si="1"/>
        <v>0.38700000000000001</v>
      </c>
      <c r="I79" s="8">
        <v>45231</v>
      </c>
      <c r="K79" s="4" t="s">
        <v>474</v>
      </c>
      <c r="L79" s="4" t="s">
        <v>483</v>
      </c>
      <c r="M79" s="4" t="s">
        <v>484</v>
      </c>
      <c r="N79" s="4" t="s">
        <v>485</v>
      </c>
      <c r="O79" s="11">
        <v>2</v>
      </c>
      <c r="P79" s="4" t="s">
        <v>474</v>
      </c>
      <c r="Q79" s="4" t="s">
        <v>486</v>
      </c>
      <c r="R79" s="4" t="s">
        <v>462</v>
      </c>
      <c r="S79" s="11">
        <v>6</v>
      </c>
      <c r="T79" s="11">
        <v>1</v>
      </c>
    </row>
    <row r="80" spans="1:20" ht="12.75" customHeight="1">
      <c r="A80" s="4" t="s">
        <v>93</v>
      </c>
      <c r="B80" s="14" t="s">
        <v>481</v>
      </c>
      <c r="C80" s="6" t="s">
        <v>482</v>
      </c>
      <c r="D80" s="4">
        <v>23.7</v>
      </c>
      <c r="E80" s="4">
        <v>32.299999999999997</v>
      </c>
      <c r="F80" s="4">
        <v>8.6</v>
      </c>
      <c r="G80" s="4">
        <v>273</v>
      </c>
      <c r="H80" s="4">
        <f t="shared" si="1"/>
        <v>0.27300000000000002</v>
      </c>
      <c r="I80" s="8">
        <v>45231</v>
      </c>
      <c r="K80" s="4" t="s">
        <v>474</v>
      </c>
      <c r="L80" s="4" t="s">
        <v>483</v>
      </c>
      <c r="M80" s="4" t="s">
        <v>484</v>
      </c>
      <c r="N80" s="4" t="s">
        <v>485</v>
      </c>
      <c r="O80" s="11">
        <v>2</v>
      </c>
      <c r="P80" s="4" t="s">
        <v>474</v>
      </c>
      <c r="Q80" s="4" t="s">
        <v>486</v>
      </c>
      <c r="R80" s="4" t="s">
        <v>462</v>
      </c>
      <c r="S80" s="11">
        <v>6</v>
      </c>
      <c r="T80" s="11">
        <v>1</v>
      </c>
    </row>
    <row r="81" spans="1:20" ht="12.75" customHeight="1">
      <c r="A81" s="4" t="s">
        <v>94</v>
      </c>
      <c r="B81" s="14" t="s">
        <v>481</v>
      </c>
      <c r="C81" s="6" t="s">
        <v>482</v>
      </c>
      <c r="D81" s="4">
        <v>20.6</v>
      </c>
      <c r="E81" s="4">
        <v>26.8</v>
      </c>
      <c r="F81" s="4">
        <v>6.5</v>
      </c>
      <c r="G81" s="4">
        <v>184</v>
      </c>
      <c r="H81" s="4">
        <f t="shared" si="1"/>
        <v>0.184</v>
      </c>
      <c r="I81" s="8">
        <v>45231</v>
      </c>
      <c r="K81" s="4" t="s">
        <v>474</v>
      </c>
      <c r="L81" s="4" t="s">
        <v>483</v>
      </c>
      <c r="M81" s="4" t="s">
        <v>484</v>
      </c>
      <c r="N81" s="4" t="s">
        <v>485</v>
      </c>
      <c r="O81" s="11">
        <v>2</v>
      </c>
      <c r="P81" s="4" t="s">
        <v>474</v>
      </c>
      <c r="Q81" s="4" t="s">
        <v>486</v>
      </c>
      <c r="R81" s="4" t="s">
        <v>462</v>
      </c>
      <c r="S81" s="11">
        <v>6</v>
      </c>
      <c r="T81" s="11">
        <v>1</v>
      </c>
    </row>
    <row r="82" spans="1:20" ht="12.75" customHeight="1">
      <c r="A82" s="4" t="s">
        <v>95</v>
      </c>
      <c r="B82" s="14" t="s">
        <v>481</v>
      </c>
      <c r="C82" s="6" t="s">
        <v>482</v>
      </c>
      <c r="D82" s="4">
        <v>23.1</v>
      </c>
      <c r="E82" s="4">
        <v>29</v>
      </c>
      <c r="F82" s="4">
        <v>8.1</v>
      </c>
      <c r="G82" s="4">
        <v>254</v>
      </c>
      <c r="H82" s="4">
        <f t="shared" si="1"/>
        <v>0.254</v>
      </c>
      <c r="I82" s="8">
        <v>45231</v>
      </c>
      <c r="K82" s="4" t="s">
        <v>474</v>
      </c>
      <c r="L82" s="4" t="s">
        <v>483</v>
      </c>
      <c r="M82" s="4" t="s">
        <v>484</v>
      </c>
      <c r="N82" s="4" t="s">
        <v>485</v>
      </c>
      <c r="O82" s="11">
        <v>2</v>
      </c>
      <c r="P82" s="4" t="s">
        <v>474</v>
      </c>
      <c r="Q82" s="4" t="s">
        <v>486</v>
      </c>
      <c r="R82" s="4" t="s">
        <v>462</v>
      </c>
      <c r="S82" s="11">
        <v>6</v>
      </c>
      <c r="T82" s="11">
        <v>1</v>
      </c>
    </row>
    <row r="83" spans="1:20" ht="12.75" customHeight="1">
      <c r="A83" s="4" t="s">
        <v>96</v>
      </c>
      <c r="B83" s="14" t="s">
        <v>481</v>
      </c>
      <c r="C83" s="6" t="s">
        <v>482</v>
      </c>
      <c r="D83" s="4">
        <v>19.5</v>
      </c>
      <c r="E83" s="4">
        <v>26.3</v>
      </c>
      <c r="F83" s="4">
        <v>6</v>
      </c>
      <c r="G83" s="4">
        <v>174</v>
      </c>
      <c r="H83" s="4">
        <f t="shared" si="1"/>
        <v>0.17399999999999999</v>
      </c>
      <c r="I83" s="8">
        <v>45231</v>
      </c>
      <c r="K83" s="4" t="s">
        <v>474</v>
      </c>
      <c r="L83" s="4" t="s">
        <v>483</v>
      </c>
      <c r="M83" s="4" t="s">
        <v>484</v>
      </c>
      <c r="N83" s="4" t="s">
        <v>485</v>
      </c>
      <c r="O83" s="11">
        <v>2</v>
      </c>
      <c r="P83" s="4" t="s">
        <v>474</v>
      </c>
      <c r="Q83" s="4" t="s">
        <v>486</v>
      </c>
      <c r="R83" s="4" t="s">
        <v>462</v>
      </c>
      <c r="S83" s="11">
        <v>6</v>
      </c>
      <c r="T83" s="11">
        <v>1</v>
      </c>
    </row>
    <row r="84" spans="1:20" ht="12.75" customHeight="1">
      <c r="A84" s="4" t="s">
        <v>97</v>
      </c>
      <c r="B84" s="14" t="s">
        <v>481</v>
      </c>
      <c r="C84" s="6" t="s">
        <v>482</v>
      </c>
      <c r="D84" s="4">
        <v>25.2</v>
      </c>
      <c r="E84" s="4">
        <v>32.700000000000003</v>
      </c>
      <c r="F84" s="4">
        <v>9</v>
      </c>
      <c r="G84" s="4">
        <v>341</v>
      </c>
      <c r="H84" s="4">
        <f t="shared" si="1"/>
        <v>0.34100000000000003</v>
      </c>
      <c r="I84" s="8">
        <v>45231</v>
      </c>
      <c r="K84" s="4" t="s">
        <v>474</v>
      </c>
      <c r="L84" s="4" t="s">
        <v>483</v>
      </c>
      <c r="M84" s="4" t="s">
        <v>484</v>
      </c>
      <c r="N84" s="4" t="s">
        <v>485</v>
      </c>
      <c r="O84" s="11">
        <v>2</v>
      </c>
      <c r="P84" s="4" t="s">
        <v>474</v>
      </c>
      <c r="Q84" s="4" t="s">
        <v>486</v>
      </c>
      <c r="R84" s="4" t="s">
        <v>462</v>
      </c>
      <c r="S84" s="11">
        <v>6</v>
      </c>
      <c r="T84" s="11">
        <v>1</v>
      </c>
    </row>
    <row r="85" spans="1:20" ht="12.75" customHeight="1">
      <c r="A85" s="4" t="s">
        <v>98</v>
      </c>
      <c r="B85" s="14" t="s">
        <v>481</v>
      </c>
      <c r="C85" s="6" t="s">
        <v>482</v>
      </c>
      <c r="D85" s="4">
        <v>21.4</v>
      </c>
      <c r="E85" s="4">
        <v>27.5</v>
      </c>
      <c r="F85" s="4">
        <v>7.2</v>
      </c>
      <c r="G85" s="4">
        <v>187</v>
      </c>
      <c r="H85" s="4">
        <f t="shared" si="1"/>
        <v>0.187</v>
      </c>
      <c r="I85" s="8">
        <v>45231</v>
      </c>
      <c r="K85" s="4" t="s">
        <v>474</v>
      </c>
      <c r="L85" s="4" t="s">
        <v>483</v>
      </c>
      <c r="M85" s="4" t="s">
        <v>484</v>
      </c>
      <c r="N85" s="4" t="s">
        <v>485</v>
      </c>
      <c r="O85" s="11">
        <v>2</v>
      </c>
      <c r="P85" s="4" t="s">
        <v>474</v>
      </c>
      <c r="Q85" s="4" t="s">
        <v>486</v>
      </c>
      <c r="R85" s="4" t="s">
        <v>462</v>
      </c>
      <c r="S85" s="11">
        <v>6</v>
      </c>
      <c r="T85" s="11">
        <v>1</v>
      </c>
    </row>
    <row r="86" spans="1:20" ht="12.75" customHeight="1">
      <c r="A86" s="4" t="s">
        <v>99</v>
      </c>
      <c r="B86" s="9" t="s">
        <v>487</v>
      </c>
      <c r="C86" s="6" t="s">
        <v>482</v>
      </c>
      <c r="D86" s="7">
        <v>29.5</v>
      </c>
      <c r="E86" s="7">
        <v>34.200000000000003</v>
      </c>
      <c r="F86" s="7">
        <v>11.8</v>
      </c>
      <c r="G86" s="4">
        <v>523</v>
      </c>
      <c r="H86" s="4">
        <f t="shared" si="1"/>
        <v>0.52300000000000002</v>
      </c>
      <c r="I86" s="8">
        <v>45231</v>
      </c>
      <c r="K86" s="5" t="s">
        <v>474</v>
      </c>
      <c r="L86" s="5" t="s">
        <v>483</v>
      </c>
      <c r="M86" s="5" t="s">
        <v>488</v>
      </c>
      <c r="N86" s="10" t="s">
        <v>485</v>
      </c>
      <c r="O86" s="11">
        <v>2</v>
      </c>
      <c r="P86" s="12" t="s">
        <v>474</v>
      </c>
      <c r="Q86" s="12" t="s">
        <v>486</v>
      </c>
      <c r="R86" s="12" t="s">
        <v>462</v>
      </c>
      <c r="S86" s="11">
        <v>7</v>
      </c>
      <c r="T86" s="11">
        <v>1</v>
      </c>
    </row>
    <row r="87" spans="1:20" ht="12.75" customHeight="1">
      <c r="A87" s="4" t="s">
        <v>100</v>
      </c>
      <c r="B87" s="9" t="s">
        <v>487</v>
      </c>
      <c r="C87" s="6" t="s">
        <v>482</v>
      </c>
      <c r="D87" s="7">
        <v>30.4</v>
      </c>
      <c r="E87" s="7">
        <v>37.6</v>
      </c>
      <c r="F87" s="7">
        <v>10.6</v>
      </c>
      <c r="G87" s="4">
        <v>520</v>
      </c>
      <c r="H87" s="13">
        <f t="shared" si="1"/>
        <v>0.52</v>
      </c>
      <c r="I87" s="8">
        <v>45231</v>
      </c>
      <c r="K87" s="5" t="s">
        <v>474</v>
      </c>
      <c r="L87" s="5" t="s">
        <v>483</v>
      </c>
      <c r="M87" s="5" t="s">
        <v>488</v>
      </c>
      <c r="N87" s="10" t="s">
        <v>485</v>
      </c>
      <c r="O87" s="11">
        <v>2</v>
      </c>
      <c r="P87" s="12" t="s">
        <v>474</v>
      </c>
      <c r="Q87" s="12" t="s">
        <v>486</v>
      </c>
      <c r="R87" s="12" t="s">
        <v>462</v>
      </c>
      <c r="S87" s="11">
        <v>7</v>
      </c>
      <c r="T87" s="11">
        <v>1</v>
      </c>
    </row>
    <row r="88" spans="1:20" ht="12.75" customHeight="1">
      <c r="A88" s="4" t="s">
        <v>101</v>
      </c>
      <c r="B88" s="9" t="s">
        <v>487</v>
      </c>
      <c r="C88" s="6" t="s">
        <v>482</v>
      </c>
      <c r="D88" s="7">
        <v>23.8</v>
      </c>
      <c r="E88" s="7">
        <v>33.700000000000003</v>
      </c>
      <c r="F88" s="7">
        <v>8.6</v>
      </c>
      <c r="G88" s="4">
        <v>289</v>
      </c>
      <c r="H88" s="4">
        <f t="shared" si="1"/>
        <v>0.28899999999999998</v>
      </c>
      <c r="I88" s="8">
        <v>45231</v>
      </c>
      <c r="K88" s="5" t="s">
        <v>474</v>
      </c>
      <c r="L88" s="5" t="s">
        <v>483</v>
      </c>
      <c r="M88" s="5" t="s">
        <v>488</v>
      </c>
      <c r="N88" s="10" t="s">
        <v>485</v>
      </c>
      <c r="O88" s="11">
        <v>2</v>
      </c>
      <c r="P88" s="12" t="s">
        <v>474</v>
      </c>
      <c r="Q88" s="12" t="s">
        <v>486</v>
      </c>
      <c r="R88" s="12" t="s">
        <v>462</v>
      </c>
      <c r="S88" s="11">
        <v>7</v>
      </c>
      <c r="T88" s="11">
        <v>1</v>
      </c>
    </row>
    <row r="89" spans="1:20" ht="12.75" customHeight="1">
      <c r="A89" s="4" t="s">
        <v>102</v>
      </c>
      <c r="B89" s="9" t="s">
        <v>487</v>
      </c>
      <c r="C89" s="6" t="s">
        <v>482</v>
      </c>
      <c r="D89" s="7">
        <v>31.1</v>
      </c>
      <c r="E89" s="7">
        <v>39.200000000000003</v>
      </c>
      <c r="F89" s="7">
        <v>11</v>
      </c>
      <c r="G89" s="4">
        <v>576</v>
      </c>
      <c r="H89" s="4">
        <f t="shared" si="1"/>
        <v>0.57599999999999996</v>
      </c>
      <c r="I89" s="8">
        <v>45231</v>
      </c>
      <c r="K89" s="5" t="s">
        <v>474</v>
      </c>
      <c r="L89" s="5" t="s">
        <v>483</v>
      </c>
      <c r="M89" s="5" t="s">
        <v>488</v>
      </c>
      <c r="N89" s="10" t="s">
        <v>485</v>
      </c>
      <c r="O89" s="11">
        <v>2</v>
      </c>
      <c r="P89" s="12" t="s">
        <v>474</v>
      </c>
      <c r="Q89" s="12" t="s">
        <v>486</v>
      </c>
      <c r="R89" s="12" t="s">
        <v>462</v>
      </c>
      <c r="S89" s="11">
        <v>7</v>
      </c>
      <c r="T89" s="11">
        <v>1</v>
      </c>
    </row>
    <row r="90" spans="1:20" ht="12.75" customHeight="1">
      <c r="A90" s="4" t="s">
        <v>103</v>
      </c>
      <c r="B90" s="9" t="s">
        <v>487</v>
      </c>
      <c r="C90" s="6" t="s">
        <v>482</v>
      </c>
      <c r="D90" s="7">
        <v>25.5</v>
      </c>
      <c r="E90" s="7">
        <v>33.5</v>
      </c>
      <c r="F90" s="7">
        <v>9.4</v>
      </c>
      <c r="G90" s="4">
        <v>329</v>
      </c>
      <c r="H90" s="4">
        <f t="shared" si="1"/>
        <v>0.32900000000000001</v>
      </c>
      <c r="I90" s="8">
        <v>45231</v>
      </c>
      <c r="K90" s="5" t="s">
        <v>474</v>
      </c>
      <c r="L90" s="5" t="s">
        <v>483</v>
      </c>
      <c r="M90" s="5" t="s">
        <v>488</v>
      </c>
      <c r="N90" s="10" t="s">
        <v>485</v>
      </c>
      <c r="O90" s="11">
        <v>2</v>
      </c>
      <c r="P90" s="12" t="s">
        <v>474</v>
      </c>
      <c r="Q90" s="12" t="s">
        <v>486</v>
      </c>
      <c r="R90" s="12" t="s">
        <v>462</v>
      </c>
      <c r="S90" s="11">
        <v>7</v>
      </c>
      <c r="T90" s="11">
        <v>1</v>
      </c>
    </row>
    <row r="91" spans="1:20" ht="12.75" customHeight="1">
      <c r="A91" s="4" t="s">
        <v>104</v>
      </c>
      <c r="B91" s="9" t="s">
        <v>487</v>
      </c>
      <c r="C91" s="6" t="s">
        <v>482</v>
      </c>
      <c r="D91" s="7">
        <v>25.5</v>
      </c>
      <c r="E91" s="7">
        <v>30.2</v>
      </c>
      <c r="F91" s="7">
        <v>9.1</v>
      </c>
      <c r="G91" s="4">
        <v>315</v>
      </c>
      <c r="H91" s="4">
        <f t="shared" si="1"/>
        <v>0.315</v>
      </c>
      <c r="I91" s="8">
        <v>45231</v>
      </c>
      <c r="K91" s="5" t="s">
        <v>474</v>
      </c>
      <c r="L91" s="5" t="s">
        <v>483</v>
      </c>
      <c r="M91" s="5" t="s">
        <v>488</v>
      </c>
      <c r="N91" s="10" t="s">
        <v>485</v>
      </c>
      <c r="O91" s="11">
        <v>2</v>
      </c>
      <c r="P91" s="12" t="s">
        <v>474</v>
      </c>
      <c r="Q91" s="12" t="s">
        <v>486</v>
      </c>
      <c r="R91" s="12" t="s">
        <v>462</v>
      </c>
      <c r="S91" s="11">
        <v>7</v>
      </c>
      <c r="T91" s="11">
        <v>1</v>
      </c>
    </row>
    <row r="92" spans="1:20" ht="12.75" customHeight="1">
      <c r="A92" s="4" t="s">
        <v>105</v>
      </c>
      <c r="B92" s="9" t="s">
        <v>487</v>
      </c>
      <c r="C92" s="6" t="s">
        <v>482</v>
      </c>
      <c r="D92" s="7">
        <v>26.5</v>
      </c>
      <c r="E92" s="7">
        <v>34.200000000000003</v>
      </c>
      <c r="F92" s="7">
        <v>8.8000000000000007</v>
      </c>
      <c r="G92" s="4">
        <v>325</v>
      </c>
      <c r="H92" s="4">
        <f t="shared" si="1"/>
        <v>0.32500000000000001</v>
      </c>
      <c r="I92" s="8">
        <v>45231</v>
      </c>
      <c r="K92" s="5" t="s">
        <v>474</v>
      </c>
      <c r="L92" s="5" t="s">
        <v>483</v>
      </c>
      <c r="M92" s="5" t="s">
        <v>488</v>
      </c>
      <c r="N92" s="10" t="s">
        <v>485</v>
      </c>
      <c r="O92" s="11">
        <v>2</v>
      </c>
      <c r="P92" s="12" t="s">
        <v>474</v>
      </c>
      <c r="Q92" s="12" t="s">
        <v>486</v>
      </c>
      <c r="R92" s="12" t="s">
        <v>462</v>
      </c>
      <c r="S92" s="11">
        <v>7</v>
      </c>
      <c r="T92" s="11">
        <v>1</v>
      </c>
    </row>
    <row r="93" spans="1:20" ht="12.75" customHeight="1">
      <c r="A93" s="4" t="s">
        <v>106</v>
      </c>
      <c r="B93" s="9" t="s">
        <v>487</v>
      </c>
      <c r="C93" s="6" t="s">
        <v>482</v>
      </c>
      <c r="D93" s="7">
        <v>28.4</v>
      </c>
      <c r="E93" s="7">
        <v>35.299999999999997</v>
      </c>
      <c r="F93" s="7">
        <v>10.7</v>
      </c>
      <c r="G93" s="4">
        <v>551</v>
      </c>
      <c r="H93" s="4">
        <f t="shared" si="1"/>
        <v>0.55100000000000005</v>
      </c>
      <c r="I93" s="8">
        <v>45231</v>
      </c>
      <c r="K93" s="5" t="s">
        <v>474</v>
      </c>
      <c r="L93" s="5" t="s">
        <v>483</v>
      </c>
      <c r="M93" s="5" t="s">
        <v>488</v>
      </c>
      <c r="N93" s="10" t="s">
        <v>485</v>
      </c>
      <c r="O93" s="11">
        <v>2</v>
      </c>
      <c r="P93" s="12" t="s">
        <v>474</v>
      </c>
      <c r="Q93" s="12" t="s">
        <v>486</v>
      </c>
      <c r="R93" s="12" t="s">
        <v>462</v>
      </c>
      <c r="S93" s="11">
        <v>7</v>
      </c>
      <c r="T93" s="11">
        <v>1</v>
      </c>
    </row>
    <row r="94" spans="1:20" ht="12.75" customHeight="1">
      <c r="A94" s="4" t="s">
        <v>107</v>
      </c>
      <c r="B94" s="9" t="s">
        <v>487</v>
      </c>
      <c r="C94" s="6" t="s">
        <v>482</v>
      </c>
      <c r="D94" s="7">
        <v>22.5</v>
      </c>
      <c r="E94" s="7">
        <v>29.1</v>
      </c>
      <c r="F94" s="7">
        <v>7.7</v>
      </c>
      <c r="G94" s="4">
        <v>203</v>
      </c>
      <c r="H94" s="4">
        <f t="shared" si="1"/>
        <v>0.20300000000000001</v>
      </c>
      <c r="I94" s="8">
        <v>45231</v>
      </c>
      <c r="K94" s="5" t="s">
        <v>474</v>
      </c>
      <c r="L94" s="5" t="s">
        <v>483</v>
      </c>
      <c r="M94" s="5" t="s">
        <v>488</v>
      </c>
      <c r="N94" s="10" t="s">
        <v>485</v>
      </c>
      <c r="O94" s="11">
        <v>2</v>
      </c>
      <c r="P94" s="12" t="s">
        <v>474</v>
      </c>
      <c r="Q94" s="12" t="s">
        <v>486</v>
      </c>
      <c r="R94" s="12" t="s">
        <v>462</v>
      </c>
      <c r="S94" s="11">
        <v>7</v>
      </c>
      <c r="T94" s="11">
        <v>1</v>
      </c>
    </row>
    <row r="95" spans="1:20" ht="12.75" customHeight="1">
      <c r="A95" s="4" t="s">
        <v>108</v>
      </c>
      <c r="B95" s="9" t="s">
        <v>487</v>
      </c>
      <c r="C95" s="6" t="s">
        <v>482</v>
      </c>
      <c r="D95" s="7">
        <v>25.3</v>
      </c>
      <c r="E95" s="7">
        <v>30.6</v>
      </c>
      <c r="F95" s="7">
        <v>9.1999999999999993</v>
      </c>
      <c r="G95" s="4">
        <v>314</v>
      </c>
      <c r="H95" s="4">
        <f t="shared" si="1"/>
        <v>0.314</v>
      </c>
      <c r="I95" s="8">
        <v>45231</v>
      </c>
      <c r="K95" s="5" t="s">
        <v>474</v>
      </c>
      <c r="L95" s="5" t="s">
        <v>483</v>
      </c>
      <c r="M95" s="5" t="s">
        <v>488</v>
      </c>
      <c r="N95" s="10" t="s">
        <v>485</v>
      </c>
      <c r="O95" s="11">
        <v>2</v>
      </c>
      <c r="P95" s="12" t="s">
        <v>474</v>
      </c>
      <c r="Q95" s="12" t="s">
        <v>486</v>
      </c>
      <c r="R95" s="12" t="s">
        <v>462</v>
      </c>
      <c r="S95" s="11">
        <v>7</v>
      </c>
      <c r="T95" s="11">
        <v>1</v>
      </c>
    </row>
    <row r="96" spans="1:20" ht="12.75" customHeight="1">
      <c r="A96" s="4" t="s">
        <v>109</v>
      </c>
      <c r="B96" s="9" t="s">
        <v>487</v>
      </c>
      <c r="C96" s="6" t="s">
        <v>482</v>
      </c>
      <c r="D96" s="7">
        <v>26.5</v>
      </c>
      <c r="E96" s="7">
        <v>34.6</v>
      </c>
      <c r="F96" s="7">
        <v>9.4</v>
      </c>
      <c r="G96" s="4">
        <v>346</v>
      </c>
      <c r="H96" s="4">
        <f t="shared" si="1"/>
        <v>0.34599999999999997</v>
      </c>
      <c r="I96" s="8">
        <v>45231</v>
      </c>
      <c r="K96" s="5" t="s">
        <v>474</v>
      </c>
      <c r="L96" s="5" t="s">
        <v>483</v>
      </c>
      <c r="M96" s="5" t="s">
        <v>488</v>
      </c>
      <c r="N96" s="10" t="s">
        <v>485</v>
      </c>
      <c r="O96" s="11">
        <v>2</v>
      </c>
      <c r="P96" s="12" t="s">
        <v>474</v>
      </c>
      <c r="Q96" s="12" t="s">
        <v>486</v>
      </c>
      <c r="R96" s="12" t="s">
        <v>462</v>
      </c>
      <c r="S96" s="11">
        <v>7</v>
      </c>
      <c r="T96" s="11">
        <v>1</v>
      </c>
    </row>
    <row r="97" spans="1:20" ht="12.75" customHeight="1">
      <c r="A97" s="4" t="s">
        <v>110</v>
      </c>
      <c r="B97" s="9" t="s">
        <v>487</v>
      </c>
      <c r="C97" s="6" t="s">
        <v>482</v>
      </c>
      <c r="D97" s="7">
        <v>23.7</v>
      </c>
      <c r="E97" s="7">
        <v>26.5</v>
      </c>
      <c r="F97" s="7">
        <v>8.3000000000000007</v>
      </c>
      <c r="G97" s="4">
        <v>247</v>
      </c>
      <c r="H97" s="4">
        <f t="shared" si="1"/>
        <v>0.247</v>
      </c>
      <c r="I97" s="8">
        <v>45231</v>
      </c>
      <c r="K97" s="5" t="s">
        <v>474</v>
      </c>
      <c r="L97" s="5" t="s">
        <v>483</v>
      </c>
      <c r="M97" s="5" t="s">
        <v>488</v>
      </c>
      <c r="N97" s="10" t="s">
        <v>485</v>
      </c>
      <c r="O97" s="11">
        <v>2</v>
      </c>
      <c r="P97" s="12" t="s">
        <v>474</v>
      </c>
      <c r="Q97" s="12" t="s">
        <v>486</v>
      </c>
      <c r="R97" s="12" t="s">
        <v>462</v>
      </c>
      <c r="S97" s="11">
        <v>7</v>
      </c>
      <c r="T97" s="11">
        <v>1</v>
      </c>
    </row>
    <row r="98" spans="1:20" ht="12.75" customHeight="1">
      <c r="A98" s="4" t="s">
        <v>111</v>
      </c>
      <c r="B98" s="9" t="s">
        <v>487</v>
      </c>
      <c r="C98" s="6" t="s">
        <v>482</v>
      </c>
      <c r="D98" s="7">
        <v>17.899999999999999</v>
      </c>
      <c r="E98" s="7">
        <v>23.4</v>
      </c>
      <c r="F98" s="7">
        <v>6.2</v>
      </c>
      <c r="G98" s="4">
        <v>111</v>
      </c>
      <c r="H98" s="4">
        <f t="shared" si="1"/>
        <v>0.111</v>
      </c>
      <c r="I98" s="8">
        <v>45231</v>
      </c>
      <c r="K98" s="5" t="s">
        <v>474</v>
      </c>
      <c r="L98" s="5" t="s">
        <v>483</v>
      </c>
      <c r="M98" s="5" t="s">
        <v>488</v>
      </c>
      <c r="N98" s="10" t="s">
        <v>485</v>
      </c>
      <c r="O98" s="11">
        <v>2</v>
      </c>
      <c r="P98" s="12" t="s">
        <v>474</v>
      </c>
      <c r="Q98" s="12" t="s">
        <v>486</v>
      </c>
      <c r="R98" s="12" t="s">
        <v>462</v>
      </c>
      <c r="S98" s="11">
        <v>7</v>
      </c>
      <c r="T98" s="11">
        <v>1</v>
      </c>
    </row>
    <row r="99" spans="1:20" ht="12.75" customHeight="1">
      <c r="A99" s="4" t="s">
        <v>112</v>
      </c>
      <c r="B99" s="9" t="s">
        <v>487</v>
      </c>
      <c r="C99" s="6" t="s">
        <v>482</v>
      </c>
      <c r="D99" s="7">
        <v>19.7</v>
      </c>
      <c r="E99" s="7">
        <v>24.1</v>
      </c>
      <c r="F99" s="7">
        <v>6.4</v>
      </c>
      <c r="G99" s="4">
        <v>135</v>
      </c>
      <c r="H99" s="4">
        <f t="shared" si="1"/>
        <v>0.13500000000000001</v>
      </c>
      <c r="I99" s="8">
        <v>45231</v>
      </c>
      <c r="K99" s="5" t="s">
        <v>474</v>
      </c>
      <c r="L99" s="5" t="s">
        <v>483</v>
      </c>
      <c r="M99" s="5" t="s">
        <v>488</v>
      </c>
      <c r="N99" s="10" t="s">
        <v>485</v>
      </c>
      <c r="O99" s="11">
        <v>2</v>
      </c>
      <c r="P99" s="12" t="s">
        <v>474</v>
      </c>
      <c r="Q99" s="12" t="s">
        <v>486</v>
      </c>
      <c r="R99" s="12" t="s">
        <v>462</v>
      </c>
      <c r="S99" s="11">
        <v>7</v>
      </c>
      <c r="T99" s="11">
        <v>1</v>
      </c>
    </row>
    <row r="100" spans="1:20" ht="12.75" customHeight="1">
      <c r="A100" s="4" t="s">
        <v>113</v>
      </c>
      <c r="B100" s="9" t="s">
        <v>487</v>
      </c>
      <c r="C100" s="6" t="s">
        <v>482</v>
      </c>
      <c r="D100" s="7">
        <v>26.6</v>
      </c>
      <c r="E100" s="7">
        <v>35.1</v>
      </c>
      <c r="F100" s="7">
        <v>9.3000000000000007</v>
      </c>
      <c r="G100" s="4">
        <v>337</v>
      </c>
      <c r="H100" s="4">
        <f t="shared" si="1"/>
        <v>0.33700000000000002</v>
      </c>
      <c r="I100" s="8">
        <v>45231</v>
      </c>
      <c r="K100" s="5" t="s">
        <v>474</v>
      </c>
      <c r="L100" s="5" t="s">
        <v>483</v>
      </c>
      <c r="M100" s="5" t="s">
        <v>488</v>
      </c>
      <c r="N100" s="10" t="s">
        <v>485</v>
      </c>
      <c r="O100" s="11">
        <v>2</v>
      </c>
      <c r="P100" s="12" t="s">
        <v>474</v>
      </c>
      <c r="Q100" s="12" t="s">
        <v>486</v>
      </c>
      <c r="R100" s="12" t="s">
        <v>462</v>
      </c>
      <c r="S100" s="11">
        <v>7</v>
      </c>
      <c r="T100" s="11">
        <v>1</v>
      </c>
    </row>
    <row r="101" spans="1:20" ht="12.75" customHeight="1">
      <c r="A101" s="4" t="s">
        <v>114</v>
      </c>
      <c r="B101" s="9" t="s">
        <v>487</v>
      </c>
      <c r="C101" s="6" t="s">
        <v>482</v>
      </c>
      <c r="D101" s="7">
        <v>26.5</v>
      </c>
      <c r="E101" s="7">
        <v>34.6</v>
      </c>
      <c r="F101" s="7">
        <v>9.4</v>
      </c>
      <c r="G101" s="4">
        <v>325</v>
      </c>
      <c r="H101" s="4">
        <f t="shared" si="1"/>
        <v>0.32500000000000001</v>
      </c>
      <c r="I101" s="8">
        <v>45231</v>
      </c>
      <c r="K101" s="5" t="s">
        <v>474</v>
      </c>
      <c r="L101" s="5" t="s">
        <v>483</v>
      </c>
      <c r="M101" s="5" t="s">
        <v>488</v>
      </c>
      <c r="N101" s="10" t="s">
        <v>485</v>
      </c>
      <c r="O101" s="11">
        <v>2</v>
      </c>
      <c r="P101" s="12" t="s">
        <v>474</v>
      </c>
      <c r="Q101" s="12" t="s">
        <v>486</v>
      </c>
      <c r="R101" s="12" t="s">
        <v>462</v>
      </c>
      <c r="S101" s="11">
        <v>7</v>
      </c>
      <c r="T101" s="11">
        <v>1</v>
      </c>
    </row>
    <row r="102" spans="1:20" ht="12.75" customHeight="1">
      <c r="A102" s="4" t="s">
        <v>115</v>
      </c>
      <c r="B102" s="14" t="s">
        <v>487</v>
      </c>
      <c r="C102" s="6" t="s">
        <v>482</v>
      </c>
      <c r="D102" s="4">
        <v>22.3</v>
      </c>
      <c r="E102" s="4">
        <v>30.5</v>
      </c>
      <c r="F102" s="4">
        <v>7.5</v>
      </c>
      <c r="G102" s="4">
        <v>216</v>
      </c>
      <c r="H102" s="4">
        <f t="shared" si="1"/>
        <v>0.216</v>
      </c>
      <c r="I102" s="8">
        <v>45231</v>
      </c>
      <c r="K102" s="4" t="s">
        <v>474</v>
      </c>
      <c r="L102" s="4" t="s">
        <v>483</v>
      </c>
      <c r="M102" s="4" t="s">
        <v>488</v>
      </c>
      <c r="N102" s="4" t="s">
        <v>485</v>
      </c>
      <c r="O102" s="11">
        <v>2</v>
      </c>
      <c r="P102" s="4" t="s">
        <v>474</v>
      </c>
      <c r="Q102" s="4" t="s">
        <v>486</v>
      </c>
      <c r="R102" s="4" t="s">
        <v>462</v>
      </c>
      <c r="S102" s="11">
        <v>7</v>
      </c>
      <c r="T102" s="11">
        <v>1</v>
      </c>
    </row>
    <row r="103" spans="1:20" ht="12.75" customHeight="1">
      <c r="A103" s="4" t="s">
        <v>116</v>
      </c>
      <c r="B103" s="9" t="s">
        <v>487</v>
      </c>
      <c r="C103" s="6" t="s">
        <v>482</v>
      </c>
      <c r="D103" s="7">
        <v>33.5</v>
      </c>
      <c r="E103" s="7">
        <v>41.5</v>
      </c>
      <c r="F103" s="7">
        <v>12.3</v>
      </c>
      <c r="G103" s="4">
        <v>587</v>
      </c>
      <c r="H103" s="4">
        <f t="shared" si="1"/>
        <v>0.58699999999999997</v>
      </c>
      <c r="I103" s="8">
        <v>45231</v>
      </c>
      <c r="K103" s="5" t="s">
        <v>474</v>
      </c>
      <c r="L103" s="5" t="s">
        <v>483</v>
      </c>
      <c r="M103" s="5" t="s">
        <v>488</v>
      </c>
      <c r="N103" s="10" t="s">
        <v>485</v>
      </c>
      <c r="O103" s="11">
        <v>2</v>
      </c>
      <c r="P103" s="12" t="s">
        <v>474</v>
      </c>
      <c r="Q103" s="12" t="s">
        <v>486</v>
      </c>
      <c r="R103" s="12" t="s">
        <v>462</v>
      </c>
      <c r="S103" s="11">
        <v>7</v>
      </c>
      <c r="T103" s="11">
        <v>1</v>
      </c>
    </row>
    <row r="104" spans="1:20" ht="12.75" customHeight="1">
      <c r="A104" s="4" t="s">
        <v>117</v>
      </c>
      <c r="B104" s="9" t="s">
        <v>487</v>
      </c>
      <c r="C104" s="6" t="s">
        <v>482</v>
      </c>
      <c r="D104" s="7">
        <v>21.9</v>
      </c>
      <c r="E104" s="7">
        <v>40</v>
      </c>
      <c r="F104" s="7">
        <v>10.8</v>
      </c>
      <c r="G104" s="4">
        <v>508</v>
      </c>
      <c r="H104" s="4">
        <f t="shared" si="1"/>
        <v>0.50800000000000001</v>
      </c>
      <c r="I104" s="8">
        <v>45231</v>
      </c>
      <c r="K104" s="5" t="s">
        <v>474</v>
      </c>
      <c r="L104" s="5" t="s">
        <v>483</v>
      </c>
      <c r="M104" s="5" t="s">
        <v>488</v>
      </c>
      <c r="N104" s="10" t="s">
        <v>485</v>
      </c>
      <c r="O104" s="11">
        <v>2</v>
      </c>
      <c r="P104" s="12" t="s">
        <v>474</v>
      </c>
      <c r="Q104" s="12" t="s">
        <v>486</v>
      </c>
      <c r="R104" s="12" t="s">
        <v>462</v>
      </c>
      <c r="S104" s="11">
        <v>7</v>
      </c>
      <c r="T104" s="11">
        <v>1</v>
      </c>
    </row>
    <row r="105" spans="1:20" ht="12.75" customHeight="1">
      <c r="A105" s="4" t="s">
        <v>118</v>
      </c>
      <c r="B105" s="9" t="s">
        <v>487</v>
      </c>
      <c r="C105" s="6" t="s">
        <v>482</v>
      </c>
      <c r="D105" s="7">
        <v>20.5</v>
      </c>
      <c r="E105" s="7">
        <v>24</v>
      </c>
      <c r="F105" s="7">
        <v>6.7</v>
      </c>
      <c r="G105" s="4">
        <v>123</v>
      </c>
      <c r="H105" s="4">
        <f t="shared" si="1"/>
        <v>0.123</v>
      </c>
      <c r="I105" s="8">
        <v>45231</v>
      </c>
      <c r="K105" s="5" t="s">
        <v>474</v>
      </c>
      <c r="L105" s="5" t="s">
        <v>483</v>
      </c>
      <c r="M105" s="5" t="s">
        <v>488</v>
      </c>
      <c r="N105" s="10" t="s">
        <v>485</v>
      </c>
      <c r="O105" s="11">
        <v>2</v>
      </c>
      <c r="P105" s="12" t="s">
        <v>474</v>
      </c>
      <c r="Q105" s="12" t="s">
        <v>486</v>
      </c>
      <c r="R105" s="12" t="s">
        <v>462</v>
      </c>
      <c r="S105" s="11">
        <v>7</v>
      </c>
      <c r="T105" s="11">
        <v>1</v>
      </c>
    </row>
    <row r="106" spans="1:20" ht="12.75" customHeight="1">
      <c r="A106" s="4" t="s">
        <v>119</v>
      </c>
      <c r="B106" s="9" t="s">
        <v>487</v>
      </c>
      <c r="C106" s="6" t="s">
        <v>482</v>
      </c>
      <c r="D106" s="7">
        <v>33.6</v>
      </c>
      <c r="E106" s="7">
        <v>43.1</v>
      </c>
      <c r="F106" s="7">
        <v>11.5</v>
      </c>
      <c r="G106" s="4">
        <v>597</v>
      </c>
      <c r="H106" s="4">
        <f t="shared" si="1"/>
        <v>0.59699999999999998</v>
      </c>
      <c r="I106" s="8">
        <v>45231</v>
      </c>
      <c r="K106" s="5" t="s">
        <v>474</v>
      </c>
      <c r="L106" s="5" t="s">
        <v>483</v>
      </c>
      <c r="M106" s="5" t="s">
        <v>488</v>
      </c>
      <c r="N106" s="10" t="s">
        <v>485</v>
      </c>
      <c r="O106" s="11">
        <v>2</v>
      </c>
      <c r="P106" s="12" t="s">
        <v>474</v>
      </c>
      <c r="Q106" s="12" t="s">
        <v>486</v>
      </c>
      <c r="R106" s="12" t="s">
        <v>462</v>
      </c>
      <c r="S106" s="11">
        <v>7</v>
      </c>
      <c r="T106" s="11">
        <v>1</v>
      </c>
    </row>
    <row r="107" spans="1:20" ht="12.75" customHeight="1">
      <c r="A107" s="4" t="s">
        <v>120</v>
      </c>
      <c r="B107" s="9" t="s">
        <v>487</v>
      </c>
      <c r="C107" s="6" t="s">
        <v>482</v>
      </c>
      <c r="D107" s="7">
        <v>31.2</v>
      </c>
      <c r="E107" s="7">
        <v>40.5</v>
      </c>
      <c r="F107" s="7">
        <v>11.3</v>
      </c>
      <c r="G107" s="4">
        <v>469</v>
      </c>
      <c r="H107" s="4">
        <f t="shared" si="1"/>
        <v>0.46899999999999997</v>
      </c>
      <c r="I107" s="8">
        <v>45231</v>
      </c>
      <c r="K107" s="5" t="s">
        <v>474</v>
      </c>
      <c r="L107" s="5" t="s">
        <v>483</v>
      </c>
      <c r="M107" s="5" t="s">
        <v>488</v>
      </c>
      <c r="N107" s="10" t="s">
        <v>485</v>
      </c>
      <c r="O107" s="11">
        <v>2</v>
      </c>
      <c r="P107" s="12" t="s">
        <v>474</v>
      </c>
      <c r="Q107" s="12" t="s">
        <v>486</v>
      </c>
      <c r="R107" s="12" t="s">
        <v>462</v>
      </c>
      <c r="S107" s="11">
        <v>7</v>
      </c>
      <c r="T107" s="11">
        <v>1</v>
      </c>
    </row>
    <row r="108" spans="1:20" ht="12.75" customHeight="1">
      <c r="A108" s="4" t="s">
        <v>121</v>
      </c>
      <c r="B108" s="9" t="s">
        <v>487</v>
      </c>
      <c r="C108" s="6" t="s">
        <v>482</v>
      </c>
      <c r="D108" s="7">
        <v>33.1</v>
      </c>
      <c r="E108" s="7">
        <v>43.4</v>
      </c>
      <c r="F108" s="7">
        <v>12.4</v>
      </c>
      <c r="G108" s="4">
        <v>665</v>
      </c>
      <c r="H108" s="4">
        <f t="shared" si="1"/>
        <v>0.66500000000000004</v>
      </c>
      <c r="I108" s="8">
        <v>45231</v>
      </c>
      <c r="K108" s="5" t="s">
        <v>474</v>
      </c>
      <c r="L108" s="5" t="s">
        <v>483</v>
      </c>
      <c r="M108" s="5" t="s">
        <v>488</v>
      </c>
      <c r="N108" s="10" t="s">
        <v>485</v>
      </c>
      <c r="O108" s="11">
        <v>2</v>
      </c>
      <c r="P108" s="12" t="s">
        <v>474</v>
      </c>
      <c r="Q108" s="12" t="s">
        <v>486</v>
      </c>
      <c r="R108" s="12" t="s">
        <v>462</v>
      </c>
      <c r="S108" s="11">
        <v>7</v>
      </c>
      <c r="T108" s="11">
        <v>1</v>
      </c>
    </row>
    <row r="109" spans="1:20" ht="12.75" customHeight="1">
      <c r="A109" s="4" t="s">
        <v>122</v>
      </c>
      <c r="B109" s="9" t="s">
        <v>487</v>
      </c>
      <c r="C109" s="6" t="s">
        <v>482</v>
      </c>
      <c r="D109" s="7">
        <v>21.8</v>
      </c>
      <c r="E109" s="7">
        <v>25.7</v>
      </c>
      <c r="F109" s="7">
        <v>7.9</v>
      </c>
      <c r="G109" s="4">
        <v>171</v>
      </c>
      <c r="H109" s="4">
        <f t="shared" si="1"/>
        <v>0.17100000000000001</v>
      </c>
      <c r="I109" s="8">
        <v>45231</v>
      </c>
      <c r="K109" s="5" t="s">
        <v>474</v>
      </c>
      <c r="L109" s="5" t="s">
        <v>483</v>
      </c>
      <c r="M109" s="5" t="s">
        <v>488</v>
      </c>
      <c r="N109" s="10" t="s">
        <v>485</v>
      </c>
      <c r="O109" s="11">
        <v>2</v>
      </c>
      <c r="P109" s="12" t="s">
        <v>474</v>
      </c>
      <c r="Q109" s="12" t="s">
        <v>486</v>
      </c>
      <c r="R109" s="12" t="s">
        <v>462</v>
      </c>
      <c r="S109" s="11">
        <v>7</v>
      </c>
      <c r="T109" s="11">
        <v>1</v>
      </c>
    </row>
    <row r="110" spans="1:20" ht="12.75" customHeight="1">
      <c r="A110" s="4" t="s">
        <v>123</v>
      </c>
      <c r="B110" s="9" t="s">
        <v>487</v>
      </c>
      <c r="C110" s="6" t="s">
        <v>482</v>
      </c>
      <c r="D110" s="7">
        <v>34</v>
      </c>
      <c r="E110" s="7">
        <v>44.1</v>
      </c>
      <c r="F110" s="7">
        <v>12.3</v>
      </c>
      <c r="G110" s="4">
        <v>657</v>
      </c>
      <c r="H110" s="4">
        <f t="shared" si="1"/>
        <v>0.65700000000000003</v>
      </c>
      <c r="I110" s="8">
        <v>45231</v>
      </c>
      <c r="K110" s="5" t="s">
        <v>474</v>
      </c>
      <c r="L110" s="5" t="s">
        <v>483</v>
      </c>
      <c r="M110" s="5" t="s">
        <v>488</v>
      </c>
      <c r="N110" s="10" t="s">
        <v>485</v>
      </c>
      <c r="O110" s="11">
        <v>2</v>
      </c>
      <c r="P110" s="12" t="s">
        <v>474</v>
      </c>
      <c r="Q110" s="12" t="s">
        <v>486</v>
      </c>
      <c r="R110" s="12" t="s">
        <v>462</v>
      </c>
      <c r="S110" s="11">
        <v>7</v>
      </c>
      <c r="T110" s="11">
        <v>1</v>
      </c>
    </row>
    <row r="111" spans="1:20" ht="12.75" customHeight="1">
      <c r="A111" s="4" t="s">
        <v>124</v>
      </c>
      <c r="B111" s="9" t="s">
        <v>487</v>
      </c>
      <c r="C111" s="6" t="s">
        <v>482</v>
      </c>
      <c r="D111" s="7">
        <v>30.1</v>
      </c>
      <c r="E111" s="7">
        <v>38.6</v>
      </c>
      <c r="F111" s="7">
        <v>10.5</v>
      </c>
      <c r="G111" s="4">
        <v>404</v>
      </c>
      <c r="H111" s="4">
        <f t="shared" si="1"/>
        <v>0.40400000000000003</v>
      </c>
      <c r="I111" s="8">
        <v>45231</v>
      </c>
      <c r="K111" s="5" t="s">
        <v>474</v>
      </c>
      <c r="L111" s="5" t="s">
        <v>483</v>
      </c>
      <c r="M111" s="5" t="s">
        <v>488</v>
      </c>
      <c r="N111" s="10" t="s">
        <v>485</v>
      </c>
      <c r="O111" s="11">
        <v>2</v>
      </c>
      <c r="P111" s="12" t="s">
        <v>474</v>
      </c>
      <c r="Q111" s="12" t="s">
        <v>486</v>
      </c>
      <c r="R111" s="12" t="s">
        <v>462</v>
      </c>
      <c r="S111" s="11">
        <v>7</v>
      </c>
      <c r="T111" s="11">
        <v>1</v>
      </c>
    </row>
    <row r="112" spans="1:20" ht="12.75" customHeight="1">
      <c r="A112" s="4" t="s">
        <v>125</v>
      </c>
      <c r="B112" s="9" t="s">
        <v>487</v>
      </c>
      <c r="C112" s="6" t="s">
        <v>482</v>
      </c>
      <c r="D112" s="7">
        <v>23.9</v>
      </c>
      <c r="E112" s="7">
        <v>32.1</v>
      </c>
      <c r="F112" s="7">
        <v>9</v>
      </c>
      <c r="G112" s="4">
        <v>264</v>
      </c>
      <c r="H112" s="4">
        <f t="shared" si="1"/>
        <v>0.26400000000000001</v>
      </c>
      <c r="I112" s="8">
        <v>45231</v>
      </c>
      <c r="K112" s="5" t="s">
        <v>474</v>
      </c>
      <c r="L112" s="5" t="s">
        <v>483</v>
      </c>
      <c r="M112" s="5" t="s">
        <v>488</v>
      </c>
      <c r="N112" s="10" t="s">
        <v>485</v>
      </c>
      <c r="O112" s="11">
        <v>2</v>
      </c>
      <c r="P112" s="12" t="s">
        <v>474</v>
      </c>
      <c r="Q112" s="12" t="s">
        <v>486</v>
      </c>
      <c r="R112" s="12" t="s">
        <v>462</v>
      </c>
      <c r="S112" s="11">
        <v>7</v>
      </c>
      <c r="T112" s="11">
        <v>1</v>
      </c>
    </row>
    <row r="113" spans="1:20" ht="12.75" customHeight="1">
      <c r="A113" s="4" t="s">
        <v>126</v>
      </c>
      <c r="B113" s="9" t="s">
        <v>491</v>
      </c>
      <c r="C113" s="6" t="s">
        <v>482</v>
      </c>
      <c r="D113" s="7">
        <v>27.4</v>
      </c>
      <c r="E113" s="7">
        <v>33.1</v>
      </c>
      <c r="F113" s="7">
        <v>10.199999999999999</v>
      </c>
      <c r="G113" s="4">
        <v>445</v>
      </c>
      <c r="H113" s="4">
        <f t="shared" si="1"/>
        <v>0.44500000000000001</v>
      </c>
      <c r="I113" s="8">
        <v>45245</v>
      </c>
      <c r="K113" s="5" t="s">
        <v>474</v>
      </c>
      <c r="L113" s="5" t="s">
        <v>475</v>
      </c>
      <c r="M113" s="5" t="s">
        <v>492</v>
      </c>
      <c r="N113" s="10" t="s">
        <v>477</v>
      </c>
      <c r="O113" s="11">
        <v>1</v>
      </c>
      <c r="P113" s="10" t="s">
        <v>474</v>
      </c>
      <c r="Q113" s="12" t="s">
        <v>486</v>
      </c>
      <c r="R113" s="12" t="s">
        <v>462</v>
      </c>
      <c r="S113" s="11">
        <v>8</v>
      </c>
      <c r="T113" s="11">
        <v>4</v>
      </c>
    </row>
    <row r="114" spans="1:20" ht="12.75" customHeight="1">
      <c r="A114" s="4" t="s">
        <v>127</v>
      </c>
      <c r="B114" s="9" t="s">
        <v>491</v>
      </c>
      <c r="C114" s="6" t="s">
        <v>482</v>
      </c>
      <c r="D114" s="7">
        <v>24.1</v>
      </c>
      <c r="E114" s="7">
        <v>31.4</v>
      </c>
      <c r="F114" s="7">
        <v>8.6</v>
      </c>
      <c r="G114" s="4">
        <v>263</v>
      </c>
      <c r="H114" s="4">
        <f t="shared" si="1"/>
        <v>0.26300000000000001</v>
      </c>
      <c r="I114" s="8">
        <v>45245</v>
      </c>
      <c r="K114" s="5" t="s">
        <v>474</v>
      </c>
      <c r="L114" s="5" t="s">
        <v>475</v>
      </c>
      <c r="M114" s="5" t="s">
        <v>492</v>
      </c>
      <c r="N114" s="10" t="s">
        <v>477</v>
      </c>
      <c r="O114" s="11">
        <v>1</v>
      </c>
      <c r="P114" s="10" t="s">
        <v>474</v>
      </c>
      <c r="Q114" s="12" t="s">
        <v>486</v>
      </c>
      <c r="R114" s="12" t="s">
        <v>462</v>
      </c>
      <c r="S114" s="11">
        <v>8</v>
      </c>
      <c r="T114" s="11">
        <v>4</v>
      </c>
    </row>
    <row r="115" spans="1:20" ht="12.75" customHeight="1">
      <c r="A115" s="4" t="s">
        <v>128</v>
      </c>
      <c r="B115" s="9" t="s">
        <v>491</v>
      </c>
      <c r="C115" s="6" t="s">
        <v>482</v>
      </c>
      <c r="D115" s="7">
        <v>25.9</v>
      </c>
      <c r="E115" s="7">
        <v>36</v>
      </c>
      <c r="F115" s="7">
        <v>8.9</v>
      </c>
      <c r="G115" s="4">
        <v>328</v>
      </c>
      <c r="H115" s="4">
        <f t="shared" si="1"/>
        <v>0.32800000000000001</v>
      </c>
      <c r="I115" s="8">
        <v>45245</v>
      </c>
      <c r="K115" s="5" t="s">
        <v>474</v>
      </c>
      <c r="L115" s="5" t="s">
        <v>475</v>
      </c>
      <c r="M115" s="5" t="s">
        <v>492</v>
      </c>
      <c r="N115" s="10" t="s">
        <v>477</v>
      </c>
      <c r="O115" s="11">
        <v>1</v>
      </c>
      <c r="P115" s="10" t="s">
        <v>474</v>
      </c>
      <c r="Q115" s="12" t="s">
        <v>486</v>
      </c>
      <c r="R115" s="12" t="s">
        <v>462</v>
      </c>
      <c r="S115" s="11">
        <v>8</v>
      </c>
      <c r="T115" s="11">
        <v>4</v>
      </c>
    </row>
    <row r="116" spans="1:20" ht="12.75" customHeight="1">
      <c r="A116" s="4" t="s">
        <v>129</v>
      </c>
      <c r="B116" s="9" t="s">
        <v>491</v>
      </c>
      <c r="C116" s="6" t="s">
        <v>482</v>
      </c>
      <c r="D116" s="7">
        <v>31.1</v>
      </c>
      <c r="E116" s="7">
        <v>40.4</v>
      </c>
      <c r="F116" s="7">
        <v>11.6</v>
      </c>
      <c r="G116" s="4">
        <v>589</v>
      </c>
      <c r="H116" s="4">
        <f t="shared" si="1"/>
        <v>0.58899999999999997</v>
      </c>
      <c r="I116" s="8">
        <v>45245</v>
      </c>
      <c r="K116" s="5" t="s">
        <v>474</v>
      </c>
      <c r="L116" s="5" t="s">
        <v>475</v>
      </c>
      <c r="M116" s="5" t="s">
        <v>492</v>
      </c>
      <c r="N116" s="10" t="s">
        <v>477</v>
      </c>
      <c r="O116" s="11">
        <v>1</v>
      </c>
      <c r="P116" s="10" t="s">
        <v>474</v>
      </c>
      <c r="Q116" s="12" t="s">
        <v>486</v>
      </c>
      <c r="R116" s="12" t="s">
        <v>462</v>
      </c>
      <c r="S116" s="11">
        <v>8</v>
      </c>
      <c r="T116" s="11">
        <v>4</v>
      </c>
    </row>
    <row r="117" spans="1:20" ht="12.75" customHeight="1">
      <c r="A117" s="4" t="s">
        <v>130</v>
      </c>
      <c r="B117" s="9" t="s">
        <v>491</v>
      </c>
      <c r="C117" s="6" t="s">
        <v>482</v>
      </c>
      <c r="D117" s="7">
        <v>25.3</v>
      </c>
      <c r="E117" s="7">
        <v>28.7</v>
      </c>
      <c r="F117" s="7">
        <v>9.1999999999999993</v>
      </c>
      <c r="G117" s="4">
        <v>294</v>
      </c>
      <c r="H117" s="4">
        <f t="shared" si="1"/>
        <v>0.29399999999999998</v>
      </c>
      <c r="I117" s="8">
        <v>45245</v>
      </c>
      <c r="K117" s="5" t="s">
        <v>474</v>
      </c>
      <c r="L117" s="5" t="s">
        <v>475</v>
      </c>
      <c r="M117" s="5" t="s">
        <v>492</v>
      </c>
      <c r="N117" s="10" t="s">
        <v>477</v>
      </c>
      <c r="O117" s="11">
        <v>1</v>
      </c>
      <c r="P117" s="10" t="s">
        <v>474</v>
      </c>
      <c r="Q117" s="12" t="s">
        <v>486</v>
      </c>
      <c r="R117" s="12" t="s">
        <v>462</v>
      </c>
      <c r="S117" s="11">
        <v>8</v>
      </c>
      <c r="T117" s="11">
        <v>4</v>
      </c>
    </row>
    <row r="118" spans="1:20" ht="12.75" customHeight="1">
      <c r="A118" s="4" t="s">
        <v>131</v>
      </c>
      <c r="B118" s="9" t="s">
        <v>491</v>
      </c>
      <c r="C118" s="6" t="s">
        <v>493</v>
      </c>
      <c r="D118" s="7">
        <v>26.4</v>
      </c>
      <c r="E118" s="7">
        <v>34</v>
      </c>
      <c r="F118" s="7">
        <v>9.1</v>
      </c>
      <c r="G118" s="4">
        <v>43</v>
      </c>
      <c r="H118" s="4">
        <f t="shared" si="1"/>
        <v>4.2999999999999997E-2</v>
      </c>
      <c r="I118" s="8">
        <v>45245</v>
      </c>
      <c r="K118" s="5" t="s">
        <v>474</v>
      </c>
      <c r="L118" s="5" t="s">
        <v>475</v>
      </c>
      <c r="M118" s="5" t="s">
        <v>492</v>
      </c>
      <c r="N118" s="10" t="s">
        <v>477</v>
      </c>
      <c r="O118" s="11">
        <v>1</v>
      </c>
      <c r="P118" s="10" t="s">
        <v>474</v>
      </c>
      <c r="Q118" s="12" t="s">
        <v>486</v>
      </c>
      <c r="R118" s="12" t="s">
        <v>462</v>
      </c>
      <c r="S118" s="11">
        <v>8</v>
      </c>
      <c r="T118" s="11">
        <v>4</v>
      </c>
    </row>
    <row r="119" spans="1:20" ht="12.75" customHeight="1">
      <c r="A119" s="4" t="s">
        <v>132</v>
      </c>
      <c r="B119" s="9" t="s">
        <v>491</v>
      </c>
      <c r="C119" s="6" t="s">
        <v>482</v>
      </c>
      <c r="D119" s="7">
        <v>23.1</v>
      </c>
      <c r="E119" s="7">
        <v>30</v>
      </c>
      <c r="F119" s="7">
        <v>7.8</v>
      </c>
      <c r="G119" s="4">
        <v>251</v>
      </c>
      <c r="H119" s="4">
        <f t="shared" si="1"/>
        <v>0.251</v>
      </c>
      <c r="I119" s="8">
        <v>45245</v>
      </c>
      <c r="K119" s="5" t="s">
        <v>474</v>
      </c>
      <c r="L119" s="5" t="s">
        <v>475</v>
      </c>
      <c r="M119" s="5" t="s">
        <v>492</v>
      </c>
      <c r="N119" s="10" t="s">
        <v>477</v>
      </c>
      <c r="O119" s="11">
        <v>1</v>
      </c>
      <c r="P119" s="10" t="s">
        <v>474</v>
      </c>
      <c r="Q119" s="12" t="s">
        <v>486</v>
      </c>
      <c r="R119" s="12" t="s">
        <v>462</v>
      </c>
      <c r="S119" s="11">
        <v>8</v>
      </c>
      <c r="T119" s="11">
        <v>4</v>
      </c>
    </row>
    <row r="120" spans="1:20" ht="12.75" customHeight="1">
      <c r="A120" s="4" t="s">
        <v>133</v>
      </c>
      <c r="B120" s="9" t="s">
        <v>491</v>
      </c>
      <c r="C120" s="6" t="s">
        <v>493</v>
      </c>
      <c r="D120" s="7">
        <v>26.8</v>
      </c>
      <c r="E120" s="7">
        <v>32.799999999999997</v>
      </c>
      <c r="F120" s="7">
        <v>8.6</v>
      </c>
      <c r="G120" s="4">
        <v>331</v>
      </c>
      <c r="H120" s="4">
        <f t="shared" si="1"/>
        <v>0.33100000000000002</v>
      </c>
      <c r="I120" s="8">
        <v>45245</v>
      </c>
      <c r="K120" s="5" t="s">
        <v>474</v>
      </c>
      <c r="L120" s="5" t="s">
        <v>475</v>
      </c>
      <c r="M120" s="5" t="s">
        <v>492</v>
      </c>
      <c r="N120" s="10" t="s">
        <v>477</v>
      </c>
      <c r="O120" s="11">
        <v>1</v>
      </c>
      <c r="P120" s="10" t="s">
        <v>474</v>
      </c>
      <c r="Q120" s="12" t="s">
        <v>486</v>
      </c>
      <c r="R120" s="12" t="s">
        <v>462</v>
      </c>
      <c r="S120" s="11">
        <v>8</v>
      </c>
      <c r="T120" s="11">
        <v>4</v>
      </c>
    </row>
    <row r="121" spans="1:20" ht="12.75" customHeight="1">
      <c r="A121" s="4" t="s">
        <v>134</v>
      </c>
      <c r="B121" s="9" t="s">
        <v>491</v>
      </c>
      <c r="C121" s="6" t="s">
        <v>480</v>
      </c>
      <c r="D121" s="7">
        <v>25.4</v>
      </c>
      <c r="E121" s="7">
        <v>31</v>
      </c>
      <c r="F121" s="7">
        <v>8.8000000000000007</v>
      </c>
      <c r="G121" s="4">
        <v>305</v>
      </c>
      <c r="H121" s="4">
        <f t="shared" si="1"/>
        <v>0.30499999999999999</v>
      </c>
      <c r="I121" s="8">
        <v>45245</v>
      </c>
      <c r="K121" s="5" t="s">
        <v>474</v>
      </c>
      <c r="L121" s="5" t="s">
        <v>475</v>
      </c>
      <c r="M121" s="5" t="s">
        <v>492</v>
      </c>
      <c r="N121" s="10" t="s">
        <v>477</v>
      </c>
      <c r="O121" s="11">
        <v>1</v>
      </c>
      <c r="P121" s="10" t="s">
        <v>474</v>
      </c>
      <c r="Q121" s="12" t="s">
        <v>486</v>
      </c>
      <c r="R121" s="12" t="s">
        <v>462</v>
      </c>
      <c r="S121" s="11">
        <v>8</v>
      </c>
      <c r="T121" s="11">
        <v>4</v>
      </c>
    </row>
    <row r="122" spans="1:20" ht="12.75" customHeight="1">
      <c r="A122" s="4" t="s">
        <v>135</v>
      </c>
      <c r="B122" s="9" t="s">
        <v>491</v>
      </c>
      <c r="C122" s="6" t="s">
        <v>482</v>
      </c>
      <c r="D122" s="7">
        <v>23.9</v>
      </c>
      <c r="E122" s="7">
        <v>30.2</v>
      </c>
      <c r="F122" s="7">
        <v>8.1</v>
      </c>
      <c r="G122" s="4">
        <v>221</v>
      </c>
      <c r="H122" s="4">
        <f t="shared" si="1"/>
        <v>0.221</v>
      </c>
      <c r="I122" s="8">
        <v>45245</v>
      </c>
      <c r="K122" s="5" t="s">
        <v>474</v>
      </c>
      <c r="L122" s="5" t="s">
        <v>475</v>
      </c>
      <c r="M122" s="5" t="s">
        <v>492</v>
      </c>
      <c r="N122" s="10" t="s">
        <v>477</v>
      </c>
      <c r="O122" s="11">
        <v>1</v>
      </c>
      <c r="P122" s="10" t="s">
        <v>474</v>
      </c>
      <c r="Q122" s="12" t="s">
        <v>486</v>
      </c>
      <c r="R122" s="12" t="s">
        <v>462</v>
      </c>
      <c r="S122" s="11">
        <v>8</v>
      </c>
      <c r="T122" s="11">
        <v>4</v>
      </c>
    </row>
    <row r="123" spans="1:20" ht="12.75" customHeight="1">
      <c r="A123" s="4" t="s">
        <v>136</v>
      </c>
      <c r="B123" s="9" t="s">
        <v>491</v>
      </c>
      <c r="C123" s="6" t="s">
        <v>482</v>
      </c>
      <c r="D123" s="7">
        <v>23</v>
      </c>
      <c r="E123" s="7">
        <v>31.7</v>
      </c>
      <c r="F123" s="7">
        <v>8.3000000000000007</v>
      </c>
      <c r="G123" s="4">
        <v>246</v>
      </c>
      <c r="H123" s="4">
        <f t="shared" si="1"/>
        <v>0.246</v>
      </c>
      <c r="I123" s="8">
        <v>45245</v>
      </c>
      <c r="K123" s="5" t="s">
        <v>474</v>
      </c>
      <c r="L123" s="5" t="s">
        <v>475</v>
      </c>
      <c r="M123" s="5" t="s">
        <v>492</v>
      </c>
      <c r="N123" s="10" t="s">
        <v>477</v>
      </c>
      <c r="O123" s="11">
        <v>1</v>
      </c>
      <c r="P123" s="10" t="s">
        <v>474</v>
      </c>
      <c r="Q123" s="12" t="s">
        <v>486</v>
      </c>
      <c r="R123" s="12" t="s">
        <v>462</v>
      </c>
      <c r="S123" s="11">
        <v>8</v>
      </c>
      <c r="T123" s="11">
        <v>4</v>
      </c>
    </row>
    <row r="124" spans="1:20" ht="12.75" customHeight="1">
      <c r="A124" s="4" t="s">
        <v>137</v>
      </c>
      <c r="B124" s="9" t="s">
        <v>491</v>
      </c>
      <c r="C124" s="6" t="s">
        <v>482</v>
      </c>
      <c r="D124" s="7">
        <v>23.4</v>
      </c>
      <c r="E124" s="7">
        <v>29.5</v>
      </c>
      <c r="F124" s="7">
        <v>7.7</v>
      </c>
      <c r="G124" s="4">
        <v>244</v>
      </c>
      <c r="H124" s="4">
        <f t="shared" si="1"/>
        <v>0.24399999999999999</v>
      </c>
      <c r="I124" s="8">
        <v>45245</v>
      </c>
      <c r="K124" s="5" t="s">
        <v>474</v>
      </c>
      <c r="L124" s="5" t="s">
        <v>475</v>
      </c>
      <c r="M124" s="5" t="s">
        <v>492</v>
      </c>
      <c r="N124" s="10" t="s">
        <v>477</v>
      </c>
      <c r="O124" s="11">
        <v>1</v>
      </c>
      <c r="P124" s="10" t="s">
        <v>474</v>
      </c>
      <c r="Q124" s="12" t="s">
        <v>486</v>
      </c>
      <c r="R124" s="12" t="s">
        <v>462</v>
      </c>
      <c r="S124" s="11">
        <v>8</v>
      </c>
      <c r="T124" s="11">
        <v>4</v>
      </c>
    </row>
    <row r="125" spans="1:20" ht="12.75" customHeight="1">
      <c r="A125" s="4" t="s">
        <v>138</v>
      </c>
      <c r="B125" s="9" t="s">
        <v>491</v>
      </c>
      <c r="C125" s="6" t="s">
        <v>482</v>
      </c>
      <c r="D125" s="7">
        <v>24.2</v>
      </c>
      <c r="E125" s="7">
        <v>29.6</v>
      </c>
      <c r="F125" s="7">
        <v>9.1999999999999993</v>
      </c>
      <c r="G125" s="4">
        <v>290</v>
      </c>
      <c r="H125" s="13">
        <f t="shared" si="1"/>
        <v>0.28999999999999998</v>
      </c>
      <c r="I125" s="8">
        <v>45245</v>
      </c>
      <c r="K125" s="5" t="s">
        <v>474</v>
      </c>
      <c r="L125" s="5" t="s">
        <v>475</v>
      </c>
      <c r="M125" s="5" t="s">
        <v>492</v>
      </c>
      <c r="N125" s="10" t="s">
        <v>477</v>
      </c>
      <c r="O125" s="11">
        <v>1</v>
      </c>
      <c r="P125" s="10" t="s">
        <v>474</v>
      </c>
      <c r="Q125" s="12" t="s">
        <v>486</v>
      </c>
      <c r="R125" s="12" t="s">
        <v>462</v>
      </c>
      <c r="S125" s="11">
        <v>8</v>
      </c>
      <c r="T125" s="11">
        <v>4</v>
      </c>
    </row>
    <row r="126" spans="1:20" ht="12.75" customHeight="1">
      <c r="A126" s="4" t="s">
        <v>139</v>
      </c>
      <c r="B126" s="9" t="s">
        <v>491</v>
      </c>
      <c r="C126" s="6" t="s">
        <v>493</v>
      </c>
      <c r="D126" s="7">
        <v>24</v>
      </c>
      <c r="E126" s="7">
        <v>27</v>
      </c>
      <c r="F126" s="7">
        <v>7.2</v>
      </c>
      <c r="G126" s="4">
        <v>230</v>
      </c>
      <c r="H126" s="13">
        <f t="shared" si="1"/>
        <v>0.23</v>
      </c>
      <c r="I126" s="8">
        <v>45245</v>
      </c>
      <c r="J126" s="4" t="s">
        <v>142</v>
      </c>
      <c r="K126" s="5" t="s">
        <v>474</v>
      </c>
      <c r="L126" s="5" t="s">
        <v>475</v>
      </c>
      <c r="M126" s="5" t="s">
        <v>492</v>
      </c>
      <c r="N126" s="10" t="s">
        <v>477</v>
      </c>
      <c r="O126" s="11">
        <v>1</v>
      </c>
      <c r="P126" s="10" t="s">
        <v>474</v>
      </c>
      <c r="Q126" s="12" t="s">
        <v>486</v>
      </c>
      <c r="R126" s="12" t="s">
        <v>462</v>
      </c>
      <c r="S126" s="11">
        <v>8</v>
      </c>
      <c r="T126" s="11">
        <v>4</v>
      </c>
    </row>
    <row r="127" spans="1:20" ht="12.75" customHeight="1">
      <c r="A127" s="4" t="s">
        <v>143</v>
      </c>
      <c r="B127" s="9" t="s">
        <v>491</v>
      </c>
      <c r="C127" s="6" t="s">
        <v>473</v>
      </c>
      <c r="D127" s="7">
        <v>24.3</v>
      </c>
      <c r="E127" s="7">
        <v>32.1</v>
      </c>
      <c r="F127" s="7">
        <v>8.5</v>
      </c>
      <c r="G127" s="4">
        <v>269</v>
      </c>
      <c r="H127" s="4">
        <f t="shared" si="1"/>
        <v>0.26900000000000002</v>
      </c>
      <c r="I127" s="8">
        <v>45245</v>
      </c>
      <c r="K127" s="5" t="s">
        <v>474</v>
      </c>
      <c r="L127" s="5" t="s">
        <v>475</v>
      </c>
      <c r="M127" s="5" t="s">
        <v>492</v>
      </c>
      <c r="N127" s="10" t="s">
        <v>477</v>
      </c>
      <c r="O127" s="11">
        <v>1</v>
      </c>
      <c r="P127" s="10" t="s">
        <v>474</v>
      </c>
      <c r="Q127" s="12" t="s">
        <v>486</v>
      </c>
      <c r="R127" s="12" t="s">
        <v>462</v>
      </c>
      <c r="S127" s="11">
        <v>8</v>
      </c>
      <c r="T127" s="11">
        <v>4</v>
      </c>
    </row>
    <row r="128" spans="1:20" ht="12.75" customHeight="1">
      <c r="A128" s="4" t="s">
        <v>144</v>
      </c>
      <c r="B128" s="9" t="s">
        <v>491</v>
      </c>
      <c r="C128" s="6" t="s">
        <v>493</v>
      </c>
      <c r="D128" s="7">
        <v>24.6</v>
      </c>
      <c r="E128" s="7">
        <v>28.5</v>
      </c>
      <c r="F128" s="7">
        <v>7.4</v>
      </c>
      <c r="G128" s="4">
        <v>232</v>
      </c>
      <c r="H128" s="4">
        <f t="shared" si="1"/>
        <v>0.23200000000000001</v>
      </c>
      <c r="I128" s="8">
        <v>45245</v>
      </c>
      <c r="K128" s="5" t="s">
        <v>474</v>
      </c>
      <c r="L128" s="5" t="s">
        <v>475</v>
      </c>
      <c r="M128" s="5" t="s">
        <v>492</v>
      </c>
      <c r="N128" s="10" t="s">
        <v>477</v>
      </c>
      <c r="O128" s="11">
        <v>1</v>
      </c>
      <c r="P128" s="10" t="s">
        <v>474</v>
      </c>
      <c r="Q128" s="12" t="s">
        <v>486</v>
      </c>
      <c r="R128" s="12" t="s">
        <v>462</v>
      </c>
      <c r="S128" s="11">
        <v>8</v>
      </c>
      <c r="T128" s="11">
        <v>4</v>
      </c>
    </row>
    <row r="129" spans="1:20" ht="12.75" customHeight="1">
      <c r="A129" s="4" t="s">
        <v>145</v>
      </c>
      <c r="B129" s="14" t="s">
        <v>491</v>
      </c>
      <c r="C129" s="6" t="s">
        <v>493</v>
      </c>
      <c r="D129" s="4">
        <v>22.7</v>
      </c>
      <c r="E129" s="4">
        <v>29.6</v>
      </c>
      <c r="F129" s="4">
        <v>7.1</v>
      </c>
      <c r="G129" s="4">
        <v>235</v>
      </c>
      <c r="H129" s="4">
        <f t="shared" si="1"/>
        <v>0.23499999999999999</v>
      </c>
      <c r="I129" s="8">
        <v>45245</v>
      </c>
      <c r="K129" s="4" t="s">
        <v>474</v>
      </c>
      <c r="L129" s="4" t="s">
        <v>475</v>
      </c>
      <c r="M129" s="4" t="s">
        <v>492</v>
      </c>
      <c r="N129" s="4" t="s">
        <v>477</v>
      </c>
      <c r="O129" s="11">
        <v>1</v>
      </c>
      <c r="P129" s="4" t="s">
        <v>474</v>
      </c>
      <c r="Q129" s="4" t="s">
        <v>486</v>
      </c>
      <c r="R129" s="4" t="s">
        <v>462</v>
      </c>
      <c r="S129" s="11">
        <v>8</v>
      </c>
      <c r="T129" s="11">
        <v>4</v>
      </c>
    </row>
    <row r="130" spans="1:20" ht="12.75" customHeight="1">
      <c r="A130" s="4" t="s">
        <v>146</v>
      </c>
      <c r="B130" s="14" t="s">
        <v>491</v>
      </c>
      <c r="C130" s="6" t="s">
        <v>493</v>
      </c>
      <c r="D130" s="4">
        <v>19.5</v>
      </c>
      <c r="E130" s="4">
        <v>22.2</v>
      </c>
      <c r="F130" s="4">
        <v>5.6</v>
      </c>
      <c r="G130" s="4">
        <v>118</v>
      </c>
      <c r="H130" s="4">
        <f t="shared" ref="H130:H193" si="2">G130/1000</f>
        <v>0.11799999999999999</v>
      </c>
      <c r="I130" s="8">
        <v>45245</v>
      </c>
      <c r="K130" s="4" t="s">
        <v>474</v>
      </c>
      <c r="L130" s="4" t="s">
        <v>475</v>
      </c>
      <c r="M130" s="4" t="s">
        <v>492</v>
      </c>
      <c r="N130" s="4" t="s">
        <v>477</v>
      </c>
      <c r="O130" s="11">
        <v>1</v>
      </c>
      <c r="P130" s="4" t="s">
        <v>474</v>
      </c>
      <c r="Q130" s="4" t="s">
        <v>486</v>
      </c>
      <c r="R130" s="4" t="s">
        <v>462</v>
      </c>
      <c r="S130" s="11">
        <v>8</v>
      </c>
      <c r="T130" s="11">
        <v>4</v>
      </c>
    </row>
    <row r="131" spans="1:20" ht="12.75" customHeight="1">
      <c r="A131" s="4" t="s">
        <v>147</v>
      </c>
      <c r="B131" s="14" t="s">
        <v>491</v>
      </c>
      <c r="C131" s="6" t="s">
        <v>473</v>
      </c>
      <c r="D131" s="4">
        <v>27.8</v>
      </c>
      <c r="E131" s="4">
        <v>35.200000000000003</v>
      </c>
      <c r="F131" s="4">
        <v>7.8</v>
      </c>
      <c r="G131" s="4">
        <v>370</v>
      </c>
      <c r="H131" s="13">
        <f t="shared" si="2"/>
        <v>0.37</v>
      </c>
      <c r="I131" s="8">
        <v>45245</v>
      </c>
      <c r="K131" s="4" t="s">
        <v>474</v>
      </c>
      <c r="L131" s="4" t="s">
        <v>475</v>
      </c>
      <c r="M131" s="4" t="s">
        <v>492</v>
      </c>
      <c r="N131" s="4" t="s">
        <v>477</v>
      </c>
      <c r="O131" s="11">
        <v>1</v>
      </c>
      <c r="P131" s="4" t="s">
        <v>474</v>
      </c>
      <c r="Q131" s="4" t="s">
        <v>486</v>
      </c>
      <c r="R131" s="4" t="s">
        <v>462</v>
      </c>
      <c r="S131" s="11">
        <v>8</v>
      </c>
      <c r="T131" s="11">
        <v>4</v>
      </c>
    </row>
    <row r="132" spans="1:20" ht="12.75" customHeight="1">
      <c r="A132" s="4" t="s">
        <v>148</v>
      </c>
      <c r="B132" s="14" t="s">
        <v>491</v>
      </c>
      <c r="C132" s="6" t="s">
        <v>482</v>
      </c>
      <c r="D132" s="4">
        <v>22.1</v>
      </c>
      <c r="E132" s="4">
        <v>27.8</v>
      </c>
      <c r="F132" s="4">
        <v>6.8</v>
      </c>
      <c r="G132" s="4">
        <v>207</v>
      </c>
      <c r="H132" s="4">
        <f t="shared" si="2"/>
        <v>0.20699999999999999</v>
      </c>
      <c r="I132" s="8">
        <v>45245</v>
      </c>
      <c r="K132" s="4" t="s">
        <v>474</v>
      </c>
      <c r="L132" s="4" t="s">
        <v>475</v>
      </c>
      <c r="M132" s="4" t="s">
        <v>492</v>
      </c>
      <c r="N132" s="4" t="s">
        <v>477</v>
      </c>
      <c r="O132" s="11">
        <v>1</v>
      </c>
      <c r="P132" s="4" t="s">
        <v>474</v>
      </c>
      <c r="Q132" s="4" t="s">
        <v>486</v>
      </c>
      <c r="R132" s="4" t="s">
        <v>462</v>
      </c>
      <c r="S132" s="11">
        <v>8</v>
      </c>
      <c r="T132" s="11">
        <v>4</v>
      </c>
    </row>
    <row r="133" spans="1:20" ht="12.75" customHeight="1">
      <c r="A133" s="4" t="s">
        <v>149</v>
      </c>
      <c r="B133" s="14" t="s">
        <v>491</v>
      </c>
      <c r="C133" s="6" t="s">
        <v>493</v>
      </c>
      <c r="D133" s="4">
        <v>19.100000000000001</v>
      </c>
      <c r="E133" s="4">
        <v>23.8</v>
      </c>
      <c r="F133" s="4">
        <v>5.4</v>
      </c>
      <c r="G133" s="4">
        <v>128</v>
      </c>
      <c r="H133" s="4">
        <f t="shared" si="2"/>
        <v>0.128</v>
      </c>
      <c r="I133" s="8">
        <v>45245</v>
      </c>
      <c r="K133" s="4" t="s">
        <v>474</v>
      </c>
      <c r="L133" s="4" t="s">
        <v>475</v>
      </c>
      <c r="M133" s="4" t="s">
        <v>492</v>
      </c>
      <c r="N133" s="4" t="s">
        <v>477</v>
      </c>
      <c r="O133" s="11">
        <v>1</v>
      </c>
      <c r="P133" s="4" t="s">
        <v>474</v>
      </c>
      <c r="Q133" s="4" t="s">
        <v>486</v>
      </c>
      <c r="R133" s="4" t="s">
        <v>462</v>
      </c>
      <c r="S133" s="11">
        <v>8</v>
      </c>
      <c r="T133" s="11">
        <v>4</v>
      </c>
    </row>
    <row r="134" spans="1:20" ht="12.75" customHeight="1">
      <c r="A134" s="4" t="s">
        <v>150</v>
      </c>
      <c r="B134" s="14" t="s">
        <v>491</v>
      </c>
      <c r="C134" s="6" t="s">
        <v>482</v>
      </c>
      <c r="D134" s="4">
        <v>25.7</v>
      </c>
      <c r="E134" s="4">
        <v>33</v>
      </c>
      <c r="F134" s="4">
        <v>9.4</v>
      </c>
      <c r="G134" s="4">
        <v>392</v>
      </c>
      <c r="H134" s="4">
        <f t="shared" si="2"/>
        <v>0.39200000000000002</v>
      </c>
      <c r="I134" s="8">
        <v>45245</v>
      </c>
      <c r="K134" s="4" t="s">
        <v>474</v>
      </c>
      <c r="L134" s="4" t="s">
        <v>475</v>
      </c>
      <c r="M134" s="4" t="s">
        <v>492</v>
      </c>
      <c r="N134" s="4" t="s">
        <v>477</v>
      </c>
      <c r="O134" s="11">
        <v>1</v>
      </c>
      <c r="P134" s="4" t="s">
        <v>474</v>
      </c>
      <c r="Q134" s="4" t="s">
        <v>486</v>
      </c>
      <c r="R134" s="4" t="s">
        <v>462</v>
      </c>
      <c r="S134" s="11">
        <v>8</v>
      </c>
      <c r="T134" s="11">
        <v>4</v>
      </c>
    </row>
    <row r="135" spans="1:20" ht="12.75" customHeight="1">
      <c r="A135" s="4" t="s">
        <v>151</v>
      </c>
      <c r="B135" s="14" t="s">
        <v>491</v>
      </c>
      <c r="C135" s="6" t="s">
        <v>482</v>
      </c>
      <c r="D135" s="4">
        <v>21.4</v>
      </c>
      <c r="E135" s="4">
        <v>26.5</v>
      </c>
      <c r="F135" s="4">
        <v>7.3</v>
      </c>
      <c r="G135" s="4">
        <v>209</v>
      </c>
      <c r="H135" s="4">
        <f t="shared" si="2"/>
        <v>0.20899999999999999</v>
      </c>
      <c r="I135" s="8">
        <v>45245</v>
      </c>
      <c r="K135" s="4" t="s">
        <v>474</v>
      </c>
      <c r="L135" s="4" t="s">
        <v>475</v>
      </c>
      <c r="M135" s="4" t="s">
        <v>492</v>
      </c>
      <c r="N135" s="4" t="s">
        <v>477</v>
      </c>
      <c r="O135" s="11">
        <v>1</v>
      </c>
      <c r="P135" s="4" t="s">
        <v>474</v>
      </c>
      <c r="Q135" s="4" t="s">
        <v>486</v>
      </c>
      <c r="R135" s="4" t="s">
        <v>462</v>
      </c>
      <c r="S135" s="11">
        <v>8</v>
      </c>
      <c r="T135" s="11">
        <v>4</v>
      </c>
    </row>
    <row r="136" spans="1:20" ht="12.75" customHeight="1">
      <c r="A136" s="4" t="s">
        <v>152</v>
      </c>
      <c r="B136" s="14" t="s">
        <v>491</v>
      </c>
      <c r="C136" s="6" t="s">
        <v>473</v>
      </c>
      <c r="D136" s="4">
        <v>24.8</v>
      </c>
      <c r="E136" s="4">
        <v>30.7</v>
      </c>
      <c r="F136" s="4">
        <v>7.2</v>
      </c>
      <c r="G136" s="4">
        <v>215</v>
      </c>
      <c r="H136" s="4">
        <f t="shared" si="2"/>
        <v>0.215</v>
      </c>
      <c r="I136" s="8">
        <v>45245</v>
      </c>
      <c r="K136" s="4" t="s">
        <v>474</v>
      </c>
      <c r="L136" s="4" t="s">
        <v>475</v>
      </c>
      <c r="M136" s="4" t="s">
        <v>492</v>
      </c>
      <c r="N136" s="4" t="s">
        <v>477</v>
      </c>
      <c r="O136" s="11">
        <v>1</v>
      </c>
      <c r="P136" s="4" t="s">
        <v>474</v>
      </c>
      <c r="Q136" s="4" t="s">
        <v>486</v>
      </c>
      <c r="R136" s="4" t="s">
        <v>462</v>
      </c>
      <c r="S136" s="11">
        <v>8</v>
      </c>
      <c r="T136" s="11">
        <v>4</v>
      </c>
    </row>
    <row r="137" spans="1:20" ht="12.75" customHeight="1">
      <c r="A137" s="4" t="s">
        <v>153</v>
      </c>
      <c r="B137" s="14" t="s">
        <v>491</v>
      </c>
      <c r="C137" s="6" t="s">
        <v>482</v>
      </c>
      <c r="D137" s="4">
        <v>26</v>
      </c>
      <c r="E137" s="4">
        <v>33.4</v>
      </c>
      <c r="F137" s="4">
        <v>7.9</v>
      </c>
      <c r="G137" s="4">
        <v>275</v>
      </c>
      <c r="H137" s="4">
        <f t="shared" si="2"/>
        <v>0.27500000000000002</v>
      </c>
      <c r="I137" s="8">
        <v>45245</v>
      </c>
      <c r="K137" s="4" t="s">
        <v>474</v>
      </c>
      <c r="L137" s="4" t="s">
        <v>475</v>
      </c>
      <c r="M137" s="4" t="s">
        <v>492</v>
      </c>
      <c r="N137" s="4" t="s">
        <v>477</v>
      </c>
      <c r="O137" s="11">
        <v>1</v>
      </c>
      <c r="P137" s="4" t="s">
        <v>474</v>
      </c>
      <c r="Q137" s="4" t="s">
        <v>486</v>
      </c>
      <c r="R137" s="4" t="s">
        <v>462</v>
      </c>
      <c r="S137" s="11">
        <v>8</v>
      </c>
      <c r="T137" s="11">
        <v>4</v>
      </c>
    </row>
    <row r="138" spans="1:20" ht="12.75" customHeight="1">
      <c r="A138" s="4" t="s">
        <v>154</v>
      </c>
      <c r="B138" s="14" t="s">
        <v>491</v>
      </c>
      <c r="C138" s="6" t="s">
        <v>482</v>
      </c>
      <c r="D138" s="4">
        <v>21.1</v>
      </c>
      <c r="E138" s="4">
        <v>26.5</v>
      </c>
      <c r="F138" s="4">
        <v>7.3</v>
      </c>
      <c r="G138" s="4">
        <v>184</v>
      </c>
      <c r="H138" s="4">
        <f t="shared" si="2"/>
        <v>0.184</v>
      </c>
      <c r="I138" s="8">
        <v>45245</v>
      </c>
      <c r="K138" s="4" t="s">
        <v>474</v>
      </c>
      <c r="L138" s="4" t="s">
        <v>475</v>
      </c>
      <c r="M138" s="4" t="s">
        <v>492</v>
      </c>
      <c r="N138" s="4" t="s">
        <v>477</v>
      </c>
      <c r="O138" s="11">
        <v>1</v>
      </c>
      <c r="P138" s="4" t="s">
        <v>474</v>
      </c>
      <c r="Q138" s="4" t="s">
        <v>486</v>
      </c>
      <c r="R138" s="4" t="s">
        <v>462</v>
      </c>
      <c r="S138" s="11">
        <v>8</v>
      </c>
      <c r="T138" s="11">
        <v>4</v>
      </c>
    </row>
    <row r="139" spans="1:20" ht="12.75" customHeight="1">
      <c r="A139" s="4" t="s">
        <v>155</v>
      </c>
      <c r="B139" s="14" t="s">
        <v>491</v>
      </c>
      <c r="C139" s="6" t="s">
        <v>493</v>
      </c>
      <c r="D139" s="4">
        <v>28.5</v>
      </c>
      <c r="E139" s="4">
        <v>33.6</v>
      </c>
      <c r="F139" s="4">
        <v>8.1</v>
      </c>
      <c r="G139" s="4">
        <v>376</v>
      </c>
      <c r="H139" s="4">
        <f t="shared" si="2"/>
        <v>0.376</v>
      </c>
      <c r="I139" s="8">
        <v>45245</v>
      </c>
      <c r="K139" s="4" t="s">
        <v>474</v>
      </c>
      <c r="L139" s="4" t="s">
        <v>475</v>
      </c>
      <c r="M139" s="4" t="s">
        <v>492</v>
      </c>
      <c r="N139" s="4" t="s">
        <v>477</v>
      </c>
      <c r="O139" s="11">
        <v>1</v>
      </c>
      <c r="P139" s="4" t="s">
        <v>474</v>
      </c>
      <c r="Q139" s="4" t="s">
        <v>486</v>
      </c>
      <c r="R139" s="4" t="s">
        <v>462</v>
      </c>
      <c r="S139" s="11">
        <v>8</v>
      </c>
      <c r="T139" s="11">
        <v>4</v>
      </c>
    </row>
    <row r="140" spans="1:20" ht="12.75" customHeight="1">
      <c r="A140" s="4" t="s">
        <v>156</v>
      </c>
      <c r="B140" s="14" t="s">
        <v>491</v>
      </c>
      <c r="C140" s="6" t="s">
        <v>473</v>
      </c>
      <c r="D140" s="4">
        <v>27.5</v>
      </c>
      <c r="E140" s="4">
        <v>29.9</v>
      </c>
      <c r="F140" s="4">
        <v>7.4</v>
      </c>
      <c r="G140" s="4">
        <v>355</v>
      </c>
      <c r="H140" s="4">
        <f t="shared" si="2"/>
        <v>0.35499999999999998</v>
      </c>
      <c r="I140" s="8">
        <v>45245</v>
      </c>
      <c r="K140" s="4" t="s">
        <v>474</v>
      </c>
      <c r="L140" s="4" t="s">
        <v>475</v>
      </c>
      <c r="M140" s="4" t="s">
        <v>492</v>
      </c>
      <c r="N140" s="4" t="s">
        <v>477</v>
      </c>
      <c r="O140" s="11">
        <v>1</v>
      </c>
      <c r="P140" s="4" t="s">
        <v>474</v>
      </c>
      <c r="Q140" s="4" t="s">
        <v>486</v>
      </c>
      <c r="R140" s="4" t="s">
        <v>462</v>
      </c>
      <c r="S140" s="11">
        <v>8</v>
      </c>
      <c r="T140" s="11">
        <v>4</v>
      </c>
    </row>
    <row r="141" spans="1:20" ht="12.75" customHeight="1">
      <c r="A141" s="4" t="s">
        <v>157</v>
      </c>
      <c r="B141" s="14" t="s">
        <v>491</v>
      </c>
      <c r="C141" s="6" t="s">
        <v>493</v>
      </c>
      <c r="D141" s="4">
        <v>21</v>
      </c>
      <c r="E141" s="4">
        <v>25.2</v>
      </c>
      <c r="F141" s="4">
        <v>5.0999999999999996</v>
      </c>
      <c r="G141" s="4">
        <v>136</v>
      </c>
      <c r="H141" s="4">
        <f t="shared" si="2"/>
        <v>0.13600000000000001</v>
      </c>
      <c r="I141" s="8">
        <v>45245</v>
      </c>
      <c r="K141" s="4" t="s">
        <v>474</v>
      </c>
      <c r="L141" s="4" t="s">
        <v>475</v>
      </c>
      <c r="M141" s="4" t="s">
        <v>492</v>
      </c>
      <c r="N141" s="4" t="s">
        <v>477</v>
      </c>
      <c r="O141" s="11">
        <v>1</v>
      </c>
      <c r="P141" s="4" t="s">
        <v>474</v>
      </c>
      <c r="Q141" s="4" t="s">
        <v>486</v>
      </c>
      <c r="R141" s="4" t="s">
        <v>462</v>
      </c>
      <c r="S141" s="11">
        <v>8</v>
      </c>
      <c r="T141" s="11">
        <v>4</v>
      </c>
    </row>
    <row r="142" spans="1:20" ht="12.75" customHeight="1">
      <c r="A142" s="4" t="s">
        <v>158</v>
      </c>
      <c r="B142" s="14" t="s">
        <v>491</v>
      </c>
      <c r="C142" s="6" t="s">
        <v>473</v>
      </c>
      <c r="D142" s="4">
        <v>22.3</v>
      </c>
      <c r="E142" s="4">
        <v>26.1</v>
      </c>
      <c r="F142" s="4">
        <v>6.5</v>
      </c>
      <c r="G142" s="4">
        <v>185</v>
      </c>
      <c r="H142" s="4">
        <f t="shared" si="2"/>
        <v>0.185</v>
      </c>
      <c r="I142" s="8">
        <v>45245</v>
      </c>
      <c r="K142" s="4" t="s">
        <v>474</v>
      </c>
      <c r="L142" s="4" t="s">
        <v>475</v>
      </c>
      <c r="M142" s="4" t="s">
        <v>492</v>
      </c>
      <c r="N142" s="4" t="s">
        <v>477</v>
      </c>
      <c r="O142" s="11">
        <v>1</v>
      </c>
      <c r="P142" s="4" t="s">
        <v>474</v>
      </c>
      <c r="Q142" s="4" t="s">
        <v>486</v>
      </c>
      <c r="R142" s="4" t="s">
        <v>462</v>
      </c>
      <c r="S142" s="11">
        <v>8</v>
      </c>
      <c r="T142" s="11">
        <v>4</v>
      </c>
    </row>
    <row r="143" spans="1:20" ht="12.75" customHeight="1">
      <c r="A143" s="4" t="s">
        <v>159</v>
      </c>
      <c r="B143" s="14" t="s">
        <v>491</v>
      </c>
      <c r="C143" s="6" t="s">
        <v>482</v>
      </c>
      <c r="D143" s="4">
        <v>21.2</v>
      </c>
      <c r="E143" s="4">
        <v>28.9</v>
      </c>
      <c r="F143" s="4">
        <v>6.6</v>
      </c>
      <c r="G143" s="4">
        <v>197</v>
      </c>
      <c r="H143" s="4">
        <f t="shared" si="2"/>
        <v>0.19700000000000001</v>
      </c>
      <c r="I143" s="8">
        <v>45245</v>
      </c>
      <c r="K143" s="4" t="s">
        <v>474</v>
      </c>
      <c r="L143" s="4" t="s">
        <v>475</v>
      </c>
      <c r="M143" s="4" t="s">
        <v>492</v>
      </c>
      <c r="N143" s="4" t="s">
        <v>477</v>
      </c>
      <c r="O143" s="11">
        <v>1</v>
      </c>
      <c r="P143" s="4" t="s">
        <v>474</v>
      </c>
      <c r="Q143" s="4" t="s">
        <v>486</v>
      </c>
      <c r="R143" s="4" t="s">
        <v>462</v>
      </c>
      <c r="S143" s="11">
        <v>8</v>
      </c>
      <c r="T143" s="11">
        <v>4</v>
      </c>
    </row>
    <row r="144" spans="1:20" ht="12.75" customHeight="1">
      <c r="A144" s="4" t="s">
        <v>160</v>
      </c>
      <c r="B144" s="14" t="s">
        <v>491</v>
      </c>
      <c r="C144" s="6" t="s">
        <v>482</v>
      </c>
      <c r="D144" s="4">
        <v>22.2</v>
      </c>
      <c r="E144" s="4">
        <v>29</v>
      </c>
      <c r="F144" s="4">
        <v>7.4</v>
      </c>
      <c r="G144" s="4">
        <v>216</v>
      </c>
      <c r="H144" s="4">
        <f t="shared" si="2"/>
        <v>0.216</v>
      </c>
      <c r="I144" s="8">
        <v>45245</v>
      </c>
      <c r="K144" s="4" t="s">
        <v>474</v>
      </c>
      <c r="L144" s="4" t="s">
        <v>475</v>
      </c>
      <c r="M144" s="4" t="s">
        <v>492</v>
      </c>
      <c r="N144" s="4" t="s">
        <v>477</v>
      </c>
      <c r="O144" s="11">
        <v>1</v>
      </c>
      <c r="P144" s="4" t="s">
        <v>474</v>
      </c>
      <c r="Q144" s="4" t="s">
        <v>486</v>
      </c>
      <c r="R144" s="4" t="s">
        <v>462</v>
      </c>
      <c r="S144" s="11">
        <v>8</v>
      </c>
      <c r="T144" s="11">
        <v>4</v>
      </c>
    </row>
    <row r="145" spans="1:20" ht="12.75" customHeight="1">
      <c r="A145" s="4" t="s">
        <v>161</v>
      </c>
      <c r="B145" s="14" t="s">
        <v>491</v>
      </c>
      <c r="C145" s="6" t="s">
        <v>482</v>
      </c>
      <c r="D145" s="4">
        <v>23.3</v>
      </c>
      <c r="E145" s="4">
        <v>29.5</v>
      </c>
      <c r="F145" s="4">
        <v>8</v>
      </c>
      <c r="G145" s="4">
        <v>263</v>
      </c>
      <c r="H145" s="4">
        <f t="shared" si="2"/>
        <v>0.26300000000000001</v>
      </c>
      <c r="I145" s="8">
        <v>45245</v>
      </c>
      <c r="K145" s="4" t="s">
        <v>474</v>
      </c>
      <c r="L145" s="4" t="s">
        <v>475</v>
      </c>
      <c r="M145" s="4" t="s">
        <v>492</v>
      </c>
      <c r="N145" s="4" t="s">
        <v>477</v>
      </c>
      <c r="O145" s="11">
        <v>1</v>
      </c>
      <c r="P145" s="4" t="s">
        <v>474</v>
      </c>
      <c r="Q145" s="4" t="s">
        <v>486</v>
      </c>
      <c r="R145" s="4" t="s">
        <v>462</v>
      </c>
      <c r="S145" s="11">
        <v>8</v>
      </c>
      <c r="T145" s="11">
        <v>4</v>
      </c>
    </row>
    <row r="146" spans="1:20" ht="12.75" customHeight="1">
      <c r="A146" s="4" t="s">
        <v>162</v>
      </c>
      <c r="B146" s="14" t="s">
        <v>491</v>
      </c>
      <c r="C146" s="6" t="s">
        <v>493</v>
      </c>
      <c r="D146" s="4">
        <v>18.7</v>
      </c>
      <c r="E146" s="4">
        <v>22.1</v>
      </c>
      <c r="F146" s="4">
        <v>5.2</v>
      </c>
      <c r="G146" s="4">
        <v>107</v>
      </c>
      <c r="H146" s="4">
        <f t="shared" si="2"/>
        <v>0.107</v>
      </c>
      <c r="I146" s="8">
        <v>45245</v>
      </c>
      <c r="K146" s="4" t="s">
        <v>474</v>
      </c>
      <c r="L146" s="4" t="s">
        <v>475</v>
      </c>
      <c r="M146" s="4" t="s">
        <v>492</v>
      </c>
      <c r="N146" s="4" t="s">
        <v>477</v>
      </c>
      <c r="O146" s="11">
        <v>1</v>
      </c>
      <c r="P146" s="4" t="s">
        <v>474</v>
      </c>
      <c r="Q146" s="4" t="s">
        <v>486</v>
      </c>
      <c r="R146" s="4" t="s">
        <v>462</v>
      </c>
      <c r="S146" s="11">
        <v>8</v>
      </c>
      <c r="T146" s="11">
        <v>4</v>
      </c>
    </row>
    <row r="147" spans="1:20" ht="12.75" customHeight="1">
      <c r="A147" s="4" t="s">
        <v>163</v>
      </c>
      <c r="B147" s="14" t="s">
        <v>491</v>
      </c>
      <c r="C147" s="6" t="s">
        <v>493</v>
      </c>
      <c r="D147" s="4">
        <v>18.3</v>
      </c>
      <c r="E147" s="4">
        <v>22.4</v>
      </c>
      <c r="F147" s="4">
        <v>5.4</v>
      </c>
      <c r="G147" s="4">
        <v>101</v>
      </c>
      <c r="H147" s="4">
        <f t="shared" si="2"/>
        <v>0.10100000000000001</v>
      </c>
      <c r="I147" s="8">
        <v>45245</v>
      </c>
      <c r="K147" s="4" t="s">
        <v>474</v>
      </c>
      <c r="L147" s="4" t="s">
        <v>475</v>
      </c>
      <c r="M147" s="4" t="s">
        <v>492</v>
      </c>
      <c r="N147" s="4" t="s">
        <v>477</v>
      </c>
      <c r="O147" s="11">
        <v>1</v>
      </c>
      <c r="P147" s="4" t="s">
        <v>474</v>
      </c>
      <c r="Q147" s="4" t="s">
        <v>486</v>
      </c>
      <c r="R147" s="4" t="s">
        <v>462</v>
      </c>
      <c r="S147" s="11">
        <v>8</v>
      </c>
      <c r="T147" s="11">
        <v>4</v>
      </c>
    </row>
    <row r="148" spans="1:20" ht="12.75" customHeight="1">
      <c r="A148" s="4" t="s">
        <v>164</v>
      </c>
      <c r="B148" s="14" t="s">
        <v>491</v>
      </c>
      <c r="C148" s="6" t="s">
        <v>473</v>
      </c>
      <c r="D148" s="4">
        <v>22</v>
      </c>
      <c r="E148" s="4">
        <v>27.5</v>
      </c>
      <c r="F148" s="4">
        <v>6.3</v>
      </c>
      <c r="G148" s="4">
        <v>181</v>
      </c>
      <c r="H148" s="4">
        <f t="shared" si="2"/>
        <v>0.18099999999999999</v>
      </c>
      <c r="I148" s="8">
        <v>45245</v>
      </c>
      <c r="K148" s="4" t="s">
        <v>474</v>
      </c>
      <c r="L148" s="4" t="s">
        <v>475</v>
      </c>
      <c r="M148" s="4" t="s">
        <v>492</v>
      </c>
      <c r="N148" s="4" t="s">
        <v>477</v>
      </c>
      <c r="O148" s="11">
        <v>1</v>
      </c>
      <c r="P148" s="4" t="s">
        <v>474</v>
      </c>
      <c r="Q148" s="4" t="s">
        <v>486</v>
      </c>
      <c r="R148" s="4" t="s">
        <v>462</v>
      </c>
      <c r="S148" s="11">
        <v>8</v>
      </c>
      <c r="T148" s="11">
        <v>4</v>
      </c>
    </row>
    <row r="149" spans="1:20" ht="12.75" customHeight="1">
      <c r="A149" s="4" t="s">
        <v>165</v>
      </c>
      <c r="B149" s="14" t="s">
        <v>491</v>
      </c>
      <c r="C149" s="6" t="s">
        <v>473</v>
      </c>
      <c r="D149" s="4">
        <v>25.1</v>
      </c>
      <c r="E149" s="4">
        <v>31</v>
      </c>
      <c r="F149" s="4">
        <v>6.7</v>
      </c>
      <c r="G149" s="4">
        <v>256</v>
      </c>
      <c r="H149" s="4">
        <f t="shared" si="2"/>
        <v>0.25600000000000001</v>
      </c>
      <c r="I149" s="8">
        <v>45245</v>
      </c>
      <c r="K149" s="4" t="s">
        <v>474</v>
      </c>
      <c r="L149" s="4" t="s">
        <v>475</v>
      </c>
      <c r="M149" s="4" t="s">
        <v>492</v>
      </c>
      <c r="N149" s="4" t="s">
        <v>477</v>
      </c>
      <c r="O149" s="11">
        <v>1</v>
      </c>
      <c r="P149" s="4" t="s">
        <v>474</v>
      </c>
      <c r="Q149" s="4" t="s">
        <v>486</v>
      </c>
      <c r="R149" s="4" t="s">
        <v>462</v>
      </c>
      <c r="S149" s="11">
        <v>8</v>
      </c>
      <c r="T149" s="11">
        <v>4</v>
      </c>
    </row>
    <row r="150" spans="1:20" ht="12.75" customHeight="1">
      <c r="A150" s="4" t="s">
        <v>166</v>
      </c>
      <c r="B150" s="14" t="s">
        <v>491</v>
      </c>
      <c r="C150" s="6" t="s">
        <v>473</v>
      </c>
      <c r="D150" s="4">
        <v>22.8</v>
      </c>
      <c r="E150" s="4">
        <v>29.1</v>
      </c>
      <c r="F150" s="4">
        <v>6.5</v>
      </c>
      <c r="G150" s="4">
        <v>220</v>
      </c>
      <c r="H150" s="13">
        <f t="shared" si="2"/>
        <v>0.22</v>
      </c>
      <c r="I150" s="8">
        <v>45245</v>
      </c>
      <c r="K150" s="4" t="s">
        <v>474</v>
      </c>
      <c r="L150" s="4" t="s">
        <v>475</v>
      </c>
      <c r="M150" s="4" t="s">
        <v>492</v>
      </c>
      <c r="N150" s="4" t="s">
        <v>477</v>
      </c>
      <c r="O150" s="11">
        <v>1</v>
      </c>
      <c r="P150" s="4" t="s">
        <v>474</v>
      </c>
      <c r="Q150" s="4" t="s">
        <v>486</v>
      </c>
      <c r="R150" s="4" t="s">
        <v>462</v>
      </c>
      <c r="S150" s="11">
        <v>8</v>
      </c>
      <c r="T150" s="11">
        <v>4</v>
      </c>
    </row>
    <row r="151" spans="1:20" ht="12.75" customHeight="1">
      <c r="A151" s="4" t="s">
        <v>167</v>
      </c>
      <c r="B151" s="14" t="s">
        <v>491</v>
      </c>
      <c r="C151" s="6" t="s">
        <v>473</v>
      </c>
      <c r="D151" s="4">
        <v>19</v>
      </c>
      <c r="E151" s="4">
        <v>23.1</v>
      </c>
      <c r="F151" s="4">
        <v>4.5999999999999996</v>
      </c>
      <c r="G151" s="4">
        <v>103</v>
      </c>
      <c r="H151" s="4">
        <f t="shared" si="2"/>
        <v>0.10299999999999999</v>
      </c>
      <c r="I151" s="8">
        <v>45245</v>
      </c>
      <c r="K151" s="4" t="s">
        <v>474</v>
      </c>
      <c r="L151" s="4" t="s">
        <v>475</v>
      </c>
      <c r="M151" s="4" t="s">
        <v>492</v>
      </c>
      <c r="N151" s="4" t="s">
        <v>477</v>
      </c>
      <c r="O151" s="11">
        <v>1</v>
      </c>
      <c r="P151" s="4" t="s">
        <v>474</v>
      </c>
      <c r="Q151" s="4" t="s">
        <v>486</v>
      </c>
      <c r="R151" s="4" t="s">
        <v>462</v>
      </c>
      <c r="S151" s="11">
        <v>8</v>
      </c>
      <c r="T151" s="11">
        <v>4</v>
      </c>
    </row>
    <row r="152" spans="1:20" ht="12.75" customHeight="1">
      <c r="A152" s="4" t="s">
        <v>168</v>
      </c>
      <c r="B152" s="14" t="s">
        <v>491</v>
      </c>
      <c r="C152" s="6" t="s">
        <v>473</v>
      </c>
      <c r="D152" s="4">
        <v>30.3</v>
      </c>
      <c r="E152" s="4">
        <v>38.9</v>
      </c>
      <c r="F152" s="4">
        <v>8.1999999999999993</v>
      </c>
      <c r="G152" s="4">
        <v>482</v>
      </c>
      <c r="H152" s="4">
        <f t="shared" si="2"/>
        <v>0.48199999999999998</v>
      </c>
      <c r="I152" s="8">
        <v>45245</v>
      </c>
      <c r="K152" s="4" t="s">
        <v>474</v>
      </c>
      <c r="L152" s="4" t="s">
        <v>475</v>
      </c>
      <c r="M152" s="4" t="s">
        <v>492</v>
      </c>
      <c r="N152" s="4" t="s">
        <v>477</v>
      </c>
      <c r="O152" s="11">
        <v>1</v>
      </c>
      <c r="P152" s="4" t="s">
        <v>474</v>
      </c>
      <c r="Q152" s="4" t="s">
        <v>486</v>
      </c>
      <c r="R152" s="4" t="s">
        <v>462</v>
      </c>
      <c r="S152" s="11">
        <v>8</v>
      </c>
      <c r="T152" s="11">
        <v>4</v>
      </c>
    </row>
    <row r="153" spans="1:20" ht="12.75" customHeight="1">
      <c r="A153" s="4" t="s">
        <v>169</v>
      </c>
      <c r="B153" s="14" t="s">
        <v>491</v>
      </c>
      <c r="C153" s="6" t="s">
        <v>473</v>
      </c>
      <c r="D153" s="4">
        <v>22.7</v>
      </c>
      <c r="E153" s="4">
        <v>25</v>
      </c>
      <c r="F153" s="4">
        <v>6.2</v>
      </c>
      <c r="G153" s="4">
        <v>172</v>
      </c>
      <c r="H153" s="4">
        <f t="shared" si="2"/>
        <v>0.17199999999999999</v>
      </c>
      <c r="I153" s="8">
        <v>45245</v>
      </c>
      <c r="K153" s="4" t="s">
        <v>474</v>
      </c>
      <c r="L153" s="4" t="s">
        <v>475</v>
      </c>
      <c r="M153" s="4" t="s">
        <v>492</v>
      </c>
      <c r="N153" s="4" t="s">
        <v>477</v>
      </c>
      <c r="O153" s="11">
        <v>1</v>
      </c>
      <c r="P153" s="4" t="s">
        <v>474</v>
      </c>
      <c r="Q153" s="4" t="s">
        <v>486</v>
      </c>
      <c r="R153" s="4" t="s">
        <v>462</v>
      </c>
      <c r="S153" s="11">
        <v>8</v>
      </c>
      <c r="T153" s="11">
        <v>4</v>
      </c>
    </row>
    <row r="154" spans="1:20" ht="12.75" customHeight="1">
      <c r="A154" s="4" t="s">
        <v>170</v>
      </c>
      <c r="B154" s="14" t="s">
        <v>491</v>
      </c>
      <c r="C154" s="6" t="s">
        <v>473</v>
      </c>
      <c r="D154" s="4">
        <v>25.8</v>
      </c>
      <c r="E154" s="4">
        <v>31.3</v>
      </c>
      <c r="F154" s="4">
        <v>7.6</v>
      </c>
      <c r="G154" s="4">
        <v>309</v>
      </c>
      <c r="H154" s="4">
        <f t="shared" si="2"/>
        <v>0.309</v>
      </c>
      <c r="I154" s="8">
        <v>45245</v>
      </c>
      <c r="K154" s="4" t="s">
        <v>474</v>
      </c>
      <c r="L154" s="4" t="s">
        <v>475</v>
      </c>
      <c r="M154" s="4" t="s">
        <v>492</v>
      </c>
      <c r="N154" s="4" t="s">
        <v>477</v>
      </c>
      <c r="O154" s="11">
        <v>1</v>
      </c>
      <c r="P154" s="4" t="s">
        <v>474</v>
      </c>
      <c r="Q154" s="4" t="s">
        <v>486</v>
      </c>
      <c r="R154" s="4" t="s">
        <v>462</v>
      </c>
      <c r="S154" s="11">
        <v>8</v>
      </c>
      <c r="T154" s="11">
        <v>4</v>
      </c>
    </row>
    <row r="155" spans="1:20" ht="12.75" customHeight="1">
      <c r="A155" s="4" t="s">
        <v>171</v>
      </c>
      <c r="B155" s="14" t="s">
        <v>491</v>
      </c>
      <c r="C155" s="6" t="s">
        <v>493</v>
      </c>
      <c r="D155" s="4">
        <v>18.7</v>
      </c>
      <c r="E155" s="4">
        <v>22.2</v>
      </c>
      <c r="F155" s="4">
        <v>5.5</v>
      </c>
      <c r="G155" s="4">
        <v>123</v>
      </c>
      <c r="H155" s="4">
        <f t="shared" si="2"/>
        <v>0.123</v>
      </c>
      <c r="I155" s="8">
        <v>45245</v>
      </c>
      <c r="K155" s="4" t="s">
        <v>474</v>
      </c>
      <c r="L155" s="4" t="s">
        <v>475</v>
      </c>
      <c r="M155" s="4" t="s">
        <v>492</v>
      </c>
      <c r="N155" s="4" t="s">
        <v>477</v>
      </c>
      <c r="O155" s="11">
        <v>1</v>
      </c>
      <c r="P155" s="4" t="s">
        <v>474</v>
      </c>
      <c r="Q155" s="4" t="s">
        <v>486</v>
      </c>
      <c r="R155" s="4" t="s">
        <v>462</v>
      </c>
      <c r="S155" s="11">
        <v>8</v>
      </c>
      <c r="T155" s="11">
        <v>4</v>
      </c>
    </row>
    <row r="156" spans="1:20" ht="12.75" customHeight="1">
      <c r="A156" s="4" t="s">
        <v>172</v>
      </c>
      <c r="B156" s="14" t="s">
        <v>491</v>
      </c>
      <c r="C156" s="6" t="s">
        <v>482</v>
      </c>
      <c r="D156" s="4">
        <v>15.3</v>
      </c>
      <c r="E156" s="4">
        <v>18.600000000000001</v>
      </c>
      <c r="F156" s="4">
        <v>4.3</v>
      </c>
      <c r="G156" s="4">
        <v>78</v>
      </c>
      <c r="H156" s="4">
        <f t="shared" si="2"/>
        <v>7.8E-2</v>
      </c>
      <c r="I156" s="8">
        <v>45245</v>
      </c>
      <c r="K156" s="4" t="s">
        <v>474</v>
      </c>
      <c r="L156" s="4" t="s">
        <v>475</v>
      </c>
      <c r="M156" s="4" t="s">
        <v>492</v>
      </c>
      <c r="N156" s="4" t="s">
        <v>477</v>
      </c>
      <c r="O156" s="11">
        <v>1</v>
      </c>
      <c r="P156" s="4" t="s">
        <v>474</v>
      </c>
      <c r="Q156" s="4" t="s">
        <v>486</v>
      </c>
      <c r="R156" s="4" t="s">
        <v>462</v>
      </c>
      <c r="S156" s="11">
        <v>8</v>
      </c>
      <c r="T156" s="11">
        <v>4</v>
      </c>
    </row>
    <row r="157" spans="1:20" ht="12.75" customHeight="1">
      <c r="A157" s="4" t="s">
        <v>173</v>
      </c>
      <c r="B157" s="14" t="s">
        <v>491</v>
      </c>
      <c r="C157" s="6" t="s">
        <v>482</v>
      </c>
      <c r="D157" s="4">
        <v>23</v>
      </c>
      <c r="E157" s="4">
        <v>29</v>
      </c>
      <c r="F157" s="4">
        <v>8.1</v>
      </c>
      <c r="G157" s="4">
        <v>263</v>
      </c>
      <c r="H157" s="4">
        <f t="shared" si="2"/>
        <v>0.26300000000000001</v>
      </c>
      <c r="I157" s="8">
        <v>45245</v>
      </c>
      <c r="J157" s="4" t="s">
        <v>175</v>
      </c>
      <c r="K157" s="4" t="s">
        <v>474</v>
      </c>
      <c r="L157" s="4" t="s">
        <v>475</v>
      </c>
      <c r="M157" s="4" t="s">
        <v>492</v>
      </c>
      <c r="N157" s="4" t="s">
        <v>477</v>
      </c>
      <c r="O157" s="11">
        <v>1</v>
      </c>
      <c r="P157" s="4" t="s">
        <v>474</v>
      </c>
      <c r="Q157" s="4" t="s">
        <v>486</v>
      </c>
      <c r="R157" s="4" t="s">
        <v>462</v>
      </c>
      <c r="S157" s="11">
        <v>8</v>
      </c>
      <c r="T157" s="11">
        <v>4</v>
      </c>
    </row>
    <row r="158" spans="1:20" ht="12.75" customHeight="1">
      <c r="A158" s="4" t="s">
        <v>176</v>
      </c>
      <c r="B158" s="14" t="s">
        <v>491</v>
      </c>
      <c r="C158" s="6" t="s">
        <v>473</v>
      </c>
      <c r="D158" s="4">
        <v>23.8</v>
      </c>
      <c r="E158" s="4">
        <v>29.5</v>
      </c>
      <c r="F158" s="4">
        <v>6.9</v>
      </c>
      <c r="G158" s="4">
        <v>221</v>
      </c>
      <c r="H158" s="4">
        <f t="shared" si="2"/>
        <v>0.221</v>
      </c>
      <c r="I158" s="8">
        <v>45245</v>
      </c>
      <c r="K158" s="4" t="s">
        <v>474</v>
      </c>
      <c r="L158" s="4" t="s">
        <v>475</v>
      </c>
      <c r="M158" s="4" t="s">
        <v>492</v>
      </c>
      <c r="N158" s="4" t="s">
        <v>477</v>
      </c>
      <c r="O158" s="11">
        <v>1</v>
      </c>
      <c r="P158" s="4" t="s">
        <v>474</v>
      </c>
      <c r="Q158" s="4" t="s">
        <v>486</v>
      </c>
      <c r="R158" s="4" t="s">
        <v>462</v>
      </c>
      <c r="S158" s="11">
        <v>8</v>
      </c>
      <c r="T158" s="11">
        <v>4</v>
      </c>
    </row>
    <row r="159" spans="1:20" ht="12.75" customHeight="1">
      <c r="A159" s="4" t="s">
        <v>177</v>
      </c>
      <c r="B159" s="14" t="s">
        <v>491</v>
      </c>
      <c r="C159" s="6" t="s">
        <v>473</v>
      </c>
      <c r="D159" s="4">
        <v>20.3</v>
      </c>
      <c r="E159" s="4">
        <v>23.9</v>
      </c>
      <c r="F159" s="4">
        <v>5</v>
      </c>
      <c r="G159" s="4">
        <v>157</v>
      </c>
      <c r="H159" s="4">
        <f t="shared" si="2"/>
        <v>0.157</v>
      </c>
      <c r="I159" s="8">
        <v>45245</v>
      </c>
      <c r="K159" s="4" t="s">
        <v>474</v>
      </c>
      <c r="L159" s="4" t="s">
        <v>475</v>
      </c>
      <c r="M159" s="4" t="s">
        <v>492</v>
      </c>
      <c r="N159" s="4" t="s">
        <v>477</v>
      </c>
      <c r="O159" s="11">
        <v>1</v>
      </c>
      <c r="P159" s="4" t="s">
        <v>474</v>
      </c>
      <c r="Q159" s="4" t="s">
        <v>486</v>
      </c>
      <c r="R159" s="4" t="s">
        <v>462</v>
      </c>
      <c r="S159" s="11">
        <v>8</v>
      </c>
      <c r="T159" s="11">
        <v>4</v>
      </c>
    </row>
    <row r="160" spans="1:20" ht="12.75" customHeight="1">
      <c r="A160" s="4" t="s">
        <v>178</v>
      </c>
      <c r="B160" s="14" t="s">
        <v>491</v>
      </c>
      <c r="C160" s="6" t="s">
        <v>493</v>
      </c>
      <c r="D160" s="4">
        <v>26.4</v>
      </c>
      <c r="E160" s="4">
        <v>31.2</v>
      </c>
      <c r="F160" s="4">
        <v>7.6</v>
      </c>
      <c r="G160" s="4">
        <v>402</v>
      </c>
      <c r="H160" s="4">
        <f t="shared" si="2"/>
        <v>0.40200000000000002</v>
      </c>
      <c r="I160" s="8">
        <v>45245</v>
      </c>
      <c r="K160" s="4" t="s">
        <v>474</v>
      </c>
      <c r="L160" s="4" t="s">
        <v>475</v>
      </c>
      <c r="M160" s="4" t="s">
        <v>492</v>
      </c>
      <c r="N160" s="4" t="s">
        <v>477</v>
      </c>
      <c r="O160" s="11">
        <v>1</v>
      </c>
      <c r="P160" s="4" t="s">
        <v>474</v>
      </c>
      <c r="Q160" s="4" t="s">
        <v>486</v>
      </c>
      <c r="R160" s="4" t="s">
        <v>462</v>
      </c>
      <c r="S160" s="11">
        <v>8</v>
      </c>
      <c r="T160" s="11">
        <v>4</v>
      </c>
    </row>
    <row r="161" spans="1:20" ht="12.75" customHeight="1">
      <c r="A161" s="4" t="s">
        <v>179</v>
      </c>
      <c r="B161" s="14" t="s">
        <v>491</v>
      </c>
      <c r="C161" s="6" t="s">
        <v>473</v>
      </c>
      <c r="D161" s="4">
        <v>20.9</v>
      </c>
      <c r="E161" s="4">
        <v>25.7</v>
      </c>
      <c r="F161" s="4">
        <v>5.6</v>
      </c>
      <c r="G161" s="4">
        <v>164</v>
      </c>
      <c r="H161" s="4">
        <f t="shared" si="2"/>
        <v>0.16400000000000001</v>
      </c>
      <c r="I161" s="8">
        <v>45245</v>
      </c>
      <c r="K161" s="4" t="s">
        <v>474</v>
      </c>
      <c r="L161" s="4" t="s">
        <v>475</v>
      </c>
      <c r="M161" s="4" t="s">
        <v>492</v>
      </c>
      <c r="N161" s="4" t="s">
        <v>477</v>
      </c>
      <c r="O161" s="11">
        <v>1</v>
      </c>
      <c r="P161" s="4" t="s">
        <v>474</v>
      </c>
      <c r="Q161" s="4" t="s">
        <v>486</v>
      </c>
      <c r="R161" s="4" t="s">
        <v>462</v>
      </c>
      <c r="S161" s="11">
        <v>8</v>
      </c>
      <c r="T161" s="11">
        <v>4</v>
      </c>
    </row>
    <row r="162" spans="1:20" ht="12.75" customHeight="1">
      <c r="A162" s="4" t="s">
        <v>180</v>
      </c>
      <c r="B162" s="14" t="s">
        <v>491</v>
      </c>
      <c r="C162" s="6" t="s">
        <v>473</v>
      </c>
      <c r="D162" s="4">
        <v>16.3</v>
      </c>
      <c r="E162" s="4">
        <v>20.3</v>
      </c>
      <c r="F162" s="4">
        <v>4.2</v>
      </c>
      <c r="G162" s="4">
        <v>72</v>
      </c>
      <c r="H162" s="4">
        <f t="shared" si="2"/>
        <v>7.1999999999999995E-2</v>
      </c>
      <c r="I162" s="8">
        <v>45245</v>
      </c>
      <c r="K162" s="4" t="s">
        <v>474</v>
      </c>
      <c r="L162" s="4" t="s">
        <v>475</v>
      </c>
      <c r="M162" s="4" t="s">
        <v>492</v>
      </c>
      <c r="N162" s="4" t="s">
        <v>477</v>
      </c>
      <c r="O162" s="11">
        <v>1</v>
      </c>
      <c r="P162" s="4" t="s">
        <v>474</v>
      </c>
      <c r="Q162" s="4" t="s">
        <v>486</v>
      </c>
      <c r="R162" s="4" t="s">
        <v>462</v>
      </c>
      <c r="S162" s="11">
        <v>8</v>
      </c>
      <c r="T162" s="11">
        <v>4</v>
      </c>
    </row>
    <row r="163" spans="1:20" ht="12.75" customHeight="1">
      <c r="A163" s="4" t="s">
        <v>181</v>
      </c>
      <c r="B163" s="14" t="s">
        <v>491</v>
      </c>
      <c r="C163" s="6" t="s">
        <v>493</v>
      </c>
      <c r="D163" s="4">
        <v>18.600000000000001</v>
      </c>
      <c r="E163" s="4">
        <v>23.5</v>
      </c>
      <c r="F163" s="4">
        <v>4.9000000000000004</v>
      </c>
      <c r="G163" s="4">
        <v>122</v>
      </c>
      <c r="H163" s="4">
        <f t="shared" si="2"/>
        <v>0.122</v>
      </c>
      <c r="I163" s="8">
        <v>45245</v>
      </c>
      <c r="K163" s="4" t="s">
        <v>474</v>
      </c>
      <c r="L163" s="4" t="s">
        <v>475</v>
      </c>
      <c r="M163" s="4" t="s">
        <v>492</v>
      </c>
      <c r="N163" s="4" t="s">
        <v>477</v>
      </c>
      <c r="O163" s="11">
        <v>1</v>
      </c>
      <c r="P163" s="4" t="s">
        <v>474</v>
      </c>
      <c r="Q163" s="4" t="s">
        <v>486</v>
      </c>
      <c r="R163" s="4" t="s">
        <v>462</v>
      </c>
      <c r="S163" s="11">
        <v>8</v>
      </c>
      <c r="T163" s="11">
        <v>4</v>
      </c>
    </row>
    <row r="164" spans="1:20" ht="12.75" customHeight="1">
      <c r="A164" s="4" t="s">
        <v>182</v>
      </c>
      <c r="B164" s="14" t="s">
        <v>491</v>
      </c>
      <c r="C164" s="6" t="s">
        <v>473</v>
      </c>
      <c r="D164" s="4">
        <v>17.7</v>
      </c>
      <c r="E164" s="4">
        <v>22.5</v>
      </c>
      <c r="F164" s="4">
        <v>4.3</v>
      </c>
      <c r="G164" s="4">
        <v>86</v>
      </c>
      <c r="H164" s="4">
        <f t="shared" si="2"/>
        <v>8.5999999999999993E-2</v>
      </c>
      <c r="I164" s="8">
        <v>45245</v>
      </c>
      <c r="K164" s="4" t="s">
        <v>474</v>
      </c>
      <c r="L164" s="4" t="s">
        <v>475</v>
      </c>
      <c r="M164" s="4" t="s">
        <v>492</v>
      </c>
      <c r="N164" s="4" t="s">
        <v>477</v>
      </c>
      <c r="O164" s="11">
        <v>1</v>
      </c>
      <c r="P164" s="4" t="s">
        <v>474</v>
      </c>
      <c r="Q164" s="4" t="s">
        <v>486</v>
      </c>
      <c r="R164" s="4" t="s">
        <v>462</v>
      </c>
      <c r="S164" s="11">
        <v>8</v>
      </c>
      <c r="T164" s="11">
        <v>4</v>
      </c>
    </row>
    <row r="165" spans="1:20" ht="12.75" customHeight="1">
      <c r="A165" s="4" t="s">
        <v>183</v>
      </c>
      <c r="B165" s="14" t="s">
        <v>491</v>
      </c>
      <c r="C165" s="6" t="s">
        <v>473</v>
      </c>
      <c r="D165" s="4">
        <v>22.5</v>
      </c>
      <c r="E165" s="4">
        <v>27.9</v>
      </c>
      <c r="F165" s="4">
        <v>6.3</v>
      </c>
      <c r="G165" s="4">
        <v>187</v>
      </c>
      <c r="H165" s="4">
        <f t="shared" si="2"/>
        <v>0.187</v>
      </c>
      <c r="I165" s="8">
        <v>45245</v>
      </c>
      <c r="K165" s="4" t="s">
        <v>474</v>
      </c>
      <c r="L165" s="4" t="s">
        <v>475</v>
      </c>
      <c r="M165" s="4" t="s">
        <v>492</v>
      </c>
      <c r="N165" s="4" t="s">
        <v>477</v>
      </c>
      <c r="O165" s="11">
        <v>1</v>
      </c>
      <c r="P165" s="4" t="s">
        <v>474</v>
      </c>
      <c r="Q165" s="4" t="s">
        <v>486</v>
      </c>
      <c r="R165" s="4" t="s">
        <v>462</v>
      </c>
      <c r="S165" s="11">
        <v>8</v>
      </c>
      <c r="T165" s="11">
        <v>4</v>
      </c>
    </row>
    <row r="166" spans="1:20" ht="12.75" customHeight="1">
      <c r="A166" s="4" t="s">
        <v>184</v>
      </c>
      <c r="B166" s="14" t="s">
        <v>491</v>
      </c>
      <c r="C166" s="6" t="s">
        <v>482</v>
      </c>
      <c r="D166" s="4">
        <v>22.1</v>
      </c>
      <c r="E166" s="4">
        <v>26.3</v>
      </c>
      <c r="F166" s="4">
        <v>7.4</v>
      </c>
      <c r="G166" s="4">
        <v>242</v>
      </c>
      <c r="H166" s="4">
        <f t="shared" si="2"/>
        <v>0.24199999999999999</v>
      </c>
      <c r="I166" s="8">
        <v>45245</v>
      </c>
      <c r="K166" s="4" t="s">
        <v>474</v>
      </c>
      <c r="L166" s="4" t="s">
        <v>475</v>
      </c>
      <c r="M166" s="4" t="s">
        <v>492</v>
      </c>
      <c r="N166" s="4" t="s">
        <v>477</v>
      </c>
      <c r="O166" s="11">
        <v>1</v>
      </c>
      <c r="P166" s="4" t="s">
        <v>474</v>
      </c>
      <c r="Q166" s="4" t="s">
        <v>486</v>
      </c>
      <c r="R166" s="4" t="s">
        <v>462</v>
      </c>
      <c r="S166" s="11">
        <v>8</v>
      </c>
      <c r="T166" s="11">
        <v>4</v>
      </c>
    </row>
    <row r="167" spans="1:20" ht="12.75" customHeight="1">
      <c r="A167" s="4" t="s">
        <v>185</v>
      </c>
      <c r="B167" s="14" t="s">
        <v>491</v>
      </c>
      <c r="C167" s="6" t="s">
        <v>473</v>
      </c>
      <c r="D167" s="4">
        <v>21</v>
      </c>
      <c r="E167" s="4">
        <v>25.6</v>
      </c>
      <c r="F167" s="4">
        <v>5.2</v>
      </c>
      <c r="G167" s="4">
        <v>153</v>
      </c>
      <c r="H167" s="4">
        <f t="shared" si="2"/>
        <v>0.153</v>
      </c>
      <c r="I167" s="8">
        <v>45245</v>
      </c>
      <c r="K167" s="4" t="s">
        <v>474</v>
      </c>
      <c r="L167" s="4" t="s">
        <v>475</v>
      </c>
      <c r="M167" s="4" t="s">
        <v>492</v>
      </c>
      <c r="N167" s="4" t="s">
        <v>477</v>
      </c>
      <c r="O167" s="11">
        <v>1</v>
      </c>
      <c r="P167" s="4" t="s">
        <v>474</v>
      </c>
      <c r="Q167" s="4" t="s">
        <v>486</v>
      </c>
      <c r="R167" s="4" t="s">
        <v>462</v>
      </c>
      <c r="S167" s="11">
        <v>8</v>
      </c>
      <c r="T167" s="11">
        <v>4</v>
      </c>
    </row>
    <row r="168" spans="1:20" ht="12.75" customHeight="1">
      <c r="A168" s="4" t="s">
        <v>186</v>
      </c>
      <c r="B168" s="14" t="s">
        <v>491</v>
      </c>
      <c r="C168" s="6" t="s">
        <v>473</v>
      </c>
      <c r="D168" s="4">
        <v>25.7</v>
      </c>
      <c r="E168" s="4">
        <v>31.5</v>
      </c>
      <c r="F168" s="4">
        <v>7.5</v>
      </c>
      <c r="G168" s="4">
        <v>315</v>
      </c>
      <c r="H168" s="4">
        <f t="shared" si="2"/>
        <v>0.315</v>
      </c>
      <c r="I168" s="8">
        <v>45245</v>
      </c>
      <c r="K168" s="4" t="s">
        <v>474</v>
      </c>
      <c r="L168" s="4" t="s">
        <v>475</v>
      </c>
      <c r="M168" s="4" t="s">
        <v>492</v>
      </c>
      <c r="N168" s="4" t="s">
        <v>477</v>
      </c>
      <c r="O168" s="11">
        <v>1</v>
      </c>
      <c r="P168" s="4" t="s">
        <v>474</v>
      </c>
      <c r="Q168" s="4" t="s">
        <v>486</v>
      </c>
      <c r="R168" s="4" t="s">
        <v>462</v>
      </c>
      <c r="S168" s="11">
        <v>8</v>
      </c>
      <c r="T168" s="11">
        <v>4</v>
      </c>
    </row>
    <row r="169" spans="1:20" ht="12.75" customHeight="1">
      <c r="A169" s="4" t="s">
        <v>187</v>
      </c>
      <c r="B169" s="14" t="s">
        <v>491</v>
      </c>
      <c r="C169" s="6" t="s">
        <v>473</v>
      </c>
      <c r="D169" s="4">
        <v>16.5</v>
      </c>
      <c r="E169" s="4">
        <v>19.5</v>
      </c>
      <c r="F169" s="4">
        <v>4.2</v>
      </c>
      <c r="G169" s="4">
        <v>84</v>
      </c>
      <c r="H169" s="4">
        <f t="shared" si="2"/>
        <v>8.4000000000000005E-2</v>
      </c>
      <c r="I169" s="8">
        <v>45245</v>
      </c>
      <c r="K169" s="4" t="s">
        <v>474</v>
      </c>
      <c r="L169" s="4" t="s">
        <v>475</v>
      </c>
      <c r="M169" s="4" t="s">
        <v>492</v>
      </c>
      <c r="N169" s="4" t="s">
        <v>477</v>
      </c>
      <c r="O169" s="11">
        <v>1</v>
      </c>
      <c r="P169" s="4" t="s">
        <v>474</v>
      </c>
      <c r="Q169" s="4" t="s">
        <v>486</v>
      </c>
      <c r="R169" s="4" t="s">
        <v>462</v>
      </c>
      <c r="S169" s="11">
        <v>8</v>
      </c>
      <c r="T169" s="11">
        <v>4</v>
      </c>
    </row>
    <row r="170" spans="1:20" ht="12.75" customHeight="1">
      <c r="A170" s="4" t="s">
        <v>188</v>
      </c>
      <c r="B170" s="14" t="s">
        <v>491</v>
      </c>
      <c r="C170" s="6" t="s">
        <v>473</v>
      </c>
      <c r="D170" s="4">
        <v>24.4</v>
      </c>
      <c r="E170" s="4">
        <v>30.6</v>
      </c>
      <c r="F170" s="4">
        <v>6.9</v>
      </c>
      <c r="G170" s="4">
        <v>287</v>
      </c>
      <c r="H170" s="4">
        <f t="shared" si="2"/>
        <v>0.28699999999999998</v>
      </c>
      <c r="I170" s="8">
        <v>45245</v>
      </c>
      <c r="K170" s="4" t="s">
        <v>474</v>
      </c>
      <c r="L170" s="4" t="s">
        <v>475</v>
      </c>
      <c r="M170" s="4" t="s">
        <v>492</v>
      </c>
      <c r="N170" s="4" t="s">
        <v>477</v>
      </c>
      <c r="O170" s="11">
        <v>1</v>
      </c>
      <c r="P170" s="4" t="s">
        <v>474</v>
      </c>
      <c r="Q170" s="4" t="s">
        <v>486</v>
      </c>
      <c r="R170" s="4" t="s">
        <v>462</v>
      </c>
      <c r="S170" s="11">
        <v>8</v>
      </c>
      <c r="T170" s="11">
        <v>4</v>
      </c>
    </row>
    <row r="171" spans="1:20" ht="12.75" customHeight="1">
      <c r="A171" s="4" t="s">
        <v>189</v>
      </c>
      <c r="B171" s="14" t="s">
        <v>491</v>
      </c>
      <c r="C171" s="6" t="s">
        <v>473</v>
      </c>
      <c r="D171" s="4">
        <v>19.3</v>
      </c>
      <c r="E171" s="4">
        <v>23.8</v>
      </c>
      <c r="F171" s="4">
        <v>5.2</v>
      </c>
      <c r="G171" s="4">
        <v>98</v>
      </c>
      <c r="H171" s="4">
        <f t="shared" si="2"/>
        <v>9.8000000000000004E-2</v>
      </c>
      <c r="I171" s="8">
        <v>45245</v>
      </c>
      <c r="K171" s="4" t="s">
        <v>474</v>
      </c>
      <c r="L171" s="4" t="s">
        <v>475</v>
      </c>
      <c r="M171" s="4" t="s">
        <v>492</v>
      </c>
      <c r="N171" s="4" t="s">
        <v>477</v>
      </c>
      <c r="O171" s="11">
        <v>1</v>
      </c>
      <c r="P171" s="4" t="s">
        <v>474</v>
      </c>
      <c r="Q171" s="4" t="s">
        <v>486</v>
      </c>
      <c r="R171" s="4" t="s">
        <v>462</v>
      </c>
      <c r="S171" s="11">
        <v>8</v>
      </c>
      <c r="T171" s="11">
        <v>4</v>
      </c>
    </row>
    <row r="172" spans="1:20" ht="12.75" customHeight="1">
      <c r="A172" s="4" t="s">
        <v>190</v>
      </c>
      <c r="B172" s="14" t="s">
        <v>491</v>
      </c>
      <c r="C172" s="6" t="s">
        <v>493</v>
      </c>
      <c r="D172" s="4">
        <v>15.2</v>
      </c>
      <c r="E172" s="4">
        <v>17.3</v>
      </c>
      <c r="F172" s="4">
        <v>4.2</v>
      </c>
      <c r="G172" s="4">
        <v>54</v>
      </c>
      <c r="H172" s="4">
        <f t="shared" si="2"/>
        <v>5.3999999999999999E-2</v>
      </c>
      <c r="I172" s="8">
        <v>45245</v>
      </c>
      <c r="K172" s="4" t="s">
        <v>474</v>
      </c>
      <c r="L172" s="4" t="s">
        <v>475</v>
      </c>
      <c r="M172" s="4" t="s">
        <v>492</v>
      </c>
      <c r="N172" s="4" t="s">
        <v>477</v>
      </c>
      <c r="O172" s="11">
        <v>1</v>
      </c>
      <c r="P172" s="4" t="s">
        <v>474</v>
      </c>
      <c r="Q172" s="4" t="s">
        <v>486</v>
      </c>
      <c r="R172" s="4" t="s">
        <v>462</v>
      </c>
      <c r="S172" s="11">
        <v>8</v>
      </c>
      <c r="T172" s="11">
        <v>4</v>
      </c>
    </row>
    <row r="173" spans="1:20" ht="12.75" customHeight="1">
      <c r="A173" s="4" t="s">
        <v>191</v>
      </c>
      <c r="B173" s="14" t="s">
        <v>491</v>
      </c>
      <c r="C173" s="6" t="s">
        <v>473</v>
      </c>
      <c r="D173" s="4">
        <v>19.5</v>
      </c>
      <c r="E173" s="4">
        <v>25.6</v>
      </c>
      <c r="F173" s="4">
        <v>4.9000000000000004</v>
      </c>
      <c r="G173" s="4">
        <v>118</v>
      </c>
      <c r="H173" s="4">
        <f t="shared" si="2"/>
        <v>0.11799999999999999</v>
      </c>
      <c r="I173" s="8">
        <v>45245</v>
      </c>
      <c r="K173" s="4" t="s">
        <v>474</v>
      </c>
      <c r="L173" s="4" t="s">
        <v>475</v>
      </c>
      <c r="M173" s="4" t="s">
        <v>492</v>
      </c>
      <c r="N173" s="4" t="s">
        <v>477</v>
      </c>
      <c r="O173" s="11">
        <v>1</v>
      </c>
      <c r="P173" s="4" t="s">
        <v>474</v>
      </c>
      <c r="Q173" s="4" t="s">
        <v>486</v>
      </c>
      <c r="R173" s="4" t="s">
        <v>462</v>
      </c>
      <c r="S173" s="11">
        <v>8</v>
      </c>
      <c r="T173" s="11">
        <v>4</v>
      </c>
    </row>
    <row r="174" spans="1:20" ht="12.75" customHeight="1">
      <c r="A174" s="4" t="s">
        <v>192</v>
      </c>
      <c r="B174" s="14" t="s">
        <v>491</v>
      </c>
      <c r="C174" s="6" t="s">
        <v>473</v>
      </c>
      <c r="D174" s="4">
        <v>20.8</v>
      </c>
      <c r="E174" s="4">
        <v>25.4</v>
      </c>
      <c r="F174" s="4">
        <v>5.6</v>
      </c>
      <c r="G174" s="4">
        <v>166</v>
      </c>
      <c r="H174" s="4">
        <f t="shared" si="2"/>
        <v>0.16600000000000001</v>
      </c>
      <c r="I174" s="8">
        <v>45245</v>
      </c>
      <c r="K174" s="4" t="s">
        <v>474</v>
      </c>
      <c r="L174" s="4" t="s">
        <v>475</v>
      </c>
      <c r="M174" s="4" t="s">
        <v>492</v>
      </c>
      <c r="N174" s="4" t="s">
        <v>477</v>
      </c>
      <c r="O174" s="11">
        <v>1</v>
      </c>
      <c r="P174" s="4" t="s">
        <v>474</v>
      </c>
      <c r="Q174" s="4" t="s">
        <v>486</v>
      </c>
      <c r="R174" s="4" t="s">
        <v>462</v>
      </c>
      <c r="S174" s="11">
        <v>8</v>
      </c>
      <c r="T174" s="11">
        <v>4</v>
      </c>
    </row>
    <row r="175" spans="1:20" ht="12.75" customHeight="1">
      <c r="A175" s="4" t="s">
        <v>193</v>
      </c>
      <c r="B175" s="14" t="s">
        <v>491</v>
      </c>
      <c r="C175" s="6" t="s">
        <v>473</v>
      </c>
      <c r="D175" s="4">
        <v>16.600000000000001</v>
      </c>
      <c r="E175" s="4">
        <v>19.5</v>
      </c>
      <c r="F175" s="4">
        <v>3.7</v>
      </c>
      <c r="G175" s="4">
        <v>73</v>
      </c>
      <c r="H175" s="4">
        <f t="shared" si="2"/>
        <v>7.2999999999999995E-2</v>
      </c>
      <c r="I175" s="8">
        <v>45245</v>
      </c>
      <c r="K175" s="4" t="s">
        <v>474</v>
      </c>
      <c r="L175" s="4" t="s">
        <v>475</v>
      </c>
      <c r="M175" s="4" t="s">
        <v>492</v>
      </c>
      <c r="N175" s="4" t="s">
        <v>477</v>
      </c>
      <c r="O175" s="11">
        <v>1</v>
      </c>
      <c r="P175" s="4" t="s">
        <v>474</v>
      </c>
      <c r="Q175" s="4" t="s">
        <v>486</v>
      </c>
      <c r="R175" s="4" t="s">
        <v>462</v>
      </c>
      <c r="S175" s="11">
        <v>8</v>
      </c>
      <c r="T175" s="11">
        <v>4</v>
      </c>
    </row>
    <row r="176" spans="1:20" ht="12.75" customHeight="1">
      <c r="A176" s="4" t="s">
        <v>194</v>
      </c>
      <c r="B176" s="14" t="s">
        <v>491</v>
      </c>
      <c r="C176" s="6" t="s">
        <v>473</v>
      </c>
      <c r="D176" s="4">
        <v>18.3</v>
      </c>
      <c r="E176" s="4">
        <v>26.9</v>
      </c>
      <c r="F176" s="4">
        <v>4.4000000000000004</v>
      </c>
      <c r="G176" s="4">
        <v>98</v>
      </c>
      <c r="H176" s="4">
        <f t="shared" si="2"/>
        <v>9.8000000000000004E-2</v>
      </c>
      <c r="I176" s="8">
        <v>45245</v>
      </c>
      <c r="K176" s="4" t="s">
        <v>474</v>
      </c>
      <c r="L176" s="4" t="s">
        <v>475</v>
      </c>
      <c r="M176" s="4" t="s">
        <v>492</v>
      </c>
      <c r="N176" s="4" t="s">
        <v>477</v>
      </c>
      <c r="O176" s="11">
        <v>1</v>
      </c>
      <c r="P176" s="4" t="s">
        <v>474</v>
      </c>
      <c r="Q176" s="4" t="s">
        <v>486</v>
      </c>
      <c r="R176" s="4" t="s">
        <v>462</v>
      </c>
      <c r="S176" s="11">
        <v>8</v>
      </c>
      <c r="T176" s="11">
        <v>4</v>
      </c>
    </row>
    <row r="177" spans="1:20" ht="12.75" customHeight="1">
      <c r="A177" s="4" t="s">
        <v>195</v>
      </c>
      <c r="B177" s="14" t="s">
        <v>491</v>
      </c>
      <c r="C177" s="6" t="s">
        <v>482</v>
      </c>
      <c r="D177" s="4">
        <v>18.8</v>
      </c>
      <c r="E177" s="4">
        <v>23.4</v>
      </c>
      <c r="F177" s="4">
        <v>6.5</v>
      </c>
      <c r="G177" s="4">
        <v>179</v>
      </c>
      <c r="H177" s="4">
        <f t="shared" si="2"/>
        <v>0.17899999999999999</v>
      </c>
      <c r="I177" s="8">
        <v>45245</v>
      </c>
      <c r="K177" s="4" t="s">
        <v>474</v>
      </c>
      <c r="L177" s="4" t="s">
        <v>475</v>
      </c>
      <c r="M177" s="4" t="s">
        <v>492</v>
      </c>
      <c r="N177" s="4" t="s">
        <v>477</v>
      </c>
      <c r="O177" s="11">
        <v>1</v>
      </c>
      <c r="P177" s="4" t="s">
        <v>474</v>
      </c>
      <c r="Q177" s="4" t="s">
        <v>486</v>
      </c>
      <c r="R177" s="4" t="s">
        <v>462</v>
      </c>
      <c r="S177" s="11">
        <v>8</v>
      </c>
      <c r="T177" s="11">
        <v>4</v>
      </c>
    </row>
    <row r="178" spans="1:20" ht="12.75" customHeight="1">
      <c r="A178" s="4" t="s">
        <v>196</v>
      </c>
      <c r="B178" s="14" t="s">
        <v>491</v>
      </c>
      <c r="C178" s="6" t="s">
        <v>482</v>
      </c>
      <c r="D178" s="4">
        <v>17.899999999999999</v>
      </c>
      <c r="E178" s="4">
        <v>22.6</v>
      </c>
      <c r="F178" s="4">
        <v>5.9</v>
      </c>
      <c r="G178" s="4">
        <v>127</v>
      </c>
      <c r="H178" s="4">
        <f t="shared" si="2"/>
        <v>0.127</v>
      </c>
      <c r="I178" s="8">
        <v>45245</v>
      </c>
      <c r="K178" s="4" t="s">
        <v>474</v>
      </c>
      <c r="L178" s="4" t="s">
        <v>475</v>
      </c>
      <c r="M178" s="4" t="s">
        <v>492</v>
      </c>
      <c r="N178" s="4" t="s">
        <v>477</v>
      </c>
      <c r="O178" s="11">
        <v>1</v>
      </c>
      <c r="P178" s="4" t="s">
        <v>474</v>
      </c>
      <c r="Q178" s="4" t="s">
        <v>486</v>
      </c>
      <c r="R178" s="4" t="s">
        <v>462</v>
      </c>
      <c r="S178" s="11">
        <v>8</v>
      </c>
      <c r="T178" s="11">
        <v>4</v>
      </c>
    </row>
    <row r="179" spans="1:20" ht="12.75" customHeight="1">
      <c r="A179" s="4" t="s">
        <v>197</v>
      </c>
      <c r="B179" s="9" t="s">
        <v>491</v>
      </c>
      <c r="C179" s="6" t="s">
        <v>482</v>
      </c>
      <c r="D179" s="7">
        <v>21.2</v>
      </c>
      <c r="E179" s="7">
        <v>35.1</v>
      </c>
      <c r="F179" s="7">
        <v>9.4</v>
      </c>
      <c r="G179" s="4">
        <v>343</v>
      </c>
      <c r="H179" s="4">
        <f t="shared" si="2"/>
        <v>0.34300000000000003</v>
      </c>
      <c r="I179" s="8">
        <v>45245</v>
      </c>
      <c r="K179" s="5" t="s">
        <v>474</v>
      </c>
      <c r="L179" s="5" t="s">
        <v>475</v>
      </c>
      <c r="M179" s="5" t="s">
        <v>492</v>
      </c>
      <c r="N179" s="10" t="s">
        <v>477</v>
      </c>
      <c r="O179" s="11">
        <v>1</v>
      </c>
      <c r="P179" s="10" t="s">
        <v>474</v>
      </c>
      <c r="Q179" s="12" t="s">
        <v>486</v>
      </c>
      <c r="R179" s="12" t="s">
        <v>462</v>
      </c>
      <c r="S179" s="11">
        <v>8</v>
      </c>
      <c r="T179" s="11">
        <v>4</v>
      </c>
    </row>
    <row r="180" spans="1:20" ht="12.75" customHeight="1">
      <c r="A180" s="4" t="s">
        <v>198</v>
      </c>
      <c r="B180" s="9" t="s">
        <v>491</v>
      </c>
      <c r="C180" s="6" t="s">
        <v>480</v>
      </c>
      <c r="D180" s="7">
        <v>38.6</v>
      </c>
      <c r="E180" s="7">
        <v>48.8</v>
      </c>
      <c r="F180" s="7">
        <v>13.5</v>
      </c>
      <c r="G180" s="4">
        <v>970</v>
      </c>
      <c r="H180" s="13">
        <f t="shared" si="2"/>
        <v>0.97</v>
      </c>
      <c r="I180" s="8">
        <v>45245</v>
      </c>
      <c r="K180" s="5" t="s">
        <v>474</v>
      </c>
      <c r="L180" s="5" t="s">
        <v>475</v>
      </c>
      <c r="M180" s="5" t="s">
        <v>492</v>
      </c>
      <c r="N180" s="10" t="s">
        <v>477</v>
      </c>
      <c r="O180" s="11">
        <v>1</v>
      </c>
      <c r="P180" s="10" t="s">
        <v>474</v>
      </c>
      <c r="Q180" s="12" t="s">
        <v>486</v>
      </c>
      <c r="R180" s="12" t="s">
        <v>462</v>
      </c>
      <c r="S180" s="11">
        <v>8</v>
      </c>
      <c r="T180" s="11">
        <v>4</v>
      </c>
    </row>
    <row r="181" spans="1:20" ht="12.75" customHeight="1">
      <c r="A181" s="4" t="s">
        <v>199</v>
      </c>
      <c r="B181" s="9" t="s">
        <v>491</v>
      </c>
      <c r="C181" s="6" t="s">
        <v>482</v>
      </c>
      <c r="D181" s="7">
        <v>27.5</v>
      </c>
      <c r="E181" s="7">
        <v>39.200000000000003</v>
      </c>
      <c r="F181" s="7">
        <v>9.4</v>
      </c>
      <c r="G181" s="4">
        <v>339</v>
      </c>
      <c r="H181" s="4">
        <f t="shared" si="2"/>
        <v>0.33900000000000002</v>
      </c>
      <c r="I181" s="8">
        <v>45245</v>
      </c>
      <c r="K181" s="5" t="s">
        <v>474</v>
      </c>
      <c r="L181" s="5" t="s">
        <v>475</v>
      </c>
      <c r="M181" s="5" t="s">
        <v>492</v>
      </c>
      <c r="N181" s="10" t="s">
        <v>477</v>
      </c>
      <c r="O181" s="11">
        <v>1</v>
      </c>
      <c r="P181" s="10" t="s">
        <v>474</v>
      </c>
      <c r="Q181" s="12" t="s">
        <v>486</v>
      </c>
      <c r="R181" s="12" t="s">
        <v>462</v>
      </c>
      <c r="S181" s="11">
        <v>8</v>
      </c>
      <c r="T181" s="11">
        <v>4</v>
      </c>
    </row>
    <row r="182" spans="1:20" ht="12.75" customHeight="1">
      <c r="A182" s="4" t="s">
        <v>200</v>
      </c>
      <c r="B182" s="9" t="s">
        <v>491</v>
      </c>
      <c r="C182" s="6" t="s">
        <v>482</v>
      </c>
      <c r="D182" s="7">
        <v>30.5</v>
      </c>
      <c r="E182" s="7">
        <v>38.299999999999997</v>
      </c>
      <c r="F182" s="7">
        <v>11.6</v>
      </c>
      <c r="G182" s="4">
        <v>462</v>
      </c>
      <c r="H182" s="4">
        <f t="shared" si="2"/>
        <v>0.46200000000000002</v>
      </c>
      <c r="I182" s="8">
        <v>45245</v>
      </c>
      <c r="K182" s="5" t="s">
        <v>474</v>
      </c>
      <c r="L182" s="5" t="s">
        <v>475</v>
      </c>
      <c r="M182" s="5" t="s">
        <v>492</v>
      </c>
      <c r="N182" s="10" t="s">
        <v>477</v>
      </c>
      <c r="O182" s="11">
        <v>1</v>
      </c>
      <c r="P182" s="10" t="s">
        <v>474</v>
      </c>
      <c r="Q182" s="12" t="s">
        <v>486</v>
      </c>
      <c r="R182" s="12" t="s">
        <v>462</v>
      </c>
      <c r="S182" s="11">
        <v>8</v>
      </c>
      <c r="T182" s="11">
        <v>4</v>
      </c>
    </row>
    <row r="183" spans="1:20" ht="12.75" customHeight="1">
      <c r="A183" s="4" t="s">
        <v>201</v>
      </c>
      <c r="B183" s="9" t="s">
        <v>491</v>
      </c>
      <c r="C183" s="6" t="s">
        <v>482</v>
      </c>
      <c r="D183" s="7">
        <v>27</v>
      </c>
      <c r="E183" s="7">
        <v>35.200000000000003</v>
      </c>
      <c r="F183" s="7">
        <v>9.6</v>
      </c>
      <c r="G183" s="4">
        <v>258</v>
      </c>
      <c r="H183" s="4">
        <f t="shared" si="2"/>
        <v>0.25800000000000001</v>
      </c>
      <c r="I183" s="8">
        <v>45245</v>
      </c>
      <c r="K183" s="5" t="s">
        <v>474</v>
      </c>
      <c r="L183" s="5" t="s">
        <v>475</v>
      </c>
      <c r="M183" s="5" t="s">
        <v>492</v>
      </c>
      <c r="N183" s="10" t="s">
        <v>477</v>
      </c>
      <c r="O183" s="11">
        <v>1</v>
      </c>
      <c r="P183" s="10" t="s">
        <v>474</v>
      </c>
      <c r="Q183" s="12" t="s">
        <v>486</v>
      </c>
      <c r="R183" s="12" t="s">
        <v>462</v>
      </c>
      <c r="S183" s="11">
        <v>8</v>
      </c>
      <c r="T183" s="11">
        <v>4</v>
      </c>
    </row>
    <row r="184" spans="1:20" ht="12.75" customHeight="1">
      <c r="A184" s="4" t="s">
        <v>202</v>
      </c>
      <c r="B184" s="9" t="s">
        <v>491</v>
      </c>
      <c r="C184" s="6" t="s">
        <v>480</v>
      </c>
      <c r="D184" s="7">
        <v>26.1</v>
      </c>
      <c r="E184" s="7">
        <v>30.5</v>
      </c>
      <c r="F184" s="7">
        <v>7.7</v>
      </c>
      <c r="G184" s="4">
        <v>242</v>
      </c>
      <c r="H184" s="4">
        <f t="shared" si="2"/>
        <v>0.24199999999999999</v>
      </c>
      <c r="I184" s="8">
        <v>45245</v>
      </c>
      <c r="K184" s="5" t="s">
        <v>474</v>
      </c>
      <c r="L184" s="5" t="s">
        <v>475</v>
      </c>
      <c r="M184" s="5" t="s">
        <v>492</v>
      </c>
      <c r="N184" s="10" t="s">
        <v>477</v>
      </c>
      <c r="O184" s="11">
        <v>1</v>
      </c>
      <c r="P184" s="10" t="s">
        <v>474</v>
      </c>
      <c r="Q184" s="12" t="s">
        <v>486</v>
      </c>
      <c r="R184" s="12" t="s">
        <v>462</v>
      </c>
      <c r="S184" s="11">
        <v>8</v>
      </c>
      <c r="T184" s="11">
        <v>4</v>
      </c>
    </row>
    <row r="185" spans="1:20" ht="12.75" customHeight="1">
      <c r="A185" s="4" t="s">
        <v>203</v>
      </c>
      <c r="B185" s="9" t="s">
        <v>491</v>
      </c>
      <c r="C185" s="6" t="s">
        <v>482</v>
      </c>
      <c r="D185" s="7">
        <v>21.6</v>
      </c>
      <c r="E185" s="7">
        <v>32.6</v>
      </c>
      <c r="F185" s="7">
        <v>9.3000000000000007</v>
      </c>
      <c r="G185" s="4">
        <v>260</v>
      </c>
      <c r="H185" s="13">
        <f t="shared" si="2"/>
        <v>0.26</v>
      </c>
      <c r="I185" s="8">
        <v>45245</v>
      </c>
      <c r="K185" s="5" t="s">
        <v>474</v>
      </c>
      <c r="L185" s="5" t="s">
        <v>475</v>
      </c>
      <c r="M185" s="5" t="s">
        <v>492</v>
      </c>
      <c r="N185" s="10" t="s">
        <v>477</v>
      </c>
      <c r="O185" s="11">
        <v>1</v>
      </c>
      <c r="P185" s="10" t="s">
        <v>474</v>
      </c>
      <c r="Q185" s="12" t="s">
        <v>486</v>
      </c>
      <c r="R185" s="12" t="s">
        <v>462</v>
      </c>
      <c r="S185" s="11">
        <v>8</v>
      </c>
      <c r="T185" s="11">
        <v>4</v>
      </c>
    </row>
    <row r="186" spans="1:20" ht="12.75" customHeight="1">
      <c r="A186" s="4" t="s">
        <v>204</v>
      </c>
      <c r="B186" s="9" t="s">
        <v>491</v>
      </c>
      <c r="C186" s="6" t="s">
        <v>482</v>
      </c>
      <c r="D186" s="7">
        <v>23.1</v>
      </c>
      <c r="E186" s="7">
        <v>31.5</v>
      </c>
      <c r="F186" s="7">
        <v>8.5</v>
      </c>
      <c r="G186" s="4">
        <v>197</v>
      </c>
      <c r="H186" s="4">
        <f t="shared" si="2"/>
        <v>0.19700000000000001</v>
      </c>
      <c r="I186" s="8">
        <v>45245</v>
      </c>
      <c r="K186" s="5" t="s">
        <v>474</v>
      </c>
      <c r="L186" s="5" t="s">
        <v>475</v>
      </c>
      <c r="M186" s="5" t="s">
        <v>492</v>
      </c>
      <c r="N186" s="10" t="s">
        <v>477</v>
      </c>
      <c r="O186" s="11">
        <v>1</v>
      </c>
      <c r="P186" s="10" t="s">
        <v>474</v>
      </c>
      <c r="Q186" s="12" t="s">
        <v>486</v>
      </c>
      <c r="R186" s="12" t="s">
        <v>462</v>
      </c>
      <c r="S186" s="11">
        <v>8</v>
      </c>
      <c r="T186" s="11">
        <v>4</v>
      </c>
    </row>
    <row r="187" spans="1:20" ht="12.75" customHeight="1">
      <c r="A187" s="4" t="s">
        <v>205</v>
      </c>
      <c r="B187" s="9" t="s">
        <v>491</v>
      </c>
      <c r="C187" s="6" t="s">
        <v>482</v>
      </c>
      <c r="D187" s="7">
        <v>16</v>
      </c>
      <c r="E187" s="7">
        <v>23.1</v>
      </c>
      <c r="F187" s="7">
        <v>7.2</v>
      </c>
      <c r="G187" s="4">
        <v>115</v>
      </c>
      <c r="H187" s="4">
        <f t="shared" si="2"/>
        <v>0.115</v>
      </c>
      <c r="I187" s="8">
        <v>45245</v>
      </c>
      <c r="K187" s="5" t="s">
        <v>474</v>
      </c>
      <c r="L187" s="5" t="s">
        <v>475</v>
      </c>
      <c r="M187" s="5" t="s">
        <v>492</v>
      </c>
      <c r="N187" s="10" t="s">
        <v>477</v>
      </c>
      <c r="O187" s="11">
        <v>1</v>
      </c>
      <c r="P187" s="10" t="s">
        <v>474</v>
      </c>
      <c r="Q187" s="12" t="s">
        <v>486</v>
      </c>
      <c r="R187" s="12" t="s">
        <v>462</v>
      </c>
      <c r="S187" s="11">
        <v>8</v>
      </c>
      <c r="T187" s="11">
        <v>4</v>
      </c>
    </row>
    <row r="188" spans="1:20" ht="12.75" customHeight="1">
      <c r="A188" s="4" t="s">
        <v>207</v>
      </c>
      <c r="B188" s="9" t="s">
        <v>491</v>
      </c>
      <c r="C188" s="6" t="s">
        <v>493</v>
      </c>
      <c r="D188" s="7">
        <v>22.1</v>
      </c>
      <c r="E188" s="7">
        <v>34.299999999999997</v>
      </c>
      <c r="F188" s="7">
        <v>7.9</v>
      </c>
      <c r="G188" s="4">
        <v>251</v>
      </c>
      <c r="H188" s="4">
        <f t="shared" si="2"/>
        <v>0.251</v>
      </c>
      <c r="I188" s="8">
        <v>45245</v>
      </c>
      <c r="K188" s="5" t="s">
        <v>474</v>
      </c>
      <c r="L188" s="5" t="s">
        <v>475</v>
      </c>
      <c r="M188" s="5" t="s">
        <v>492</v>
      </c>
      <c r="N188" s="10" t="s">
        <v>477</v>
      </c>
      <c r="O188" s="11">
        <v>1</v>
      </c>
      <c r="P188" s="10" t="s">
        <v>474</v>
      </c>
      <c r="Q188" s="12" t="s">
        <v>486</v>
      </c>
      <c r="R188" s="12" t="s">
        <v>462</v>
      </c>
      <c r="S188" s="11">
        <v>8</v>
      </c>
      <c r="T188" s="11">
        <v>4</v>
      </c>
    </row>
    <row r="189" spans="1:20" ht="12.75" customHeight="1">
      <c r="A189" s="4" t="s">
        <v>208</v>
      </c>
      <c r="B189" s="9" t="s">
        <v>491</v>
      </c>
      <c r="C189" s="6" t="s">
        <v>482</v>
      </c>
      <c r="D189" s="7">
        <v>23</v>
      </c>
      <c r="E189" s="7">
        <v>27.1</v>
      </c>
      <c r="F189" s="7">
        <v>8.8000000000000007</v>
      </c>
      <c r="G189" s="4">
        <v>258</v>
      </c>
      <c r="H189" s="4">
        <f t="shared" si="2"/>
        <v>0.25800000000000001</v>
      </c>
      <c r="I189" s="8">
        <v>45245</v>
      </c>
      <c r="K189" s="5" t="s">
        <v>474</v>
      </c>
      <c r="L189" s="5" t="s">
        <v>475</v>
      </c>
      <c r="M189" s="5" t="s">
        <v>492</v>
      </c>
      <c r="N189" s="10" t="s">
        <v>477</v>
      </c>
      <c r="O189" s="11">
        <v>1</v>
      </c>
      <c r="P189" s="10" t="s">
        <v>474</v>
      </c>
      <c r="Q189" s="12" t="s">
        <v>486</v>
      </c>
      <c r="R189" s="12" t="s">
        <v>462</v>
      </c>
      <c r="S189" s="11">
        <v>8</v>
      </c>
      <c r="T189" s="11">
        <v>4</v>
      </c>
    </row>
    <row r="190" spans="1:20" ht="12.75" customHeight="1">
      <c r="A190" s="4" t="s">
        <v>209</v>
      </c>
      <c r="B190" s="9" t="s">
        <v>491</v>
      </c>
      <c r="C190" s="6" t="s">
        <v>482</v>
      </c>
      <c r="D190" s="7">
        <v>27</v>
      </c>
      <c r="E190" s="7">
        <v>34</v>
      </c>
      <c r="F190" s="7">
        <v>9</v>
      </c>
      <c r="G190" s="4">
        <v>294</v>
      </c>
      <c r="H190" s="4">
        <f t="shared" si="2"/>
        <v>0.29399999999999998</v>
      </c>
      <c r="I190" s="8">
        <v>45245</v>
      </c>
      <c r="K190" s="5" t="s">
        <v>474</v>
      </c>
      <c r="L190" s="5" t="s">
        <v>475</v>
      </c>
      <c r="M190" s="5" t="s">
        <v>492</v>
      </c>
      <c r="N190" s="10" t="s">
        <v>477</v>
      </c>
      <c r="O190" s="11">
        <v>1</v>
      </c>
      <c r="P190" s="10" t="s">
        <v>474</v>
      </c>
      <c r="Q190" s="12" t="s">
        <v>486</v>
      </c>
      <c r="R190" s="12" t="s">
        <v>462</v>
      </c>
      <c r="S190" s="11">
        <v>8</v>
      </c>
      <c r="T190" s="11">
        <v>4</v>
      </c>
    </row>
    <row r="191" spans="1:20" ht="12.75" customHeight="1">
      <c r="A191" s="4" t="s">
        <v>210</v>
      </c>
      <c r="B191" s="9" t="s">
        <v>491</v>
      </c>
      <c r="C191" s="6" t="s">
        <v>482</v>
      </c>
      <c r="D191" s="7">
        <v>24.2</v>
      </c>
      <c r="E191" s="7">
        <v>33.299999999999997</v>
      </c>
      <c r="F191" s="7">
        <v>7.4</v>
      </c>
      <c r="G191" s="4">
        <v>120</v>
      </c>
      <c r="H191" s="13">
        <f t="shared" si="2"/>
        <v>0.12</v>
      </c>
      <c r="I191" s="8">
        <v>45245</v>
      </c>
      <c r="K191" s="5" t="s">
        <v>474</v>
      </c>
      <c r="L191" s="5" t="s">
        <v>475</v>
      </c>
      <c r="M191" s="5" t="s">
        <v>492</v>
      </c>
      <c r="N191" s="10" t="s">
        <v>477</v>
      </c>
      <c r="O191" s="11">
        <v>1</v>
      </c>
      <c r="P191" s="10" t="s">
        <v>474</v>
      </c>
      <c r="Q191" s="12" t="s">
        <v>486</v>
      </c>
      <c r="R191" s="12" t="s">
        <v>462</v>
      </c>
      <c r="S191" s="11">
        <v>8</v>
      </c>
      <c r="T191" s="11">
        <v>4</v>
      </c>
    </row>
    <row r="192" spans="1:20" ht="12.75" customHeight="1">
      <c r="A192" s="4" t="s">
        <v>211</v>
      </c>
      <c r="B192" s="14" t="s">
        <v>491</v>
      </c>
      <c r="C192" s="6" t="s">
        <v>493</v>
      </c>
      <c r="D192" s="4">
        <v>24.5</v>
      </c>
      <c r="E192" s="4">
        <v>28.6</v>
      </c>
      <c r="F192" s="4">
        <v>6.8</v>
      </c>
      <c r="G192" s="4">
        <v>277</v>
      </c>
      <c r="H192" s="4">
        <f t="shared" si="2"/>
        <v>0.27700000000000002</v>
      </c>
      <c r="I192" s="8">
        <v>45245</v>
      </c>
      <c r="K192" s="4" t="s">
        <v>474</v>
      </c>
      <c r="L192" s="4" t="s">
        <v>475</v>
      </c>
      <c r="M192" s="4" t="s">
        <v>492</v>
      </c>
      <c r="N192" s="4" t="s">
        <v>477</v>
      </c>
      <c r="O192" s="11">
        <v>1</v>
      </c>
      <c r="P192" s="4" t="s">
        <v>474</v>
      </c>
      <c r="Q192" s="4" t="s">
        <v>486</v>
      </c>
      <c r="R192" s="4" t="s">
        <v>462</v>
      </c>
      <c r="S192" s="11">
        <v>8</v>
      </c>
      <c r="T192" s="11">
        <v>4</v>
      </c>
    </row>
    <row r="193" spans="1:20">
      <c r="A193" s="4" t="s">
        <v>212</v>
      </c>
      <c r="B193" s="9" t="s">
        <v>494</v>
      </c>
      <c r="C193" s="6" t="s">
        <v>493</v>
      </c>
      <c r="D193" s="7">
        <v>19.899999999999999</v>
      </c>
      <c r="E193" s="7">
        <v>24.8</v>
      </c>
      <c r="F193" s="7">
        <v>5.6</v>
      </c>
      <c r="G193" s="4">
        <v>122</v>
      </c>
      <c r="H193" s="4">
        <f t="shared" si="2"/>
        <v>0.122</v>
      </c>
      <c r="I193" s="8">
        <v>45245</v>
      </c>
      <c r="K193" s="5" t="s">
        <v>474</v>
      </c>
      <c r="L193" s="5" t="s">
        <v>475</v>
      </c>
      <c r="M193" s="5" t="s">
        <v>495</v>
      </c>
      <c r="N193" s="10" t="s">
        <v>477</v>
      </c>
      <c r="O193" s="11">
        <v>1</v>
      </c>
      <c r="P193" s="12" t="s">
        <v>474</v>
      </c>
      <c r="Q193" s="12" t="s">
        <v>486</v>
      </c>
      <c r="R193" s="12" t="s">
        <v>462</v>
      </c>
      <c r="S193" s="11">
        <v>9</v>
      </c>
      <c r="T193" s="11">
        <v>3</v>
      </c>
    </row>
    <row r="194" spans="1:20">
      <c r="A194" s="4" t="s">
        <v>213</v>
      </c>
      <c r="B194" s="9" t="s">
        <v>494</v>
      </c>
      <c r="C194" s="6" t="s">
        <v>482</v>
      </c>
      <c r="D194" s="7">
        <v>27.9</v>
      </c>
      <c r="E194" s="7">
        <v>35.6</v>
      </c>
      <c r="F194" s="7">
        <v>8.9</v>
      </c>
      <c r="G194" s="4">
        <v>385</v>
      </c>
      <c r="H194" s="4">
        <f t="shared" ref="H194:H258" si="3">G194/1000</f>
        <v>0.38500000000000001</v>
      </c>
      <c r="I194" s="8">
        <v>45245</v>
      </c>
      <c r="K194" s="5" t="s">
        <v>474</v>
      </c>
      <c r="L194" s="5" t="s">
        <v>475</v>
      </c>
      <c r="M194" s="5" t="s">
        <v>495</v>
      </c>
      <c r="N194" s="10" t="s">
        <v>477</v>
      </c>
      <c r="O194" s="11">
        <v>1</v>
      </c>
      <c r="P194" s="12" t="s">
        <v>474</v>
      </c>
      <c r="Q194" s="12" t="s">
        <v>486</v>
      </c>
      <c r="R194" s="12" t="s">
        <v>462</v>
      </c>
      <c r="S194" s="11">
        <v>9</v>
      </c>
      <c r="T194" s="11">
        <v>3</v>
      </c>
    </row>
    <row r="195" spans="1:20">
      <c r="A195" s="4" t="s">
        <v>214</v>
      </c>
      <c r="B195" s="9" t="s">
        <v>494</v>
      </c>
      <c r="C195" s="6" t="s">
        <v>482</v>
      </c>
      <c r="D195" s="7">
        <v>22.7</v>
      </c>
      <c r="E195" s="7">
        <v>29.8</v>
      </c>
      <c r="F195" s="7">
        <v>7.4</v>
      </c>
      <c r="G195" s="4">
        <v>224</v>
      </c>
      <c r="H195" s="4">
        <f t="shared" si="3"/>
        <v>0.224</v>
      </c>
      <c r="I195" s="8">
        <v>45245</v>
      </c>
      <c r="K195" s="5" t="s">
        <v>474</v>
      </c>
      <c r="L195" s="5" t="s">
        <v>475</v>
      </c>
      <c r="M195" s="5" t="s">
        <v>495</v>
      </c>
      <c r="N195" s="10" t="s">
        <v>477</v>
      </c>
      <c r="O195" s="11">
        <v>1</v>
      </c>
      <c r="P195" s="12" t="s">
        <v>474</v>
      </c>
      <c r="Q195" s="12" t="s">
        <v>486</v>
      </c>
      <c r="R195" s="12" t="s">
        <v>462</v>
      </c>
      <c r="S195" s="11">
        <v>9</v>
      </c>
      <c r="T195" s="11">
        <v>3</v>
      </c>
    </row>
    <row r="196" spans="1:20">
      <c r="A196" s="4" t="s">
        <v>215</v>
      </c>
      <c r="B196" s="9" t="s">
        <v>494</v>
      </c>
      <c r="C196" s="6" t="s">
        <v>479</v>
      </c>
      <c r="D196" s="7">
        <v>42.1</v>
      </c>
      <c r="E196" s="7">
        <v>53</v>
      </c>
      <c r="F196" s="7">
        <v>12.2</v>
      </c>
      <c r="G196" s="4">
        <v>1124</v>
      </c>
      <c r="H196" s="4">
        <f t="shared" si="3"/>
        <v>1.1240000000000001</v>
      </c>
      <c r="I196" s="8">
        <v>45245</v>
      </c>
      <c r="K196" s="5" t="s">
        <v>474</v>
      </c>
      <c r="L196" s="5" t="s">
        <v>475</v>
      </c>
      <c r="M196" s="5" t="s">
        <v>495</v>
      </c>
      <c r="N196" s="10" t="s">
        <v>477</v>
      </c>
      <c r="O196" s="11">
        <v>1</v>
      </c>
      <c r="P196" s="12" t="s">
        <v>474</v>
      </c>
      <c r="Q196" s="12" t="s">
        <v>486</v>
      </c>
      <c r="R196" s="12" t="s">
        <v>462</v>
      </c>
      <c r="S196" s="11">
        <v>9</v>
      </c>
      <c r="T196" s="11">
        <v>3</v>
      </c>
    </row>
    <row r="197" spans="1:20">
      <c r="A197" s="4" t="s">
        <v>216</v>
      </c>
      <c r="B197" s="9" t="s">
        <v>494</v>
      </c>
      <c r="C197" s="6" t="s">
        <v>482</v>
      </c>
      <c r="D197" s="7">
        <v>28.5</v>
      </c>
      <c r="E197" s="7">
        <v>35.700000000000003</v>
      </c>
      <c r="F197" s="7">
        <v>9.6</v>
      </c>
      <c r="G197" s="4">
        <v>396</v>
      </c>
      <c r="H197" s="4">
        <f t="shared" si="3"/>
        <v>0.39600000000000002</v>
      </c>
      <c r="I197" s="8">
        <v>45245</v>
      </c>
      <c r="K197" s="5" t="s">
        <v>474</v>
      </c>
      <c r="L197" s="5" t="s">
        <v>475</v>
      </c>
      <c r="M197" s="5" t="s">
        <v>495</v>
      </c>
      <c r="N197" s="10" t="s">
        <v>477</v>
      </c>
      <c r="O197" s="11">
        <v>1</v>
      </c>
      <c r="P197" s="12" t="s">
        <v>474</v>
      </c>
      <c r="Q197" s="12" t="s">
        <v>486</v>
      </c>
      <c r="R197" s="12" t="s">
        <v>462</v>
      </c>
      <c r="S197" s="11">
        <v>9</v>
      </c>
      <c r="T197" s="11">
        <v>3</v>
      </c>
    </row>
    <row r="198" spans="1:20">
      <c r="A198" s="4" t="s">
        <v>217</v>
      </c>
      <c r="B198" s="9" t="s">
        <v>494</v>
      </c>
      <c r="C198" s="6" t="s">
        <v>482</v>
      </c>
      <c r="D198" s="7">
        <v>25.4</v>
      </c>
      <c r="E198" s="7">
        <v>32.1</v>
      </c>
      <c r="F198" s="7">
        <v>8.1999999999999993</v>
      </c>
      <c r="G198" s="4">
        <v>309</v>
      </c>
      <c r="H198" s="4">
        <f t="shared" si="3"/>
        <v>0.309</v>
      </c>
      <c r="I198" s="8">
        <v>45245</v>
      </c>
      <c r="K198" s="5" t="s">
        <v>474</v>
      </c>
      <c r="L198" s="5" t="s">
        <v>475</v>
      </c>
      <c r="M198" s="5" t="s">
        <v>495</v>
      </c>
      <c r="N198" s="10" t="s">
        <v>477</v>
      </c>
      <c r="O198" s="11">
        <v>1</v>
      </c>
      <c r="P198" s="12" t="s">
        <v>474</v>
      </c>
      <c r="Q198" s="12" t="s">
        <v>486</v>
      </c>
      <c r="R198" s="12" t="s">
        <v>462</v>
      </c>
      <c r="S198" s="11">
        <v>9</v>
      </c>
      <c r="T198" s="11">
        <v>3</v>
      </c>
    </row>
    <row r="199" spans="1:20">
      <c r="A199" s="4" t="s">
        <v>218</v>
      </c>
      <c r="B199" s="9" t="s">
        <v>494</v>
      </c>
      <c r="C199" s="6" t="s">
        <v>482</v>
      </c>
      <c r="D199" s="7">
        <v>24.8</v>
      </c>
      <c r="E199" s="7">
        <v>31.6</v>
      </c>
      <c r="F199" s="7">
        <v>9.4</v>
      </c>
      <c r="G199" s="4">
        <v>335</v>
      </c>
      <c r="H199" s="4">
        <f t="shared" si="3"/>
        <v>0.33500000000000002</v>
      </c>
      <c r="I199" s="8">
        <v>45245</v>
      </c>
      <c r="K199" s="5" t="s">
        <v>474</v>
      </c>
      <c r="L199" s="5" t="s">
        <v>475</v>
      </c>
      <c r="M199" s="5" t="s">
        <v>495</v>
      </c>
      <c r="N199" s="10" t="s">
        <v>477</v>
      </c>
      <c r="O199" s="11">
        <v>1</v>
      </c>
      <c r="P199" s="12" t="s">
        <v>474</v>
      </c>
      <c r="Q199" s="12" t="s">
        <v>486</v>
      </c>
      <c r="R199" s="12" t="s">
        <v>462</v>
      </c>
      <c r="S199" s="11">
        <v>9</v>
      </c>
      <c r="T199" s="11">
        <v>3</v>
      </c>
    </row>
    <row r="200" spans="1:20">
      <c r="A200" s="4" t="s">
        <v>219</v>
      </c>
      <c r="B200" s="9" t="s">
        <v>494</v>
      </c>
      <c r="C200" s="6" t="s">
        <v>480</v>
      </c>
      <c r="D200" s="7">
        <v>23</v>
      </c>
      <c r="E200" s="7">
        <v>28.9</v>
      </c>
      <c r="F200" s="7">
        <v>7.5</v>
      </c>
      <c r="G200" s="4">
        <v>281</v>
      </c>
      <c r="H200" s="4">
        <f t="shared" si="3"/>
        <v>0.28100000000000003</v>
      </c>
      <c r="I200" s="8">
        <v>45245</v>
      </c>
      <c r="K200" s="5" t="s">
        <v>474</v>
      </c>
      <c r="L200" s="5" t="s">
        <v>475</v>
      </c>
      <c r="M200" s="5" t="s">
        <v>495</v>
      </c>
      <c r="N200" s="10" t="s">
        <v>477</v>
      </c>
      <c r="O200" s="11">
        <v>1</v>
      </c>
      <c r="P200" s="12" t="s">
        <v>474</v>
      </c>
      <c r="Q200" s="12" t="s">
        <v>486</v>
      </c>
      <c r="R200" s="12" t="s">
        <v>462</v>
      </c>
      <c r="S200" s="11">
        <v>9</v>
      </c>
      <c r="T200" s="11">
        <v>3</v>
      </c>
    </row>
    <row r="201" spans="1:20">
      <c r="A201" s="4" t="s">
        <v>220</v>
      </c>
      <c r="B201" s="9" t="s">
        <v>494</v>
      </c>
      <c r="C201" s="6" t="s">
        <v>482</v>
      </c>
      <c r="D201" s="7">
        <v>19.3</v>
      </c>
      <c r="E201" s="7">
        <v>24.3</v>
      </c>
      <c r="F201" s="7">
        <v>5.8</v>
      </c>
      <c r="G201" s="4">
        <v>122</v>
      </c>
      <c r="H201" s="4">
        <f t="shared" si="3"/>
        <v>0.122</v>
      </c>
      <c r="I201" s="8">
        <v>45245</v>
      </c>
      <c r="K201" s="5" t="s">
        <v>474</v>
      </c>
      <c r="L201" s="5" t="s">
        <v>475</v>
      </c>
      <c r="M201" s="5" t="s">
        <v>495</v>
      </c>
      <c r="N201" s="10" t="s">
        <v>477</v>
      </c>
      <c r="O201" s="11">
        <v>1</v>
      </c>
      <c r="P201" s="12" t="s">
        <v>474</v>
      </c>
      <c r="Q201" s="12" t="s">
        <v>486</v>
      </c>
      <c r="R201" s="12" t="s">
        <v>462</v>
      </c>
      <c r="S201" s="11">
        <v>9</v>
      </c>
      <c r="T201" s="11">
        <v>3</v>
      </c>
    </row>
    <row r="202" spans="1:20">
      <c r="A202" s="4" t="s">
        <v>221</v>
      </c>
      <c r="B202" s="9" t="s">
        <v>494</v>
      </c>
      <c r="C202" s="6" t="s">
        <v>482</v>
      </c>
      <c r="D202" s="7">
        <v>27.3</v>
      </c>
      <c r="E202" s="7">
        <v>35.5</v>
      </c>
      <c r="F202" s="7">
        <v>8.5</v>
      </c>
      <c r="G202" s="4">
        <v>415</v>
      </c>
      <c r="H202" s="4">
        <f t="shared" si="3"/>
        <v>0.41499999999999998</v>
      </c>
      <c r="I202" s="8">
        <v>45245</v>
      </c>
      <c r="K202" s="5" t="s">
        <v>474</v>
      </c>
      <c r="L202" s="5" t="s">
        <v>475</v>
      </c>
      <c r="M202" s="5" t="s">
        <v>495</v>
      </c>
      <c r="N202" s="10" t="s">
        <v>477</v>
      </c>
      <c r="O202" s="11">
        <v>1</v>
      </c>
      <c r="P202" s="12" t="s">
        <v>474</v>
      </c>
      <c r="Q202" s="12" t="s">
        <v>486</v>
      </c>
      <c r="R202" s="12" t="s">
        <v>462</v>
      </c>
      <c r="S202" s="11">
        <v>9</v>
      </c>
      <c r="T202" s="11">
        <v>3</v>
      </c>
    </row>
    <row r="203" spans="1:20">
      <c r="A203" s="4" t="s">
        <v>222</v>
      </c>
      <c r="B203" s="9" t="s">
        <v>494</v>
      </c>
      <c r="C203" s="6" t="s">
        <v>482</v>
      </c>
      <c r="D203" s="7">
        <v>21</v>
      </c>
      <c r="E203" s="7">
        <v>28.4</v>
      </c>
      <c r="F203" s="7">
        <v>6.3</v>
      </c>
      <c r="G203" s="4">
        <v>143</v>
      </c>
      <c r="H203" s="4">
        <f t="shared" si="3"/>
        <v>0.14299999999999999</v>
      </c>
      <c r="I203" s="8">
        <v>45245</v>
      </c>
      <c r="K203" s="5" t="s">
        <v>474</v>
      </c>
      <c r="L203" s="5" t="s">
        <v>475</v>
      </c>
      <c r="M203" s="5" t="s">
        <v>495</v>
      </c>
      <c r="N203" s="10" t="s">
        <v>477</v>
      </c>
      <c r="O203" s="11">
        <v>1</v>
      </c>
      <c r="P203" s="12" t="s">
        <v>474</v>
      </c>
      <c r="Q203" s="12" t="s">
        <v>486</v>
      </c>
      <c r="R203" s="12" t="s">
        <v>462</v>
      </c>
      <c r="S203" s="11">
        <v>9</v>
      </c>
      <c r="T203" s="11">
        <v>3</v>
      </c>
    </row>
    <row r="204" spans="1:20">
      <c r="A204" s="4" t="s">
        <v>223</v>
      </c>
      <c r="B204" s="9" t="s">
        <v>494</v>
      </c>
      <c r="C204" s="6" t="s">
        <v>479</v>
      </c>
      <c r="D204" s="7">
        <v>24.8</v>
      </c>
      <c r="E204" s="7">
        <v>32.6</v>
      </c>
      <c r="F204" s="7">
        <v>7.4</v>
      </c>
      <c r="G204" s="4">
        <v>239</v>
      </c>
      <c r="H204" s="4">
        <f t="shared" si="3"/>
        <v>0.23899999999999999</v>
      </c>
      <c r="I204" s="8">
        <v>45245</v>
      </c>
      <c r="K204" s="5" t="s">
        <v>474</v>
      </c>
      <c r="L204" s="5" t="s">
        <v>475</v>
      </c>
      <c r="M204" s="5" t="s">
        <v>495</v>
      </c>
      <c r="N204" s="10" t="s">
        <v>477</v>
      </c>
      <c r="O204" s="11">
        <v>1</v>
      </c>
      <c r="P204" s="12" t="s">
        <v>474</v>
      </c>
      <c r="Q204" s="12" t="s">
        <v>486</v>
      </c>
      <c r="R204" s="12" t="s">
        <v>462</v>
      </c>
      <c r="S204" s="11">
        <v>9</v>
      </c>
      <c r="T204" s="11">
        <v>3</v>
      </c>
    </row>
    <row r="205" spans="1:20">
      <c r="A205" s="4" t="s">
        <v>224</v>
      </c>
      <c r="B205" s="9" t="s">
        <v>494</v>
      </c>
      <c r="C205" s="6" t="s">
        <v>482</v>
      </c>
      <c r="D205" s="7">
        <v>22.9</v>
      </c>
      <c r="E205" s="7">
        <v>26.5</v>
      </c>
      <c r="F205" s="7">
        <v>7.5</v>
      </c>
      <c r="G205" s="4">
        <v>208</v>
      </c>
      <c r="H205" s="4">
        <f t="shared" si="3"/>
        <v>0.20799999999999999</v>
      </c>
      <c r="I205" s="8">
        <v>45245</v>
      </c>
      <c r="K205" s="5" t="s">
        <v>474</v>
      </c>
      <c r="L205" s="5" t="s">
        <v>475</v>
      </c>
      <c r="M205" s="5" t="s">
        <v>495</v>
      </c>
      <c r="N205" s="10" t="s">
        <v>477</v>
      </c>
      <c r="O205" s="11">
        <v>1</v>
      </c>
      <c r="P205" s="12" t="s">
        <v>474</v>
      </c>
      <c r="Q205" s="12" t="s">
        <v>486</v>
      </c>
      <c r="R205" s="12" t="s">
        <v>462</v>
      </c>
      <c r="S205" s="11">
        <v>9</v>
      </c>
      <c r="T205" s="11">
        <v>3</v>
      </c>
    </row>
    <row r="206" spans="1:20">
      <c r="A206" s="4" t="s">
        <v>225</v>
      </c>
      <c r="B206" s="9" t="s">
        <v>494</v>
      </c>
      <c r="C206" s="6" t="s">
        <v>482</v>
      </c>
      <c r="D206" s="7">
        <v>23.5</v>
      </c>
      <c r="E206" s="7">
        <v>30.2</v>
      </c>
      <c r="F206" s="7">
        <v>7.4</v>
      </c>
      <c r="G206" s="4">
        <v>225</v>
      </c>
      <c r="H206" s="4">
        <f t="shared" si="3"/>
        <v>0.22500000000000001</v>
      </c>
      <c r="I206" s="8">
        <v>45245</v>
      </c>
      <c r="K206" s="5" t="s">
        <v>474</v>
      </c>
      <c r="L206" s="5" t="s">
        <v>475</v>
      </c>
      <c r="M206" s="5" t="s">
        <v>495</v>
      </c>
      <c r="N206" s="10" t="s">
        <v>477</v>
      </c>
      <c r="O206" s="11">
        <v>1</v>
      </c>
      <c r="P206" s="12" t="s">
        <v>474</v>
      </c>
      <c r="Q206" s="12" t="s">
        <v>486</v>
      </c>
      <c r="R206" s="12" t="s">
        <v>462</v>
      </c>
      <c r="S206" s="11">
        <v>9</v>
      </c>
      <c r="T206" s="11">
        <v>3</v>
      </c>
    </row>
    <row r="207" spans="1:20">
      <c r="A207" s="4" t="s">
        <v>226</v>
      </c>
      <c r="B207" s="9" t="s">
        <v>494</v>
      </c>
      <c r="C207" s="6" t="s">
        <v>482</v>
      </c>
      <c r="D207" s="7">
        <v>27.7</v>
      </c>
      <c r="E207" s="7">
        <v>35.9</v>
      </c>
      <c r="F207" s="7">
        <v>9.1999999999999993</v>
      </c>
      <c r="G207" s="4">
        <v>351</v>
      </c>
      <c r="H207" s="4">
        <f t="shared" si="3"/>
        <v>0.35099999999999998</v>
      </c>
      <c r="I207" s="8">
        <v>45245</v>
      </c>
      <c r="K207" s="5" t="s">
        <v>474</v>
      </c>
      <c r="L207" s="5" t="s">
        <v>475</v>
      </c>
      <c r="M207" s="5" t="s">
        <v>495</v>
      </c>
      <c r="N207" s="10" t="s">
        <v>477</v>
      </c>
      <c r="O207" s="11">
        <v>1</v>
      </c>
      <c r="P207" s="12" t="s">
        <v>474</v>
      </c>
      <c r="Q207" s="12" t="s">
        <v>486</v>
      </c>
      <c r="R207" s="12" t="s">
        <v>462</v>
      </c>
      <c r="S207" s="11">
        <v>9</v>
      </c>
      <c r="T207" s="11">
        <v>3</v>
      </c>
    </row>
    <row r="208" spans="1:20">
      <c r="A208" s="4" t="s">
        <v>496</v>
      </c>
      <c r="B208" s="9" t="s">
        <v>497</v>
      </c>
      <c r="C208" s="6" t="s">
        <v>497</v>
      </c>
      <c r="D208" s="7" t="s">
        <v>497</v>
      </c>
      <c r="E208" s="7" t="s">
        <v>497</v>
      </c>
      <c r="F208" s="7" t="s">
        <v>497</v>
      </c>
      <c r="G208" s="7" t="s">
        <v>497</v>
      </c>
      <c r="H208" s="7" t="s">
        <v>497</v>
      </c>
      <c r="I208" s="7" t="s">
        <v>497</v>
      </c>
      <c r="J208" s="7" t="s">
        <v>497</v>
      </c>
      <c r="K208" s="7" t="s">
        <v>497</v>
      </c>
      <c r="L208" s="7" t="s">
        <v>497</v>
      </c>
      <c r="M208" s="7" t="s">
        <v>497</v>
      </c>
      <c r="N208" s="7" t="s">
        <v>497</v>
      </c>
      <c r="O208" s="7" t="s">
        <v>497</v>
      </c>
      <c r="P208" s="7" t="s">
        <v>497</v>
      </c>
      <c r="Q208" s="7" t="s">
        <v>497</v>
      </c>
      <c r="R208" s="7" t="s">
        <v>497</v>
      </c>
      <c r="S208" s="7" t="s">
        <v>497</v>
      </c>
      <c r="T208" s="7" t="s">
        <v>497</v>
      </c>
    </row>
    <row r="209" spans="1:20">
      <c r="A209" s="4" t="s">
        <v>227</v>
      </c>
      <c r="B209" s="9" t="s">
        <v>494</v>
      </c>
      <c r="C209" s="6" t="s">
        <v>479</v>
      </c>
      <c r="D209" s="7">
        <v>21.8</v>
      </c>
      <c r="E209" s="7">
        <v>27.2</v>
      </c>
      <c r="F209" s="7">
        <v>5.8</v>
      </c>
      <c r="G209" s="4">
        <v>155</v>
      </c>
      <c r="H209" s="4">
        <f t="shared" si="3"/>
        <v>0.155</v>
      </c>
      <c r="I209" s="8">
        <v>45245</v>
      </c>
      <c r="K209" s="5" t="s">
        <v>474</v>
      </c>
      <c r="L209" s="5" t="s">
        <v>475</v>
      </c>
      <c r="M209" s="5" t="s">
        <v>495</v>
      </c>
      <c r="N209" s="10" t="s">
        <v>477</v>
      </c>
      <c r="O209" s="11">
        <v>1</v>
      </c>
      <c r="P209" s="12" t="s">
        <v>474</v>
      </c>
      <c r="Q209" s="12" t="s">
        <v>486</v>
      </c>
      <c r="R209" s="12" t="s">
        <v>462</v>
      </c>
      <c r="S209" s="11">
        <v>9</v>
      </c>
      <c r="T209" s="11">
        <v>3</v>
      </c>
    </row>
    <row r="210" spans="1:20">
      <c r="A210" s="4" t="s">
        <v>228</v>
      </c>
      <c r="B210" s="9" t="s">
        <v>494</v>
      </c>
      <c r="C210" s="6" t="s">
        <v>493</v>
      </c>
      <c r="D210" s="7">
        <v>21.7</v>
      </c>
      <c r="E210" s="7">
        <v>27.5</v>
      </c>
      <c r="F210" s="7">
        <v>6.1</v>
      </c>
      <c r="G210" s="4">
        <v>173</v>
      </c>
      <c r="H210" s="4">
        <f t="shared" si="3"/>
        <v>0.17299999999999999</v>
      </c>
      <c r="I210" s="8">
        <v>45245</v>
      </c>
      <c r="K210" s="5" t="s">
        <v>474</v>
      </c>
      <c r="L210" s="5" t="s">
        <v>475</v>
      </c>
      <c r="M210" s="5" t="s">
        <v>495</v>
      </c>
      <c r="N210" s="10" t="s">
        <v>477</v>
      </c>
      <c r="O210" s="11">
        <v>1</v>
      </c>
      <c r="P210" s="12" t="s">
        <v>474</v>
      </c>
      <c r="Q210" s="12" t="s">
        <v>486</v>
      </c>
      <c r="R210" s="12" t="s">
        <v>462</v>
      </c>
      <c r="S210" s="11">
        <v>9</v>
      </c>
      <c r="T210" s="11">
        <v>3</v>
      </c>
    </row>
    <row r="211" spans="1:20">
      <c r="A211" s="4" t="s">
        <v>229</v>
      </c>
      <c r="B211" s="9" t="s">
        <v>494</v>
      </c>
      <c r="C211" s="6" t="s">
        <v>498</v>
      </c>
      <c r="D211" s="7">
        <v>23.6</v>
      </c>
      <c r="E211" s="7">
        <v>34</v>
      </c>
      <c r="F211" s="7">
        <v>6.3</v>
      </c>
      <c r="G211" s="4">
        <v>290</v>
      </c>
      <c r="H211" s="13">
        <f t="shared" si="3"/>
        <v>0.28999999999999998</v>
      </c>
      <c r="I211" s="8">
        <v>45245</v>
      </c>
      <c r="K211" s="5" t="s">
        <v>474</v>
      </c>
      <c r="L211" s="5" t="s">
        <v>475</v>
      </c>
      <c r="M211" s="5" t="s">
        <v>495</v>
      </c>
      <c r="N211" s="10" t="s">
        <v>477</v>
      </c>
      <c r="O211" s="11">
        <v>1</v>
      </c>
      <c r="P211" s="12" t="s">
        <v>474</v>
      </c>
      <c r="Q211" s="12" t="s">
        <v>486</v>
      </c>
      <c r="R211" s="12" t="s">
        <v>462</v>
      </c>
      <c r="S211" s="11">
        <v>9</v>
      </c>
      <c r="T211" s="11">
        <v>3</v>
      </c>
    </row>
    <row r="212" spans="1:20">
      <c r="A212" s="4" t="s">
        <v>231</v>
      </c>
      <c r="B212" s="9" t="s">
        <v>494</v>
      </c>
      <c r="C212" s="6" t="s">
        <v>482</v>
      </c>
      <c r="D212" s="7">
        <v>23</v>
      </c>
      <c r="E212" s="7">
        <v>29.7</v>
      </c>
      <c r="F212" s="7">
        <v>6.9</v>
      </c>
      <c r="G212" s="4">
        <v>224</v>
      </c>
      <c r="H212" s="4">
        <f t="shared" si="3"/>
        <v>0.224</v>
      </c>
      <c r="I212" s="8">
        <v>45245</v>
      </c>
      <c r="K212" s="5" t="s">
        <v>474</v>
      </c>
      <c r="L212" s="5" t="s">
        <v>475</v>
      </c>
      <c r="M212" s="5" t="s">
        <v>495</v>
      </c>
      <c r="N212" s="10" t="s">
        <v>477</v>
      </c>
      <c r="O212" s="11">
        <v>1</v>
      </c>
      <c r="P212" s="12" t="s">
        <v>474</v>
      </c>
      <c r="Q212" s="12" t="s">
        <v>486</v>
      </c>
      <c r="R212" s="12" t="s">
        <v>462</v>
      </c>
      <c r="S212" s="11">
        <v>9</v>
      </c>
      <c r="T212" s="11">
        <v>3</v>
      </c>
    </row>
    <row r="213" spans="1:20">
      <c r="A213" s="4" t="s">
        <v>232</v>
      </c>
      <c r="B213" s="9" t="s">
        <v>494</v>
      </c>
      <c r="C213" s="6" t="s">
        <v>482</v>
      </c>
      <c r="D213" s="7">
        <v>21.2</v>
      </c>
      <c r="E213" s="7">
        <v>27.7</v>
      </c>
      <c r="F213" s="7">
        <v>6.2</v>
      </c>
      <c r="G213" s="4">
        <v>171</v>
      </c>
      <c r="H213" s="4">
        <f t="shared" si="3"/>
        <v>0.17100000000000001</v>
      </c>
      <c r="I213" s="8">
        <v>45245</v>
      </c>
      <c r="K213" s="5" t="s">
        <v>474</v>
      </c>
      <c r="L213" s="5" t="s">
        <v>475</v>
      </c>
      <c r="M213" s="5" t="s">
        <v>495</v>
      </c>
      <c r="N213" s="10" t="s">
        <v>477</v>
      </c>
      <c r="O213" s="11">
        <v>1</v>
      </c>
      <c r="P213" s="12" t="s">
        <v>474</v>
      </c>
      <c r="Q213" s="12" t="s">
        <v>486</v>
      </c>
      <c r="R213" s="12" t="s">
        <v>462</v>
      </c>
      <c r="S213" s="11">
        <v>9</v>
      </c>
      <c r="T213" s="11">
        <v>3</v>
      </c>
    </row>
    <row r="214" spans="1:20">
      <c r="A214" s="4" t="s">
        <v>233</v>
      </c>
      <c r="B214" s="9" t="s">
        <v>494</v>
      </c>
      <c r="C214" s="6" t="s">
        <v>482</v>
      </c>
      <c r="D214" s="7">
        <v>26.1</v>
      </c>
      <c r="E214" s="7">
        <v>33.299999999999997</v>
      </c>
      <c r="F214" s="7">
        <v>8.6999999999999993</v>
      </c>
      <c r="G214" s="4">
        <v>328</v>
      </c>
      <c r="H214" s="4">
        <f t="shared" si="3"/>
        <v>0.32800000000000001</v>
      </c>
      <c r="I214" s="8">
        <v>45245</v>
      </c>
      <c r="K214" s="5" t="s">
        <v>474</v>
      </c>
      <c r="L214" s="5" t="s">
        <v>475</v>
      </c>
      <c r="M214" s="5" t="s">
        <v>495</v>
      </c>
      <c r="N214" s="10" t="s">
        <v>477</v>
      </c>
      <c r="O214" s="11">
        <v>1</v>
      </c>
      <c r="P214" s="12" t="s">
        <v>474</v>
      </c>
      <c r="Q214" s="12" t="s">
        <v>486</v>
      </c>
      <c r="R214" s="12" t="s">
        <v>462</v>
      </c>
      <c r="S214" s="11">
        <v>9</v>
      </c>
      <c r="T214" s="11">
        <v>3</v>
      </c>
    </row>
    <row r="215" spans="1:20" ht="12.75" customHeight="1">
      <c r="A215" s="4" t="s">
        <v>234</v>
      </c>
      <c r="B215" s="14" t="s">
        <v>494</v>
      </c>
      <c r="C215" s="6" t="s">
        <v>482</v>
      </c>
      <c r="D215" s="4">
        <v>26.2</v>
      </c>
      <c r="E215" s="4">
        <v>34.5</v>
      </c>
      <c r="F215" s="4">
        <v>7.2</v>
      </c>
      <c r="G215" s="4">
        <v>378</v>
      </c>
      <c r="H215" s="4">
        <f t="shared" si="3"/>
        <v>0.378</v>
      </c>
      <c r="I215" s="8">
        <v>45245</v>
      </c>
      <c r="K215" s="4" t="s">
        <v>474</v>
      </c>
      <c r="L215" s="4" t="s">
        <v>475</v>
      </c>
      <c r="M215" s="4" t="s">
        <v>495</v>
      </c>
      <c r="N215" s="4" t="s">
        <v>477</v>
      </c>
      <c r="O215" s="11">
        <v>1</v>
      </c>
      <c r="P215" s="4" t="s">
        <v>474</v>
      </c>
      <c r="Q215" s="4" t="s">
        <v>486</v>
      </c>
      <c r="R215" s="4" t="s">
        <v>462</v>
      </c>
      <c r="S215" s="11">
        <v>9</v>
      </c>
      <c r="T215" s="11">
        <v>3</v>
      </c>
    </row>
    <row r="216" spans="1:20" ht="12.75" customHeight="1">
      <c r="A216" s="4" t="s">
        <v>235</v>
      </c>
      <c r="B216" s="14" t="s">
        <v>494</v>
      </c>
      <c r="C216" s="6" t="s">
        <v>482</v>
      </c>
      <c r="D216" s="4">
        <v>25.1</v>
      </c>
      <c r="E216" s="4">
        <v>33.200000000000003</v>
      </c>
      <c r="F216" s="4">
        <v>7.5</v>
      </c>
      <c r="G216" s="4">
        <v>293</v>
      </c>
      <c r="H216" s="4">
        <f t="shared" si="3"/>
        <v>0.29299999999999998</v>
      </c>
      <c r="I216" s="8">
        <v>45245</v>
      </c>
      <c r="K216" s="4" t="s">
        <v>474</v>
      </c>
      <c r="L216" s="4" t="s">
        <v>475</v>
      </c>
      <c r="M216" s="4" t="s">
        <v>495</v>
      </c>
      <c r="N216" s="4" t="s">
        <v>477</v>
      </c>
      <c r="O216" s="11">
        <v>1</v>
      </c>
      <c r="P216" s="4" t="s">
        <v>474</v>
      </c>
      <c r="Q216" s="4" t="s">
        <v>486</v>
      </c>
      <c r="R216" s="4" t="s">
        <v>462</v>
      </c>
      <c r="S216" s="11">
        <v>9</v>
      </c>
      <c r="T216" s="11">
        <v>3</v>
      </c>
    </row>
    <row r="217" spans="1:20" ht="12.75" customHeight="1">
      <c r="A217" s="4" t="s">
        <v>236</v>
      </c>
      <c r="B217" s="14" t="s">
        <v>494</v>
      </c>
      <c r="C217" s="6" t="s">
        <v>482</v>
      </c>
      <c r="D217" s="4">
        <v>32</v>
      </c>
      <c r="E217" s="4">
        <v>27.1</v>
      </c>
      <c r="F217" s="4">
        <v>6.2</v>
      </c>
      <c r="G217" s="4">
        <v>180</v>
      </c>
      <c r="H217" s="13">
        <f t="shared" si="3"/>
        <v>0.18</v>
      </c>
      <c r="I217" s="8">
        <v>45245</v>
      </c>
      <c r="K217" s="4" t="s">
        <v>474</v>
      </c>
      <c r="L217" s="4" t="s">
        <v>475</v>
      </c>
      <c r="M217" s="4" t="s">
        <v>495</v>
      </c>
      <c r="N217" s="4" t="s">
        <v>477</v>
      </c>
      <c r="O217" s="11">
        <v>1</v>
      </c>
      <c r="P217" s="4" t="s">
        <v>474</v>
      </c>
      <c r="Q217" s="4" t="s">
        <v>486</v>
      </c>
      <c r="R217" s="4" t="s">
        <v>462</v>
      </c>
      <c r="S217" s="11">
        <v>9</v>
      </c>
      <c r="T217" s="11">
        <v>3</v>
      </c>
    </row>
    <row r="218" spans="1:20" ht="12.75" customHeight="1">
      <c r="A218" s="4" t="s">
        <v>237</v>
      </c>
      <c r="B218" s="14" t="s">
        <v>494</v>
      </c>
      <c r="C218" s="6" t="s">
        <v>479</v>
      </c>
      <c r="D218" s="4">
        <v>33.1</v>
      </c>
      <c r="E218" s="4">
        <v>41.9</v>
      </c>
      <c r="F218" s="4">
        <v>9.9</v>
      </c>
      <c r="G218" s="4">
        <v>688</v>
      </c>
      <c r="H218" s="4">
        <f t="shared" si="3"/>
        <v>0.68799999999999994</v>
      </c>
      <c r="I218" s="8">
        <v>45245</v>
      </c>
      <c r="K218" s="4" t="s">
        <v>474</v>
      </c>
      <c r="L218" s="4" t="s">
        <v>475</v>
      </c>
      <c r="M218" s="4" t="s">
        <v>495</v>
      </c>
      <c r="N218" s="4" t="s">
        <v>477</v>
      </c>
      <c r="O218" s="11">
        <v>1</v>
      </c>
      <c r="P218" s="4" t="s">
        <v>474</v>
      </c>
      <c r="Q218" s="4" t="s">
        <v>486</v>
      </c>
      <c r="R218" s="4" t="s">
        <v>462</v>
      </c>
      <c r="S218" s="11">
        <v>9</v>
      </c>
      <c r="T218" s="11">
        <v>3</v>
      </c>
    </row>
    <row r="219" spans="1:20" ht="12.75" customHeight="1">
      <c r="A219" s="4" t="s">
        <v>238</v>
      </c>
      <c r="B219" s="14" t="s">
        <v>494</v>
      </c>
      <c r="C219" s="6" t="s">
        <v>482</v>
      </c>
      <c r="D219" s="4">
        <v>30</v>
      </c>
      <c r="E219" s="4">
        <v>38.799999999999997</v>
      </c>
      <c r="F219" s="4">
        <v>9</v>
      </c>
      <c r="G219" s="4">
        <v>303</v>
      </c>
      <c r="H219" s="4">
        <f t="shared" si="3"/>
        <v>0.30299999999999999</v>
      </c>
      <c r="I219" s="8">
        <v>45245</v>
      </c>
      <c r="K219" s="4" t="s">
        <v>474</v>
      </c>
      <c r="L219" s="4" t="s">
        <v>475</v>
      </c>
      <c r="M219" s="4" t="s">
        <v>495</v>
      </c>
      <c r="N219" s="4" t="s">
        <v>477</v>
      </c>
      <c r="O219" s="11">
        <v>1</v>
      </c>
      <c r="P219" s="4" t="s">
        <v>474</v>
      </c>
      <c r="Q219" s="4" t="s">
        <v>486</v>
      </c>
      <c r="R219" s="4" t="s">
        <v>462</v>
      </c>
      <c r="S219" s="11">
        <v>9</v>
      </c>
      <c r="T219" s="11">
        <v>3</v>
      </c>
    </row>
    <row r="220" spans="1:20" ht="12.75" customHeight="1">
      <c r="A220" s="4" t="s">
        <v>239</v>
      </c>
      <c r="B220" s="14" t="s">
        <v>494</v>
      </c>
      <c r="C220" s="6" t="s">
        <v>482</v>
      </c>
      <c r="D220" s="4">
        <v>20.9</v>
      </c>
      <c r="E220" s="4">
        <v>27.2</v>
      </c>
      <c r="F220" s="4">
        <v>6.6</v>
      </c>
      <c r="G220" s="4">
        <v>153</v>
      </c>
      <c r="H220" s="4">
        <f t="shared" si="3"/>
        <v>0.153</v>
      </c>
      <c r="I220" s="8">
        <v>45245</v>
      </c>
      <c r="K220" s="4" t="s">
        <v>474</v>
      </c>
      <c r="L220" s="4" t="s">
        <v>475</v>
      </c>
      <c r="M220" s="4" t="s">
        <v>495</v>
      </c>
      <c r="N220" s="4" t="s">
        <v>477</v>
      </c>
      <c r="O220" s="11">
        <v>1</v>
      </c>
      <c r="P220" s="4" t="s">
        <v>474</v>
      </c>
      <c r="Q220" s="4" t="s">
        <v>486</v>
      </c>
      <c r="R220" s="4" t="s">
        <v>462</v>
      </c>
      <c r="S220" s="11">
        <v>9</v>
      </c>
      <c r="T220" s="11">
        <v>3</v>
      </c>
    </row>
    <row r="221" spans="1:20" ht="12.75" customHeight="1">
      <c r="A221" s="4" t="s">
        <v>240</v>
      </c>
      <c r="B221" s="14" t="s">
        <v>494</v>
      </c>
      <c r="C221" s="6" t="s">
        <v>493</v>
      </c>
      <c r="D221" s="4">
        <v>24.2</v>
      </c>
      <c r="E221" s="4">
        <v>27.8</v>
      </c>
      <c r="F221" s="4">
        <v>7.5</v>
      </c>
      <c r="G221" s="4">
        <v>272</v>
      </c>
      <c r="H221" s="4">
        <f t="shared" si="3"/>
        <v>0.27200000000000002</v>
      </c>
      <c r="I221" s="8">
        <v>45245</v>
      </c>
      <c r="K221" s="4" t="s">
        <v>474</v>
      </c>
      <c r="L221" s="4" t="s">
        <v>475</v>
      </c>
      <c r="M221" s="4" t="s">
        <v>495</v>
      </c>
      <c r="N221" s="4" t="s">
        <v>477</v>
      </c>
      <c r="O221" s="11">
        <v>1</v>
      </c>
      <c r="P221" s="4" t="s">
        <v>474</v>
      </c>
      <c r="Q221" s="4" t="s">
        <v>486</v>
      </c>
      <c r="R221" s="4" t="s">
        <v>462</v>
      </c>
      <c r="S221" s="11">
        <v>9</v>
      </c>
      <c r="T221" s="11">
        <v>3</v>
      </c>
    </row>
    <row r="222" spans="1:20" ht="12.75" customHeight="1">
      <c r="A222" s="4" t="s">
        <v>241</v>
      </c>
      <c r="B222" s="14" t="s">
        <v>494</v>
      </c>
      <c r="C222" s="6" t="s">
        <v>482</v>
      </c>
      <c r="D222" s="4">
        <v>21.6</v>
      </c>
      <c r="E222" s="4">
        <v>28</v>
      </c>
      <c r="F222" s="4">
        <v>6.8</v>
      </c>
      <c r="G222" s="4">
        <v>178</v>
      </c>
      <c r="H222" s="4">
        <f t="shared" si="3"/>
        <v>0.17799999999999999</v>
      </c>
      <c r="I222" s="8">
        <v>45245</v>
      </c>
      <c r="K222" s="4" t="s">
        <v>474</v>
      </c>
      <c r="L222" s="4" t="s">
        <v>475</v>
      </c>
      <c r="M222" s="4" t="s">
        <v>495</v>
      </c>
      <c r="N222" s="4" t="s">
        <v>477</v>
      </c>
      <c r="O222" s="11">
        <v>1</v>
      </c>
      <c r="P222" s="4" t="s">
        <v>474</v>
      </c>
      <c r="Q222" s="4" t="s">
        <v>486</v>
      </c>
      <c r="R222" s="4" t="s">
        <v>462</v>
      </c>
      <c r="S222" s="11">
        <v>9</v>
      </c>
      <c r="T222" s="11">
        <v>3</v>
      </c>
    </row>
    <row r="223" spans="1:20" ht="12.75" customHeight="1">
      <c r="A223" s="4" t="s">
        <v>242</v>
      </c>
      <c r="B223" s="14" t="s">
        <v>494</v>
      </c>
      <c r="C223" s="6" t="s">
        <v>493</v>
      </c>
      <c r="D223" s="4">
        <v>25.6</v>
      </c>
      <c r="E223" s="4">
        <v>29.1</v>
      </c>
      <c r="F223" s="4">
        <v>8.6</v>
      </c>
      <c r="G223" s="4">
        <v>358</v>
      </c>
      <c r="H223" s="4">
        <f t="shared" si="3"/>
        <v>0.35799999999999998</v>
      </c>
      <c r="I223" s="8">
        <v>45245</v>
      </c>
      <c r="K223" s="4" t="s">
        <v>474</v>
      </c>
      <c r="L223" s="4" t="s">
        <v>475</v>
      </c>
      <c r="M223" s="4" t="s">
        <v>495</v>
      </c>
      <c r="N223" s="4" t="s">
        <v>477</v>
      </c>
      <c r="O223" s="11">
        <v>1</v>
      </c>
      <c r="P223" s="4" t="s">
        <v>474</v>
      </c>
      <c r="Q223" s="4" t="s">
        <v>486</v>
      </c>
      <c r="R223" s="4" t="s">
        <v>462</v>
      </c>
      <c r="S223" s="11">
        <v>9</v>
      </c>
      <c r="T223" s="11">
        <v>3</v>
      </c>
    </row>
    <row r="224" spans="1:20" ht="12.75" customHeight="1">
      <c r="A224" s="4" t="s">
        <v>243</v>
      </c>
      <c r="B224" s="14" t="s">
        <v>494</v>
      </c>
      <c r="C224" s="6" t="s">
        <v>482</v>
      </c>
      <c r="D224" s="4">
        <v>27.2</v>
      </c>
      <c r="E224" s="4">
        <v>36.1</v>
      </c>
      <c r="F224" s="4">
        <v>8.8000000000000007</v>
      </c>
      <c r="G224" s="4">
        <v>424</v>
      </c>
      <c r="H224" s="4">
        <f t="shared" si="3"/>
        <v>0.42399999999999999</v>
      </c>
      <c r="I224" s="8">
        <v>45245</v>
      </c>
      <c r="K224" s="4" t="s">
        <v>474</v>
      </c>
      <c r="L224" s="4" t="s">
        <v>475</v>
      </c>
      <c r="M224" s="4" t="s">
        <v>495</v>
      </c>
      <c r="N224" s="4" t="s">
        <v>477</v>
      </c>
      <c r="O224" s="11">
        <v>1</v>
      </c>
      <c r="P224" s="4" t="s">
        <v>474</v>
      </c>
      <c r="Q224" s="4" t="s">
        <v>486</v>
      </c>
      <c r="R224" s="4" t="s">
        <v>462</v>
      </c>
      <c r="S224" s="11">
        <v>9</v>
      </c>
      <c r="T224" s="11">
        <v>3</v>
      </c>
    </row>
    <row r="225" spans="1:20" ht="12.75" customHeight="1">
      <c r="A225" s="4" t="s">
        <v>244</v>
      </c>
      <c r="B225" s="14" t="s">
        <v>494</v>
      </c>
      <c r="C225" s="6" t="s">
        <v>482</v>
      </c>
      <c r="D225" s="4">
        <v>27</v>
      </c>
      <c r="E225" s="4">
        <v>35.299999999999997</v>
      </c>
      <c r="F225" s="4">
        <v>7.9</v>
      </c>
      <c r="G225" s="4">
        <v>313</v>
      </c>
      <c r="H225" s="4">
        <f t="shared" si="3"/>
        <v>0.313</v>
      </c>
      <c r="I225" s="8">
        <v>45245</v>
      </c>
      <c r="K225" s="4" t="s">
        <v>474</v>
      </c>
      <c r="L225" s="4" t="s">
        <v>475</v>
      </c>
      <c r="M225" s="4" t="s">
        <v>495</v>
      </c>
      <c r="N225" s="4" t="s">
        <v>477</v>
      </c>
      <c r="O225" s="11">
        <v>1</v>
      </c>
      <c r="P225" s="4" t="s">
        <v>474</v>
      </c>
      <c r="Q225" s="4" t="s">
        <v>486</v>
      </c>
      <c r="R225" s="4" t="s">
        <v>462</v>
      </c>
      <c r="S225" s="11">
        <v>9</v>
      </c>
      <c r="T225" s="11">
        <v>3</v>
      </c>
    </row>
    <row r="226" spans="1:20" ht="12.75" customHeight="1">
      <c r="A226" s="4" t="s">
        <v>245</v>
      </c>
      <c r="B226" s="14" t="s">
        <v>494</v>
      </c>
      <c r="C226" s="6" t="s">
        <v>482</v>
      </c>
      <c r="D226" s="4">
        <v>20.399999999999999</v>
      </c>
      <c r="E226" s="4">
        <v>24.4</v>
      </c>
      <c r="F226" s="4">
        <v>6.3</v>
      </c>
      <c r="G226" s="4">
        <v>156</v>
      </c>
      <c r="H226" s="4">
        <f t="shared" si="3"/>
        <v>0.156</v>
      </c>
      <c r="I226" s="8">
        <v>45245</v>
      </c>
      <c r="K226" s="4" t="s">
        <v>474</v>
      </c>
      <c r="L226" s="4" t="s">
        <v>475</v>
      </c>
      <c r="M226" s="4" t="s">
        <v>495</v>
      </c>
      <c r="N226" s="4" t="s">
        <v>477</v>
      </c>
      <c r="O226" s="11">
        <v>1</v>
      </c>
      <c r="P226" s="4" t="s">
        <v>474</v>
      </c>
      <c r="Q226" s="4" t="s">
        <v>486</v>
      </c>
      <c r="R226" s="4" t="s">
        <v>462</v>
      </c>
      <c r="S226" s="11">
        <v>9</v>
      </c>
      <c r="T226" s="11">
        <v>3</v>
      </c>
    </row>
    <row r="227" spans="1:20" ht="12.75" customHeight="1">
      <c r="A227" s="4" t="s">
        <v>246</v>
      </c>
      <c r="B227" s="14" t="s">
        <v>494</v>
      </c>
      <c r="C227" s="6" t="s">
        <v>473</v>
      </c>
      <c r="D227" s="4">
        <v>25.1</v>
      </c>
      <c r="E227" s="4">
        <v>31.7</v>
      </c>
      <c r="F227" s="4">
        <v>5.9</v>
      </c>
      <c r="G227" s="4">
        <v>136</v>
      </c>
      <c r="H227" s="4">
        <f t="shared" si="3"/>
        <v>0.13600000000000001</v>
      </c>
      <c r="I227" s="8">
        <v>45245</v>
      </c>
      <c r="K227" s="4" t="s">
        <v>474</v>
      </c>
      <c r="L227" s="4" t="s">
        <v>475</v>
      </c>
      <c r="M227" s="4" t="s">
        <v>495</v>
      </c>
      <c r="N227" s="4" t="s">
        <v>477</v>
      </c>
      <c r="O227" s="11">
        <v>1</v>
      </c>
      <c r="P227" s="4" t="s">
        <v>474</v>
      </c>
      <c r="Q227" s="4" t="s">
        <v>486</v>
      </c>
      <c r="R227" s="4" t="s">
        <v>462</v>
      </c>
      <c r="S227" s="11">
        <v>9</v>
      </c>
      <c r="T227" s="11">
        <v>3</v>
      </c>
    </row>
    <row r="228" spans="1:20" ht="12.75" customHeight="1">
      <c r="A228" s="4" t="s">
        <v>247</v>
      </c>
      <c r="B228" s="14" t="s">
        <v>494</v>
      </c>
      <c r="C228" s="6" t="s">
        <v>473</v>
      </c>
      <c r="D228" s="4">
        <v>25</v>
      </c>
      <c r="E228" s="4">
        <v>29.1</v>
      </c>
      <c r="F228" s="4">
        <v>6.3</v>
      </c>
      <c r="G228" s="4">
        <v>348</v>
      </c>
      <c r="H228" s="4">
        <f t="shared" si="3"/>
        <v>0.34799999999999998</v>
      </c>
      <c r="I228" s="8">
        <v>45245</v>
      </c>
      <c r="K228" s="4" t="s">
        <v>474</v>
      </c>
      <c r="L228" s="4" t="s">
        <v>475</v>
      </c>
      <c r="M228" s="4" t="s">
        <v>495</v>
      </c>
      <c r="N228" s="4" t="s">
        <v>477</v>
      </c>
      <c r="O228" s="11">
        <v>1</v>
      </c>
      <c r="P228" s="4" t="s">
        <v>474</v>
      </c>
      <c r="Q228" s="4" t="s">
        <v>486</v>
      </c>
      <c r="R228" s="4" t="s">
        <v>462</v>
      </c>
      <c r="S228" s="11">
        <v>9</v>
      </c>
      <c r="T228" s="11">
        <v>3</v>
      </c>
    </row>
    <row r="229" spans="1:20" ht="12.75" customHeight="1">
      <c r="A229" s="4" t="s">
        <v>248</v>
      </c>
      <c r="B229" s="14" t="s">
        <v>494</v>
      </c>
      <c r="C229" s="6" t="s">
        <v>482</v>
      </c>
      <c r="D229" s="4">
        <v>23.4</v>
      </c>
      <c r="E229" s="4">
        <v>30.7</v>
      </c>
      <c r="F229" s="4">
        <v>7.7</v>
      </c>
      <c r="G229" s="4">
        <v>392</v>
      </c>
      <c r="H229" s="4">
        <f t="shared" si="3"/>
        <v>0.39200000000000002</v>
      </c>
      <c r="I229" s="8">
        <v>45245</v>
      </c>
      <c r="K229" s="4" t="s">
        <v>474</v>
      </c>
      <c r="L229" s="4" t="s">
        <v>475</v>
      </c>
      <c r="M229" s="4" t="s">
        <v>495</v>
      </c>
      <c r="N229" s="4" t="s">
        <v>477</v>
      </c>
      <c r="O229" s="11">
        <v>1</v>
      </c>
      <c r="P229" s="4" t="s">
        <v>474</v>
      </c>
      <c r="Q229" s="4" t="s">
        <v>486</v>
      </c>
      <c r="R229" s="4" t="s">
        <v>462</v>
      </c>
      <c r="S229" s="11">
        <v>9</v>
      </c>
      <c r="T229" s="11">
        <v>3</v>
      </c>
    </row>
    <row r="230" spans="1:20" ht="12.75" customHeight="1">
      <c r="A230" s="4" t="s">
        <v>249</v>
      </c>
      <c r="B230" s="14" t="s">
        <v>494</v>
      </c>
      <c r="C230" s="6" t="s">
        <v>473</v>
      </c>
      <c r="D230" s="4">
        <v>22.7</v>
      </c>
      <c r="E230" s="4">
        <v>26.2</v>
      </c>
      <c r="F230" s="4">
        <v>5.2</v>
      </c>
      <c r="G230" s="4">
        <v>160</v>
      </c>
      <c r="H230" s="13">
        <f t="shared" si="3"/>
        <v>0.16</v>
      </c>
      <c r="I230" s="8">
        <v>45245</v>
      </c>
      <c r="K230" s="4" t="s">
        <v>474</v>
      </c>
      <c r="L230" s="4" t="s">
        <v>475</v>
      </c>
      <c r="M230" s="4" t="s">
        <v>495</v>
      </c>
      <c r="N230" s="4" t="s">
        <v>477</v>
      </c>
      <c r="O230" s="11">
        <v>1</v>
      </c>
      <c r="P230" s="4" t="s">
        <v>474</v>
      </c>
      <c r="Q230" s="4" t="s">
        <v>486</v>
      </c>
      <c r="R230" s="4" t="s">
        <v>462</v>
      </c>
      <c r="S230" s="11">
        <v>9</v>
      </c>
      <c r="T230" s="11">
        <v>3</v>
      </c>
    </row>
    <row r="231" spans="1:20" ht="12.75" customHeight="1">
      <c r="A231" s="4" t="s">
        <v>250</v>
      </c>
      <c r="B231" s="14" t="s">
        <v>494</v>
      </c>
      <c r="C231" s="6" t="s">
        <v>473</v>
      </c>
      <c r="D231" s="4">
        <v>27.4</v>
      </c>
      <c r="E231" s="4">
        <v>34.4</v>
      </c>
      <c r="F231" s="4">
        <v>6.7</v>
      </c>
      <c r="G231" s="4">
        <v>317</v>
      </c>
      <c r="H231" s="4">
        <f t="shared" si="3"/>
        <v>0.317</v>
      </c>
      <c r="I231" s="8">
        <v>45245</v>
      </c>
      <c r="K231" s="4" t="s">
        <v>474</v>
      </c>
      <c r="L231" s="4" t="s">
        <v>475</v>
      </c>
      <c r="M231" s="4" t="s">
        <v>495</v>
      </c>
      <c r="N231" s="4" t="s">
        <v>477</v>
      </c>
      <c r="O231" s="11">
        <v>1</v>
      </c>
      <c r="P231" s="4" t="s">
        <v>474</v>
      </c>
      <c r="Q231" s="4" t="s">
        <v>486</v>
      </c>
      <c r="R231" s="4" t="s">
        <v>462</v>
      </c>
      <c r="S231" s="11">
        <v>9</v>
      </c>
      <c r="T231" s="11">
        <v>3</v>
      </c>
    </row>
    <row r="232" spans="1:20" ht="12.75" customHeight="1">
      <c r="A232" s="4" t="s">
        <v>251</v>
      </c>
      <c r="B232" s="14" t="s">
        <v>494</v>
      </c>
      <c r="C232" s="6" t="s">
        <v>482</v>
      </c>
      <c r="D232" s="4">
        <v>20.9</v>
      </c>
      <c r="E232" s="4">
        <v>28.1</v>
      </c>
      <c r="F232" s="4">
        <v>6.5</v>
      </c>
      <c r="G232" s="4">
        <v>174</v>
      </c>
      <c r="H232" s="4">
        <f t="shared" si="3"/>
        <v>0.17399999999999999</v>
      </c>
      <c r="I232" s="8">
        <v>45245</v>
      </c>
      <c r="K232" s="4" t="s">
        <v>474</v>
      </c>
      <c r="L232" s="4" t="s">
        <v>475</v>
      </c>
      <c r="M232" s="4" t="s">
        <v>495</v>
      </c>
      <c r="N232" s="4" t="s">
        <v>477</v>
      </c>
      <c r="O232" s="11">
        <v>1</v>
      </c>
      <c r="P232" s="4" t="s">
        <v>474</v>
      </c>
      <c r="Q232" s="4" t="s">
        <v>486</v>
      </c>
      <c r="R232" s="4" t="s">
        <v>462</v>
      </c>
      <c r="S232" s="11">
        <v>9</v>
      </c>
      <c r="T232" s="11">
        <v>3</v>
      </c>
    </row>
    <row r="233" spans="1:20" ht="12.75" customHeight="1">
      <c r="A233" s="4" t="s">
        <v>252</v>
      </c>
      <c r="B233" s="14" t="s">
        <v>494</v>
      </c>
      <c r="C233" s="6" t="s">
        <v>473</v>
      </c>
      <c r="D233" s="4">
        <v>28.2</v>
      </c>
      <c r="E233" s="4">
        <v>36.700000000000003</v>
      </c>
      <c r="F233" s="4">
        <v>7.8</v>
      </c>
      <c r="G233" s="4">
        <v>196</v>
      </c>
      <c r="H233" s="4">
        <f t="shared" si="3"/>
        <v>0.19600000000000001</v>
      </c>
      <c r="I233" s="8">
        <v>45245</v>
      </c>
      <c r="K233" s="4" t="s">
        <v>474</v>
      </c>
      <c r="L233" s="4" t="s">
        <v>475</v>
      </c>
      <c r="M233" s="4" t="s">
        <v>495</v>
      </c>
      <c r="N233" s="4" t="s">
        <v>477</v>
      </c>
      <c r="O233" s="11">
        <v>1</v>
      </c>
      <c r="P233" s="4" t="s">
        <v>474</v>
      </c>
      <c r="Q233" s="4" t="s">
        <v>486</v>
      </c>
      <c r="R233" s="4" t="s">
        <v>462</v>
      </c>
      <c r="S233" s="11">
        <v>9</v>
      </c>
      <c r="T233" s="11">
        <v>3</v>
      </c>
    </row>
    <row r="234" spans="1:20" ht="12.75" customHeight="1">
      <c r="A234" s="4" t="s">
        <v>253</v>
      </c>
      <c r="B234" s="14" t="s">
        <v>494</v>
      </c>
      <c r="C234" s="6" t="s">
        <v>482</v>
      </c>
      <c r="D234" s="4">
        <v>17.7</v>
      </c>
      <c r="E234" s="4">
        <v>22.9</v>
      </c>
      <c r="F234" s="4">
        <v>4.9000000000000004</v>
      </c>
      <c r="G234" s="4">
        <v>96</v>
      </c>
      <c r="H234" s="4">
        <f t="shared" si="3"/>
        <v>9.6000000000000002E-2</v>
      </c>
      <c r="I234" s="8">
        <v>45245</v>
      </c>
      <c r="K234" s="4" t="s">
        <v>474</v>
      </c>
      <c r="L234" s="4" t="s">
        <v>475</v>
      </c>
      <c r="M234" s="4" t="s">
        <v>495</v>
      </c>
      <c r="N234" s="4" t="s">
        <v>477</v>
      </c>
      <c r="O234" s="11">
        <v>1</v>
      </c>
      <c r="P234" s="4" t="s">
        <v>474</v>
      </c>
      <c r="Q234" s="4" t="s">
        <v>486</v>
      </c>
      <c r="R234" s="4" t="s">
        <v>462</v>
      </c>
      <c r="S234" s="11">
        <v>9</v>
      </c>
      <c r="T234" s="11">
        <v>3</v>
      </c>
    </row>
    <row r="235" spans="1:20" ht="12.75" customHeight="1">
      <c r="A235" s="4" t="s">
        <v>254</v>
      </c>
      <c r="B235" s="14" t="s">
        <v>494</v>
      </c>
      <c r="C235" s="6" t="s">
        <v>493</v>
      </c>
      <c r="D235" s="4">
        <v>26.3</v>
      </c>
      <c r="E235" s="4">
        <v>30.9</v>
      </c>
      <c r="F235" s="4">
        <v>7.6</v>
      </c>
      <c r="G235" s="4">
        <v>195</v>
      </c>
      <c r="H235" s="4">
        <f t="shared" si="3"/>
        <v>0.19500000000000001</v>
      </c>
      <c r="I235" s="8">
        <v>45245</v>
      </c>
      <c r="K235" s="4" t="s">
        <v>474</v>
      </c>
      <c r="L235" s="4" t="s">
        <v>475</v>
      </c>
      <c r="M235" s="4" t="s">
        <v>495</v>
      </c>
      <c r="N235" s="4" t="s">
        <v>477</v>
      </c>
      <c r="O235" s="11">
        <v>1</v>
      </c>
      <c r="P235" s="4" t="s">
        <v>474</v>
      </c>
      <c r="Q235" s="4" t="s">
        <v>486</v>
      </c>
      <c r="R235" s="4" t="s">
        <v>462</v>
      </c>
      <c r="S235" s="11">
        <v>9</v>
      </c>
      <c r="T235" s="11">
        <v>3</v>
      </c>
    </row>
    <row r="236" spans="1:20" ht="12.75" customHeight="1">
      <c r="A236" s="4" t="s">
        <v>255</v>
      </c>
      <c r="B236" s="14" t="s">
        <v>494</v>
      </c>
      <c r="C236" s="6" t="s">
        <v>473</v>
      </c>
      <c r="D236" s="4">
        <v>22.1</v>
      </c>
      <c r="E236" s="4">
        <v>27.3</v>
      </c>
      <c r="F236" s="4">
        <v>5.3</v>
      </c>
      <c r="G236" s="4">
        <v>165</v>
      </c>
      <c r="H236" s="4">
        <f t="shared" si="3"/>
        <v>0.16500000000000001</v>
      </c>
      <c r="I236" s="8">
        <v>45245</v>
      </c>
      <c r="K236" s="4" t="s">
        <v>474</v>
      </c>
      <c r="L236" s="4" t="s">
        <v>475</v>
      </c>
      <c r="M236" s="4" t="s">
        <v>495</v>
      </c>
      <c r="N236" s="4" t="s">
        <v>477</v>
      </c>
      <c r="O236" s="11">
        <v>1</v>
      </c>
      <c r="P236" s="4" t="s">
        <v>474</v>
      </c>
      <c r="Q236" s="4" t="s">
        <v>486</v>
      </c>
      <c r="R236" s="4" t="s">
        <v>462</v>
      </c>
      <c r="S236" s="11">
        <v>9</v>
      </c>
      <c r="T236" s="11">
        <v>3</v>
      </c>
    </row>
    <row r="237" spans="1:20" ht="12.75" customHeight="1">
      <c r="A237" s="4" t="s">
        <v>256</v>
      </c>
      <c r="B237" s="14" t="s">
        <v>494</v>
      </c>
      <c r="C237" s="6" t="s">
        <v>473</v>
      </c>
      <c r="D237" s="4">
        <v>21</v>
      </c>
      <c r="E237" s="4">
        <v>27.1</v>
      </c>
      <c r="F237" s="4">
        <v>4.9000000000000004</v>
      </c>
      <c r="G237" s="4">
        <v>132</v>
      </c>
      <c r="H237" s="4">
        <f t="shared" si="3"/>
        <v>0.13200000000000001</v>
      </c>
      <c r="I237" s="8">
        <v>45245</v>
      </c>
      <c r="K237" s="4" t="s">
        <v>474</v>
      </c>
      <c r="L237" s="4" t="s">
        <v>475</v>
      </c>
      <c r="M237" s="4" t="s">
        <v>495</v>
      </c>
      <c r="N237" s="4" t="s">
        <v>477</v>
      </c>
      <c r="O237" s="11">
        <v>1</v>
      </c>
      <c r="P237" s="4" t="s">
        <v>474</v>
      </c>
      <c r="Q237" s="4" t="s">
        <v>486</v>
      </c>
      <c r="R237" s="4" t="s">
        <v>462</v>
      </c>
      <c r="S237" s="11">
        <v>9</v>
      </c>
      <c r="T237" s="11">
        <v>3</v>
      </c>
    </row>
    <row r="238" spans="1:20" ht="12.75" customHeight="1">
      <c r="A238" s="4" t="s">
        <v>257</v>
      </c>
      <c r="B238" s="14" t="s">
        <v>494</v>
      </c>
      <c r="C238" s="6" t="s">
        <v>473</v>
      </c>
      <c r="D238" s="4">
        <v>23.4</v>
      </c>
      <c r="E238" s="4">
        <v>26.8</v>
      </c>
      <c r="F238" s="4">
        <v>5.7</v>
      </c>
      <c r="G238" s="4">
        <v>178</v>
      </c>
      <c r="H238" s="4">
        <f t="shared" si="3"/>
        <v>0.17799999999999999</v>
      </c>
      <c r="I238" s="8">
        <v>45245</v>
      </c>
      <c r="K238" s="4" t="s">
        <v>474</v>
      </c>
      <c r="L238" s="4" t="s">
        <v>475</v>
      </c>
      <c r="M238" s="4" t="s">
        <v>495</v>
      </c>
      <c r="N238" s="4" t="s">
        <v>477</v>
      </c>
      <c r="O238" s="11">
        <v>1</v>
      </c>
      <c r="P238" s="4" t="s">
        <v>474</v>
      </c>
      <c r="Q238" s="4" t="s">
        <v>486</v>
      </c>
      <c r="R238" s="4" t="s">
        <v>462</v>
      </c>
      <c r="S238" s="11">
        <v>9</v>
      </c>
      <c r="T238" s="11">
        <v>3</v>
      </c>
    </row>
    <row r="239" spans="1:20" ht="12.75" customHeight="1">
      <c r="A239" s="4" t="s">
        <v>258</v>
      </c>
      <c r="B239" s="14" t="s">
        <v>494</v>
      </c>
      <c r="C239" s="6" t="s">
        <v>482</v>
      </c>
      <c r="D239" s="4">
        <v>20.3</v>
      </c>
      <c r="E239" s="4">
        <v>25.8</v>
      </c>
      <c r="F239" s="4">
        <v>5.9</v>
      </c>
      <c r="G239" s="4">
        <v>150</v>
      </c>
      <c r="H239" s="13">
        <f t="shared" si="3"/>
        <v>0.15</v>
      </c>
      <c r="I239" s="8">
        <v>45245</v>
      </c>
      <c r="K239" s="4" t="s">
        <v>474</v>
      </c>
      <c r="L239" s="4" t="s">
        <v>475</v>
      </c>
      <c r="M239" s="4" t="s">
        <v>495</v>
      </c>
      <c r="N239" s="4" t="s">
        <v>477</v>
      </c>
      <c r="O239" s="11">
        <v>1</v>
      </c>
      <c r="P239" s="4" t="s">
        <v>474</v>
      </c>
      <c r="Q239" s="4" t="s">
        <v>486</v>
      </c>
      <c r="R239" s="4" t="s">
        <v>462</v>
      </c>
      <c r="S239" s="11">
        <v>9</v>
      </c>
      <c r="T239" s="11">
        <v>3</v>
      </c>
    </row>
    <row r="240" spans="1:20" ht="12.75" customHeight="1">
      <c r="A240" s="4" t="s">
        <v>259</v>
      </c>
      <c r="B240" s="14" t="s">
        <v>494</v>
      </c>
      <c r="C240" s="6" t="s">
        <v>482</v>
      </c>
      <c r="D240" s="4">
        <v>21.7</v>
      </c>
      <c r="E240" s="4">
        <v>29</v>
      </c>
      <c r="F240" s="4">
        <v>6.4</v>
      </c>
      <c r="G240" s="4">
        <v>193</v>
      </c>
      <c r="H240" s="4">
        <f t="shared" si="3"/>
        <v>0.193</v>
      </c>
      <c r="I240" s="8">
        <v>45245</v>
      </c>
      <c r="K240" s="4" t="s">
        <v>474</v>
      </c>
      <c r="L240" s="4" t="s">
        <v>475</v>
      </c>
      <c r="M240" s="4" t="s">
        <v>495</v>
      </c>
      <c r="N240" s="4" t="s">
        <v>477</v>
      </c>
      <c r="O240" s="11">
        <v>1</v>
      </c>
      <c r="P240" s="4" t="s">
        <v>474</v>
      </c>
      <c r="Q240" s="4" t="s">
        <v>486</v>
      </c>
      <c r="R240" s="4" t="s">
        <v>462</v>
      </c>
      <c r="S240" s="11">
        <v>9</v>
      </c>
      <c r="T240" s="11">
        <v>3</v>
      </c>
    </row>
    <row r="241" spans="1:20" ht="12.75" customHeight="1">
      <c r="A241" s="4" t="s">
        <v>260</v>
      </c>
      <c r="B241" s="14" t="s">
        <v>494</v>
      </c>
      <c r="C241" s="6" t="s">
        <v>482</v>
      </c>
      <c r="D241" s="4">
        <v>19.5</v>
      </c>
      <c r="E241" s="4">
        <v>26.1</v>
      </c>
      <c r="F241" s="4">
        <v>5.9</v>
      </c>
      <c r="G241" s="4">
        <v>149</v>
      </c>
      <c r="H241" s="4">
        <f t="shared" si="3"/>
        <v>0.14899999999999999</v>
      </c>
      <c r="I241" s="8">
        <v>45245</v>
      </c>
      <c r="K241" s="4" t="s">
        <v>474</v>
      </c>
      <c r="L241" s="4" t="s">
        <v>475</v>
      </c>
      <c r="M241" s="4" t="s">
        <v>495</v>
      </c>
      <c r="N241" s="4" t="s">
        <v>477</v>
      </c>
      <c r="O241" s="11">
        <v>1</v>
      </c>
      <c r="P241" s="4" t="s">
        <v>474</v>
      </c>
      <c r="Q241" s="4" t="s">
        <v>486</v>
      </c>
      <c r="R241" s="4" t="s">
        <v>462</v>
      </c>
      <c r="S241" s="11">
        <v>9</v>
      </c>
      <c r="T241" s="11">
        <v>3</v>
      </c>
    </row>
    <row r="242" spans="1:20" ht="12.75" customHeight="1">
      <c r="A242" s="4" t="s">
        <v>261</v>
      </c>
      <c r="B242" s="14" t="s">
        <v>494</v>
      </c>
      <c r="C242" s="6" t="s">
        <v>473</v>
      </c>
      <c r="D242" s="4">
        <v>23.4</v>
      </c>
      <c r="E242" s="4">
        <v>29.5</v>
      </c>
      <c r="F242" s="4">
        <v>4.7</v>
      </c>
      <c r="G242" s="4">
        <v>162</v>
      </c>
      <c r="H242" s="4">
        <f t="shared" si="3"/>
        <v>0.16200000000000001</v>
      </c>
      <c r="I242" s="8">
        <v>45245</v>
      </c>
      <c r="K242" s="4" t="s">
        <v>474</v>
      </c>
      <c r="L242" s="4" t="s">
        <v>475</v>
      </c>
      <c r="M242" s="4" t="s">
        <v>495</v>
      </c>
      <c r="N242" s="4" t="s">
        <v>477</v>
      </c>
      <c r="O242" s="11">
        <v>1</v>
      </c>
      <c r="P242" s="4" t="s">
        <v>474</v>
      </c>
      <c r="Q242" s="4" t="s">
        <v>486</v>
      </c>
      <c r="R242" s="4" t="s">
        <v>462</v>
      </c>
      <c r="S242" s="11">
        <v>9</v>
      </c>
      <c r="T242" s="11">
        <v>3</v>
      </c>
    </row>
    <row r="243" spans="1:20" ht="12.75" customHeight="1">
      <c r="A243" s="4" t="s">
        <v>262</v>
      </c>
      <c r="B243" s="14" t="s">
        <v>494</v>
      </c>
      <c r="C243" s="6" t="s">
        <v>482</v>
      </c>
      <c r="D243" s="4">
        <v>18.899999999999999</v>
      </c>
      <c r="E243" s="4">
        <v>25.4</v>
      </c>
      <c r="F243" s="4">
        <v>5.5</v>
      </c>
      <c r="G243" s="4">
        <v>141</v>
      </c>
      <c r="H243" s="4">
        <f t="shared" si="3"/>
        <v>0.14099999999999999</v>
      </c>
      <c r="I243" s="8">
        <v>45245</v>
      </c>
      <c r="K243" s="4" t="s">
        <v>474</v>
      </c>
      <c r="L243" s="4" t="s">
        <v>475</v>
      </c>
      <c r="M243" s="4" t="s">
        <v>495</v>
      </c>
      <c r="N243" s="4" t="s">
        <v>477</v>
      </c>
      <c r="O243" s="11">
        <v>1</v>
      </c>
      <c r="P243" s="4" t="s">
        <v>474</v>
      </c>
      <c r="Q243" s="4" t="s">
        <v>486</v>
      </c>
      <c r="R243" s="4" t="s">
        <v>462</v>
      </c>
      <c r="S243" s="11">
        <v>9</v>
      </c>
      <c r="T243" s="11">
        <v>3</v>
      </c>
    </row>
    <row r="244" spans="1:20" ht="12.75" customHeight="1">
      <c r="A244" s="4" t="s">
        <v>263</v>
      </c>
      <c r="B244" s="14" t="s">
        <v>494</v>
      </c>
      <c r="C244" s="6" t="s">
        <v>473</v>
      </c>
      <c r="D244" s="4">
        <v>23.7</v>
      </c>
      <c r="E244" s="4">
        <v>30.4</v>
      </c>
      <c r="F244" s="4">
        <v>6.2</v>
      </c>
      <c r="G244" s="4">
        <v>220</v>
      </c>
      <c r="H244" s="13">
        <f t="shared" si="3"/>
        <v>0.22</v>
      </c>
      <c r="I244" s="8">
        <v>45245</v>
      </c>
      <c r="K244" s="4" t="s">
        <v>474</v>
      </c>
      <c r="L244" s="4" t="s">
        <v>475</v>
      </c>
      <c r="M244" s="4" t="s">
        <v>495</v>
      </c>
      <c r="N244" s="4" t="s">
        <v>477</v>
      </c>
      <c r="O244" s="11">
        <v>1</v>
      </c>
      <c r="P244" s="4" t="s">
        <v>474</v>
      </c>
      <c r="Q244" s="4" t="s">
        <v>486</v>
      </c>
      <c r="R244" s="4" t="s">
        <v>462</v>
      </c>
      <c r="S244" s="11">
        <v>9</v>
      </c>
      <c r="T244" s="11">
        <v>3</v>
      </c>
    </row>
    <row r="245" spans="1:20" ht="12.75" customHeight="1">
      <c r="A245" s="4" t="s">
        <v>264</v>
      </c>
      <c r="B245" s="14" t="s">
        <v>494</v>
      </c>
      <c r="C245" s="6" t="s">
        <v>473</v>
      </c>
      <c r="D245" s="4">
        <v>18.2</v>
      </c>
      <c r="E245" s="4">
        <v>22.8</v>
      </c>
      <c r="F245" s="4">
        <v>3.8</v>
      </c>
      <c r="G245" s="4">
        <v>78</v>
      </c>
      <c r="H245" s="4">
        <f t="shared" si="3"/>
        <v>7.8E-2</v>
      </c>
      <c r="I245" s="8">
        <v>45245</v>
      </c>
      <c r="K245" s="4" t="s">
        <v>474</v>
      </c>
      <c r="L245" s="4" t="s">
        <v>475</v>
      </c>
      <c r="M245" s="4" t="s">
        <v>495</v>
      </c>
      <c r="N245" s="4" t="s">
        <v>477</v>
      </c>
      <c r="O245" s="11">
        <v>1</v>
      </c>
      <c r="P245" s="4" t="s">
        <v>474</v>
      </c>
      <c r="Q245" s="4" t="s">
        <v>486</v>
      </c>
      <c r="R245" s="4" t="s">
        <v>462</v>
      </c>
      <c r="S245" s="11">
        <v>9</v>
      </c>
      <c r="T245" s="11">
        <v>3</v>
      </c>
    </row>
    <row r="246" spans="1:20" ht="12.75" customHeight="1">
      <c r="A246" s="4" t="s">
        <v>265</v>
      </c>
      <c r="B246" s="14" t="s">
        <v>494</v>
      </c>
      <c r="C246" s="6" t="s">
        <v>473</v>
      </c>
      <c r="D246" s="4">
        <v>21.4</v>
      </c>
      <c r="E246" s="4">
        <v>27.5</v>
      </c>
      <c r="F246" s="4">
        <v>4.8</v>
      </c>
      <c r="G246" s="4">
        <v>135</v>
      </c>
      <c r="H246" s="4">
        <f t="shared" si="3"/>
        <v>0.13500000000000001</v>
      </c>
      <c r="I246" s="8">
        <v>45245</v>
      </c>
      <c r="K246" s="4" t="s">
        <v>474</v>
      </c>
      <c r="L246" s="4" t="s">
        <v>475</v>
      </c>
      <c r="M246" s="4" t="s">
        <v>495</v>
      </c>
      <c r="N246" s="4" t="s">
        <v>477</v>
      </c>
      <c r="O246" s="11">
        <v>1</v>
      </c>
      <c r="P246" s="4" t="s">
        <v>474</v>
      </c>
      <c r="Q246" s="4" t="s">
        <v>486</v>
      </c>
      <c r="R246" s="4" t="s">
        <v>462</v>
      </c>
      <c r="S246" s="11">
        <v>9</v>
      </c>
      <c r="T246" s="11">
        <v>3</v>
      </c>
    </row>
    <row r="247" spans="1:20" ht="12.75" customHeight="1">
      <c r="A247" s="4" t="s">
        <v>266</v>
      </c>
      <c r="B247" s="14" t="s">
        <v>494</v>
      </c>
      <c r="C247" s="6" t="s">
        <v>473</v>
      </c>
      <c r="D247" s="4">
        <v>24.7</v>
      </c>
      <c r="E247" s="4">
        <v>30.7</v>
      </c>
      <c r="F247" s="4">
        <v>5.0999999999999996</v>
      </c>
      <c r="G247" s="4">
        <v>160</v>
      </c>
      <c r="H247" s="13">
        <f t="shared" si="3"/>
        <v>0.16</v>
      </c>
      <c r="I247" s="8">
        <v>45245</v>
      </c>
      <c r="K247" s="4" t="s">
        <v>474</v>
      </c>
      <c r="L247" s="4" t="s">
        <v>475</v>
      </c>
      <c r="M247" s="4" t="s">
        <v>495</v>
      </c>
      <c r="N247" s="4" t="s">
        <v>477</v>
      </c>
      <c r="O247" s="11">
        <v>1</v>
      </c>
      <c r="P247" s="4" t="s">
        <v>474</v>
      </c>
      <c r="Q247" s="4" t="s">
        <v>486</v>
      </c>
      <c r="R247" s="4" t="s">
        <v>462</v>
      </c>
      <c r="S247" s="11">
        <v>9</v>
      </c>
      <c r="T247" s="11">
        <v>3</v>
      </c>
    </row>
    <row r="248" spans="1:20" ht="12.75" customHeight="1">
      <c r="A248" s="4" t="s">
        <v>267</v>
      </c>
      <c r="B248" s="14" t="s">
        <v>494</v>
      </c>
      <c r="C248" s="6" t="s">
        <v>473</v>
      </c>
      <c r="D248" s="4">
        <v>23.1</v>
      </c>
      <c r="E248" s="4">
        <v>29.1</v>
      </c>
      <c r="F248" s="4">
        <v>6</v>
      </c>
      <c r="G248" s="4">
        <v>226</v>
      </c>
      <c r="H248" s="4">
        <f t="shared" si="3"/>
        <v>0.22600000000000001</v>
      </c>
      <c r="I248" s="8">
        <v>45245</v>
      </c>
      <c r="K248" s="4" t="s">
        <v>474</v>
      </c>
      <c r="L248" s="4" t="s">
        <v>475</v>
      </c>
      <c r="M248" s="4" t="s">
        <v>495</v>
      </c>
      <c r="N248" s="4" t="s">
        <v>477</v>
      </c>
      <c r="O248" s="11">
        <v>1</v>
      </c>
      <c r="P248" s="4" t="s">
        <v>474</v>
      </c>
      <c r="Q248" s="4" t="s">
        <v>486</v>
      </c>
      <c r="R248" s="4" t="s">
        <v>462</v>
      </c>
      <c r="S248" s="11">
        <v>9</v>
      </c>
      <c r="T248" s="11">
        <v>3</v>
      </c>
    </row>
    <row r="249" spans="1:20" ht="12.75" customHeight="1">
      <c r="A249" s="4" t="s">
        <v>268</v>
      </c>
      <c r="B249" s="14" t="s">
        <v>494</v>
      </c>
      <c r="C249" s="6" t="s">
        <v>482</v>
      </c>
      <c r="D249" s="4">
        <v>23.6</v>
      </c>
      <c r="E249" s="4">
        <v>31.1</v>
      </c>
      <c r="F249" s="4">
        <v>7.8</v>
      </c>
      <c r="G249" s="4">
        <v>288</v>
      </c>
      <c r="H249" s="4">
        <f t="shared" si="3"/>
        <v>0.28799999999999998</v>
      </c>
      <c r="I249" s="8">
        <v>45245</v>
      </c>
      <c r="K249" s="4" t="s">
        <v>474</v>
      </c>
      <c r="L249" s="4" t="s">
        <v>475</v>
      </c>
      <c r="M249" s="4" t="s">
        <v>495</v>
      </c>
      <c r="N249" s="4" t="s">
        <v>477</v>
      </c>
      <c r="O249" s="11">
        <v>1</v>
      </c>
      <c r="P249" s="4" t="s">
        <v>474</v>
      </c>
      <c r="Q249" s="4" t="s">
        <v>486</v>
      </c>
      <c r="R249" s="4" t="s">
        <v>462</v>
      </c>
      <c r="S249" s="11">
        <v>9</v>
      </c>
      <c r="T249" s="11">
        <v>3</v>
      </c>
    </row>
    <row r="250" spans="1:20" ht="12.75" customHeight="1">
      <c r="A250" s="4" t="s">
        <v>269</v>
      </c>
      <c r="B250" s="14" t="s">
        <v>494</v>
      </c>
      <c r="C250" s="6" t="s">
        <v>482</v>
      </c>
      <c r="D250" s="4">
        <v>21.9</v>
      </c>
      <c r="E250" s="4">
        <v>27.3</v>
      </c>
      <c r="F250" s="4">
        <v>7.1</v>
      </c>
      <c r="G250" s="4">
        <v>196</v>
      </c>
      <c r="H250" s="4">
        <f t="shared" si="3"/>
        <v>0.19600000000000001</v>
      </c>
      <c r="I250" s="8">
        <v>45245</v>
      </c>
      <c r="K250" s="4" t="s">
        <v>474</v>
      </c>
      <c r="L250" s="4" t="s">
        <v>475</v>
      </c>
      <c r="M250" s="4" t="s">
        <v>495</v>
      </c>
      <c r="N250" s="4" t="s">
        <v>477</v>
      </c>
      <c r="O250" s="11">
        <v>1</v>
      </c>
      <c r="P250" s="4" t="s">
        <v>474</v>
      </c>
      <c r="Q250" s="4" t="s">
        <v>486</v>
      </c>
      <c r="R250" s="4" t="s">
        <v>462</v>
      </c>
      <c r="S250" s="11">
        <v>9</v>
      </c>
      <c r="T250" s="11">
        <v>3</v>
      </c>
    </row>
    <row r="251" spans="1:20" ht="12.75" customHeight="1">
      <c r="A251" s="4" t="s">
        <v>270</v>
      </c>
      <c r="B251" s="14" t="s">
        <v>494</v>
      </c>
      <c r="C251" s="6" t="s">
        <v>473</v>
      </c>
      <c r="D251" s="4">
        <v>21.4</v>
      </c>
      <c r="E251" s="4">
        <v>27.8</v>
      </c>
      <c r="F251" s="4">
        <v>5.2</v>
      </c>
      <c r="G251" s="4">
        <v>147</v>
      </c>
      <c r="H251" s="4">
        <f t="shared" si="3"/>
        <v>0.14699999999999999</v>
      </c>
      <c r="I251" s="8">
        <v>45245</v>
      </c>
      <c r="K251" s="4" t="s">
        <v>474</v>
      </c>
      <c r="L251" s="4" t="s">
        <v>475</v>
      </c>
      <c r="M251" s="4" t="s">
        <v>495</v>
      </c>
      <c r="N251" s="4" t="s">
        <v>477</v>
      </c>
      <c r="O251" s="11">
        <v>1</v>
      </c>
      <c r="P251" s="4" t="s">
        <v>474</v>
      </c>
      <c r="Q251" s="4" t="s">
        <v>486</v>
      </c>
      <c r="R251" s="4" t="s">
        <v>462</v>
      </c>
      <c r="S251" s="11">
        <v>9</v>
      </c>
      <c r="T251" s="11">
        <v>3</v>
      </c>
    </row>
    <row r="252" spans="1:20" ht="12.75" customHeight="1">
      <c r="A252" s="4" t="s">
        <v>271</v>
      </c>
      <c r="B252" s="14" t="s">
        <v>494</v>
      </c>
      <c r="C252" s="6" t="s">
        <v>482</v>
      </c>
      <c r="D252" s="4">
        <v>21.1</v>
      </c>
      <c r="E252" s="4">
        <v>28.1</v>
      </c>
      <c r="F252" s="4">
        <v>6.4</v>
      </c>
      <c r="G252" s="4">
        <v>163</v>
      </c>
      <c r="H252" s="4">
        <f t="shared" si="3"/>
        <v>0.16300000000000001</v>
      </c>
      <c r="I252" s="8">
        <v>45245</v>
      </c>
      <c r="K252" s="4" t="s">
        <v>474</v>
      </c>
      <c r="L252" s="4" t="s">
        <v>475</v>
      </c>
      <c r="M252" s="4" t="s">
        <v>495</v>
      </c>
      <c r="N252" s="4" t="s">
        <v>477</v>
      </c>
      <c r="O252" s="11">
        <v>1</v>
      </c>
      <c r="P252" s="4" t="s">
        <v>474</v>
      </c>
      <c r="Q252" s="4" t="s">
        <v>486</v>
      </c>
      <c r="R252" s="4" t="s">
        <v>462</v>
      </c>
      <c r="S252" s="11">
        <v>9</v>
      </c>
      <c r="T252" s="11">
        <v>3</v>
      </c>
    </row>
    <row r="253" spans="1:20" ht="12.75" customHeight="1">
      <c r="A253" s="4" t="s">
        <v>272</v>
      </c>
      <c r="B253" s="14" t="s">
        <v>494</v>
      </c>
      <c r="C253" s="6" t="s">
        <v>482</v>
      </c>
      <c r="D253" s="4">
        <v>20</v>
      </c>
      <c r="E253" s="4">
        <v>21.5</v>
      </c>
      <c r="F253" s="4">
        <v>5.8</v>
      </c>
      <c r="G253" s="4">
        <v>144</v>
      </c>
      <c r="H253" s="4">
        <f t="shared" si="3"/>
        <v>0.14399999999999999</v>
      </c>
      <c r="I253" s="8">
        <v>45245</v>
      </c>
      <c r="K253" s="4" t="s">
        <v>474</v>
      </c>
      <c r="L253" s="4" t="s">
        <v>475</v>
      </c>
      <c r="M253" s="4" t="s">
        <v>495</v>
      </c>
      <c r="N253" s="4" t="s">
        <v>477</v>
      </c>
      <c r="O253" s="11">
        <v>1</v>
      </c>
      <c r="P253" s="4" t="s">
        <v>474</v>
      </c>
      <c r="Q253" s="4" t="s">
        <v>486</v>
      </c>
      <c r="R253" s="4" t="s">
        <v>462</v>
      </c>
      <c r="S253" s="11">
        <v>9</v>
      </c>
      <c r="T253" s="11">
        <v>3</v>
      </c>
    </row>
    <row r="254" spans="1:20" ht="12.75" customHeight="1">
      <c r="A254" s="4" t="s">
        <v>273</v>
      </c>
      <c r="B254" s="14" t="s">
        <v>494</v>
      </c>
      <c r="C254" s="6" t="s">
        <v>482</v>
      </c>
      <c r="D254" s="4">
        <v>21.1</v>
      </c>
      <c r="E254" s="4">
        <v>27.9</v>
      </c>
      <c r="F254" s="4">
        <v>7.1</v>
      </c>
      <c r="G254" s="4">
        <v>192</v>
      </c>
      <c r="H254" s="4">
        <f t="shared" si="3"/>
        <v>0.192</v>
      </c>
      <c r="I254" s="8">
        <v>45245</v>
      </c>
      <c r="K254" s="4" t="s">
        <v>474</v>
      </c>
      <c r="L254" s="4" t="s">
        <v>475</v>
      </c>
      <c r="M254" s="4" t="s">
        <v>495</v>
      </c>
      <c r="N254" s="4" t="s">
        <v>477</v>
      </c>
      <c r="O254" s="11">
        <v>1</v>
      </c>
      <c r="P254" s="4" t="s">
        <v>474</v>
      </c>
      <c r="Q254" s="4" t="s">
        <v>486</v>
      </c>
      <c r="R254" s="4" t="s">
        <v>462</v>
      </c>
      <c r="S254" s="11">
        <v>9</v>
      </c>
      <c r="T254" s="11">
        <v>3</v>
      </c>
    </row>
    <row r="255" spans="1:20" ht="12.75" customHeight="1">
      <c r="A255" s="4" t="s">
        <v>274</v>
      </c>
      <c r="B255" s="14" t="s">
        <v>494</v>
      </c>
      <c r="C255" s="6" t="s">
        <v>482</v>
      </c>
      <c r="D255" s="4">
        <v>20.100000000000001</v>
      </c>
      <c r="E255" s="4">
        <v>23.3</v>
      </c>
      <c r="F255" s="4">
        <v>6</v>
      </c>
      <c r="G255" s="4">
        <v>141</v>
      </c>
      <c r="H255" s="4">
        <f t="shared" si="3"/>
        <v>0.14099999999999999</v>
      </c>
      <c r="I255" s="8">
        <v>45245</v>
      </c>
      <c r="K255" s="4" t="s">
        <v>474</v>
      </c>
      <c r="L255" s="4" t="s">
        <v>475</v>
      </c>
      <c r="M255" s="4" t="s">
        <v>495</v>
      </c>
      <c r="N255" s="4" t="s">
        <v>477</v>
      </c>
      <c r="O255" s="11">
        <v>1</v>
      </c>
      <c r="P255" s="4" t="s">
        <v>474</v>
      </c>
      <c r="Q255" s="4" t="s">
        <v>486</v>
      </c>
      <c r="R255" s="4" t="s">
        <v>462</v>
      </c>
      <c r="S255" s="11">
        <v>9</v>
      </c>
      <c r="T255" s="11">
        <v>3</v>
      </c>
    </row>
    <row r="256" spans="1:20" ht="12.75" customHeight="1">
      <c r="A256" s="4" t="s">
        <v>275</v>
      </c>
      <c r="B256" s="14" t="s">
        <v>494</v>
      </c>
      <c r="C256" s="6" t="s">
        <v>479</v>
      </c>
      <c r="D256" s="4">
        <v>29.1</v>
      </c>
      <c r="E256" s="4">
        <v>35.700000000000003</v>
      </c>
      <c r="F256" s="4">
        <v>8</v>
      </c>
      <c r="G256" s="4">
        <v>386</v>
      </c>
      <c r="H256" s="4">
        <f t="shared" si="3"/>
        <v>0.38600000000000001</v>
      </c>
      <c r="I256" s="8">
        <v>45245</v>
      </c>
      <c r="K256" s="4" t="s">
        <v>474</v>
      </c>
      <c r="L256" s="4" t="s">
        <v>475</v>
      </c>
      <c r="M256" s="4" t="s">
        <v>495</v>
      </c>
      <c r="N256" s="4" t="s">
        <v>477</v>
      </c>
      <c r="O256" s="11">
        <v>1</v>
      </c>
      <c r="P256" s="4" t="s">
        <v>474</v>
      </c>
      <c r="Q256" s="4" t="s">
        <v>486</v>
      </c>
      <c r="R256" s="4" t="s">
        <v>462</v>
      </c>
      <c r="S256" s="11">
        <v>9</v>
      </c>
      <c r="T256" s="11">
        <v>3</v>
      </c>
    </row>
    <row r="257" spans="1:20" ht="12.75" customHeight="1">
      <c r="A257" s="4" t="s">
        <v>276</v>
      </c>
      <c r="B257" s="14" t="s">
        <v>494</v>
      </c>
      <c r="C257" s="6" t="s">
        <v>482</v>
      </c>
      <c r="D257" s="4">
        <v>25.3</v>
      </c>
      <c r="E257" s="4">
        <v>32.700000000000003</v>
      </c>
      <c r="F257" s="4">
        <v>8.8000000000000007</v>
      </c>
      <c r="G257" s="4">
        <v>345</v>
      </c>
      <c r="H257" s="4">
        <f t="shared" si="3"/>
        <v>0.34499999999999997</v>
      </c>
      <c r="I257" s="8">
        <v>45245</v>
      </c>
      <c r="K257" s="4" t="s">
        <v>474</v>
      </c>
      <c r="L257" s="4" t="s">
        <v>475</v>
      </c>
      <c r="M257" s="4" t="s">
        <v>495</v>
      </c>
      <c r="N257" s="4" t="s">
        <v>477</v>
      </c>
      <c r="O257" s="11">
        <v>1</v>
      </c>
      <c r="P257" s="4" t="s">
        <v>474</v>
      </c>
      <c r="Q257" s="4" t="s">
        <v>486</v>
      </c>
      <c r="R257" s="4" t="s">
        <v>462</v>
      </c>
      <c r="S257" s="11">
        <v>9</v>
      </c>
      <c r="T257" s="11">
        <v>3</v>
      </c>
    </row>
    <row r="258" spans="1:20" ht="12.75" customHeight="1">
      <c r="A258" s="4" t="s">
        <v>277</v>
      </c>
      <c r="B258" s="14" t="s">
        <v>494</v>
      </c>
      <c r="C258" s="6" t="s">
        <v>473</v>
      </c>
      <c r="D258" s="4">
        <v>20.8</v>
      </c>
      <c r="E258" s="4">
        <v>24.6</v>
      </c>
      <c r="F258" s="4">
        <v>5.5</v>
      </c>
      <c r="G258" s="4">
        <v>137</v>
      </c>
      <c r="H258" s="4">
        <f t="shared" si="3"/>
        <v>0.13700000000000001</v>
      </c>
      <c r="I258" s="8">
        <v>45245</v>
      </c>
      <c r="K258" s="4" t="s">
        <v>474</v>
      </c>
      <c r="L258" s="4" t="s">
        <v>475</v>
      </c>
      <c r="M258" s="4" t="s">
        <v>495</v>
      </c>
      <c r="N258" s="4" t="s">
        <v>477</v>
      </c>
      <c r="O258" s="11">
        <v>1</v>
      </c>
      <c r="P258" s="4" t="s">
        <v>474</v>
      </c>
      <c r="Q258" s="4" t="s">
        <v>486</v>
      </c>
      <c r="R258" s="4" t="s">
        <v>462</v>
      </c>
      <c r="S258" s="11">
        <v>9</v>
      </c>
      <c r="T258" s="11">
        <v>3</v>
      </c>
    </row>
    <row r="259" spans="1:20" ht="12.75" customHeight="1">
      <c r="A259" s="4" t="s">
        <v>278</v>
      </c>
      <c r="B259" s="14" t="s">
        <v>494</v>
      </c>
      <c r="C259" s="6" t="s">
        <v>473</v>
      </c>
      <c r="D259" s="4">
        <v>24.1</v>
      </c>
      <c r="E259" s="4">
        <v>32.5</v>
      </c>
      <c r="F259" s="4">
        <v>6.8</v>
      </c>
      <c r="G259" s="4">
        <v>285</v>
      </c>
      <c r="H259" s="4">
        <f t="shared" ref="H259:H322" si="4">G259/1000</f>
        <v>0.28499999999999998</v>
      </c>
      <c r="I259" s="8">
        <v>45245</v>
      </c>
      <c r="K259" s="4" t="s">
        <v>474</v>
      </c>
      <c r="L259" s="4" t="s">
        <v>475</v>
      </c>
      <c r="M259" s="4" t="s">
        <v>495</v>
      </c>
      <c r="N259" s="4" t="s">
        <v>477</v>
      </c>
      <c r="O259" s="11">
        <v>1</v>
      </c>
      <c r="P259" s="4" t="s">
        <v>474</v>
      </c>
      <c r="Q259" s="4" t="s">
        <v>486</v>
      </c>
      <c r="R259" s="4" t="s">
        <v>462</v>
      </c>
      <c r="S259" s="11">
        <v>9</v>
      </c>
      <c r="T259" s="11">
        <v>3</v>
      </c>
    </row>
    <row r="260" spans="1:20" ht="12.75" customHeight="1">
      <c r="A260" s="4" t="s">
        <v>279</v>
      </c>
      <c r="B260" s="14" t="s">
        <v>494</v>
      </c>
      <c r="C260" s="6" t="s">
        <v>482</v>
      </c>
      <c r="D260" s="4">
        <v>20.399999999999999</v>
      </c>
      <c r="E260" s="4">
        <v>25.9</v>
      </c>
      <c r="F260" s="4">
        <v>6.2</v>
      </c>
      <c r="G260" s="4">
        <v>157</v>
      </c>
      <c r="H260" s="4">
        <f t="shared" si="4"/>
        <v>0.157</v>
      </c>
      <c r="I260" s="8">
        <v>45245</v>
      </c>
      <c r="K260" s="4" t="s">
        <v>474</v>
      </c>
      <c r="L260" s="4" t="s">
        <v>475</v>
      </c>
      <c r="M260" s="4" t="s">
        <v>495</v>
      </c>
      <c r="N260" s="4" t="s">
        <v>477</v>
      </c>
      <c r="O260" s="11">
        <v>1</v>
      </c>
      <c r="P260" s="4" t="s">
        <v>474</v>
      </c>
      <c r="Q260" s="4" t="s">
        <v>486</v>
      </c>
      <c r="R260" s="4" t="s">
        <v>462</v>
      </c>
      <c r="S260" s="11">
        <v>9</v>
      </c>
      <c r="T260" s="11">
        <v>3</v>
      </c>
    </row>
    <row r="261" spans="1:20" ht="12.75" customHeight="1">
      <c r="A261" s="4" t="s">
        <v>280</v>
      </c>
      <c r="B261" s="14" t="s">
        <v>494</v>
      </c>
      <c r="C261" s="6" t="s">
        <v>473</v>
      </c>
      <c r="D261" s="4">
        <v>24.4</v>
      </c>
      <c r="E261" s="4">
        <v>31</v>
      </c>
      <c r="F261" s="4">
        <v>6.4</v>
      </c>
      <c r="G261" s="4">
        <v>214</v>
      </c>
      <c r="H261" s="4">
        <f t="shared" si="4"/>
        <v>0.214</v>
      </c>
      <c r="I261" s="8">
        <v>45245</v>
      </c>
      <c r="K261" s="4" t="s">
        <v>474</v>
      </c>
      <c r="L261" s="4" t="s">
        <v>475</v>
      </c>
      <c r="M261" s="4" t="s">
        <v>495</v>
      </c>
      <c r="N261" s="4" t="s">
        <v>477</v>
      </c>
      <c r="O261" s="11">
        <v>1</v>
      </c>
      <c r="P261" s="4" t="s">
        <v>474</v>
      </c>
      <c r="Q261" s="4" t="s">
        <v>486</v>
      </c>
      <c r="R261" s="4" t="s">
        <v>462</v>
      </c>
      <c r="S261" s="11">
        <v>9</v>
      </c>
      <c r="T261" s="11">
        <v>3</v>
      </c>
    </row>
    <row r="262" spans="1:20" ht="12.75" customHeight="1">
      <c r="A262" s="4" t="s">
        <v>281</v>
      </c>
      <c r="B262" s="14" t="s">
        <v>494</v>
      </c>
      <c r="C262" s="6" t="s">
        <v>479</v>
      </c>
      <c r="D262" s="4">
        <v>23.8</v>
      </c>
      <c r="E262" s="4">
        <v>26.4</v>
      </c>
      <c r="F262" s="4">
        <v>6.3</v>
      </c>
      <c r="G262" s="4">
        <v>206</v>
      </c>
      <c r="H262" s="4">
        <f t="shared" si="4"/>
        <v>0.20599999999999999</v>
      </c>
      <c r="I262" s="8">
        <v>45245</v>
      </c>
      <c r="K262" s="4" t="s">
        <v>474</v>
      </c>
      <c r="L262" s="4" t="s">
        <v>475</v>
      </c>
      <c r="M262" s="4" t="s">
        <v>495</v>
      </c>
      <c r="N262" s="4" t="s">
        <v>477</v>
      </c>
      <c r="O262" s="11">
        <v>1</v>
      </c>
      <c r="P262" s="4" t="s">
        <v>474</v>
      </c>
      <c r="Q262" s="4" t="s">
        <v>486</v>
      </c>
      <c r="R262" s="4" t="s">
        <v>462</v>
      </c>
      <c r="S262" s="11">
        <v>9</v>
      </c>
      <c r="T262" s="11">
        <v>3</v>
      </c>
    </row>
    <row r="263" spans="1:20" ht="12.75" customHeight="1">
      <c r="A263" s="4" t="s">
        <v>282</v>
      </c>
      <c r="B263" s="14" t="s">
        <v>494</v>
      </c>
      <c r="C263" s="6" t="s">
        <v>473</v>
      </c>
      <c r="D263" s="4">
        <v>25</v>
      </c>
      <c r="E263" s="4">
        <v>29</v>
      </c>
      <c r="F263" s="4">
        <v>7.7</v>
      </c>
      <c r="G263" s="4">
        <v>277</v>
      </c>
      <c r="H263" s="4">
        <f t="shared" si="4"/>
        <v>0.27700000000000002</v>
      </c>
      <c r="I263" s="8">
        <v>45245</v>
      </c>
      <c r="K263" s="4" t="s">
        <v>474</v>
      </c>
      <c r="L263" s="4" t="s">
        <v>475</v>
      </c>
      <c r="M263" s="4" t="s">
        <v>495</v>
      </c>
      <c r="N263" s="4" t="s">
        <v>477</v>
      </c>
      <c r="O263" s="11">
        <v>1</v>
      </c>
      <c r="P263" s="4" t="s">
        <v>474</v>
      </c>
      <c r="Q263" s="4" t="s">
        <v>486</v>
      </c>
      <c r="R263" s="4" t="s">
        <v>462</v>
      </c>
      <c r="S263" s="11">
        <v>9</v>
      </c>
      <c r="T263" s="11">
        <v>3</v>
      </c>
    </row>
    <row r="264" spans="1:20" ht="12.75" customHeight="1">
      <c r="A264" s="4" t="s">
        <v>283</v>
      </c>
      <c r="B264" s="14" t="s">
        <v>494</v>
      </c>
      <c r="C264" s="6" t="s">
        <v>473</v>
      </c>
      <c r="D264" s="4">
        <v>25.4</v>
      </c>
      <c r="E264" s="4">
        <v>32.1</v>
      </c>
      <c r="F264" s="4">
        <v>6.4</v>
      </c>
      <c r="G264" s="4">
        <v>265</v>
      </c>
      <c r="H264" s="4">
        <f t="shared" si="4"/>
        <v>0.26500000000000001</v>
      </c>
      <c r="I264" s="8">
        <v>45245</v>
      </c>
      <c r="K264" s="4" t="s">
        <v>474</v>
      </c>
      <c r="L264" s="4" t="s">
        <v>475</v>
      </c>
      <c r="M264" s="4" t="s">
        <v>495</v>
      </c>
      <c r="N264" s="4" t="s">
        <v>477</v>
      </c>
      <c r="O264" s="11">
        <v>1</v>
      </c>
      <c r="P264" s="4" t="s">
        <v>474</v>
      </c>
      <c r="Q264" s="4" t="s">
        <v>486</v>
      </c>
      <c r="R264" s="4" t="s">
        <v>462</v>
      </c>
      <c r="S264" s="11">
        <v>9</v>
      </c>
      <c r="T264" s="11">
        <v>3</v>
      </c>
    </row>
    <row r="265" spans="1:20" ht="12.75" customHeight="1">
      <c r="A265" s="4" t="s">
        <v>284</v>
      </c>
      <c r="B265" s="14" t="s">
        <v>494</v>
      </c>
      <c r="C265" s="6" t="s">
        <v>482</v>
      </c>
      <c r="D265" s="4">
        <v>18.2</v>
      </c>
      <c r="E265" s="4">
        <v>23.3</v>
      </c>
      <c r="F265" s="4">
        <v>5.6</v>
      </c>
      <c r="G265" s="4">
        <v>120</v>
      </c>
      <c r="H265" s="13">
        <f t="shared" si="4"/>
        <v>0.12</v>
      </c>
      <c r="I265" s="8">
        <v>45245</v>
      </c>
      <c r="K265" s="4" t="s">
        <v>474</v>
      </c>
      <c r="L265" s="4" t="s">
        <v>475</v>
      </c>
      <c r="M265" s="4" t="s">
        <v>495</v>
      </c>
      <c r="N265" s="4" t="s">
        <v>477</v>
      </c>
      <c r="O265" s="11">
        <v>1</v>
      </c>
      <c r="P265" s="4" t="s">
        <v>474</v>
      </c>
      <c r="Q265" s="4" t="s">
        <v>486</v>
      </c>
      <c r="R265" s="4" t="s">
        <v>462</v>
      </c>
      <c r="S265" s="11">
        <v>9</v>
      </c>
      <c r="T265" s="11">
        <v>3</v>
      </c>
    </row>
    <row r="266" spans="1:20" ht="12.75" customHeight="1">
      <c r="A266" s="4" t="s">
        <v>285</v>
      </c>
      <c r="B266" s="14" t="s">
        <v>494</v>
      </c>
      <c r="C266" s="6" t="s">
        <v>473</v>
      </c>
      <c r="D266" s="4">
        <v>24.5</v>
      </c>
      <c r="E266" s="4">
        <v>31.1</v>
      </c>
      <c r="F266" s="4">
        <v>5.4</v>
      </c>
      <c r="G266" s="4">
        <v>207</v>
      </c>
      <c r="H266" s="4">
        <f t="shared" si="4"/>
        <v>0.20699999999999999</v>
      </c>
      <c r="I266" s="8">
        <v>45245</v>
      </c>
      <c r="K266" s="4" t="s">
        <v>474</v>
      </c>
      <c r="L266" s="4" t="s">
        <v>475</v>
      </c>
      <c r="M266" s="4" t="s">
        <v>495</v>
      </c>
      <c r="N266" s="4" t="s">
        <v>477</v>
      </c>
      <c r="O266" s="11">
        <v>1</v>
      </c>
      <c r="P266" s="4" t="s">
        <v>474</v>
      </c>
      <c r="Q266" s="4" t="s">
        <v>486</v>
      </c>
      <c r="R266" s="4" t="s">
        <v>462</v>
      </c>
      <c r="S266" s="11">
        <v>9</v>
      </c>
      <c r="T266" s="11">
        <v>3</v>
      </c>
    </row>
    <row r="267" spans="1:20" ht="12.75" customHeight="1">
      <c r="A267" s="4" t="s">
        <v>286</v>
      </c>
      <c r="B267" s="14" t="s">
        <v>494</v>
      </c>
      <c r="C267" s="6" t="s">
        <v>473</v>
      </c>
      <c r="D267" s="4">
        <v>25.2</v>
      </c>
      <c r="E267" s="4">
        <v>30.2</v>
      </c>
      <c r="F267" s="4">
        <v>6.9</v>
      </c>
      <c r="G267" s="4">
        <v>280</v>
      </c>
      <c r="H267" s="13">
        <f t="shared" si="4"/>
        <v>0.28000000000000003</v>
      </c>
      <c r="I267" s="8">
        <v>45245</v>
      </c>
      <c r="K267" s="4" t="s">
        <v>474</v>
      </c>
      <c r="L267" s="4" t="s">
        <v>475</v>
      </c>
      <c r="M267" s="4" t="s">
        <v>495</v>
      </c>
      <c r="N267" s="4" t="s">
        <v>477</v>
      </c>
      <c r="O267" s="11">
        <v>1</v>
      </c>
      <c r="P267" s="4" t="s">
        <v>474</v>
      </c>
      <c r="Q267" s="4" t="s">
        <v>486</v>
      </c>
      <c r="R267" s="4" t="s">
        <v>462</v>
      </c>
      <c r="S267" s="11">
        <v>9</v>
      </c>
      <c r="T267" s="11">
        <v>3</v>
      </c>
    </row>
    <row r="268" spans="1:20" ht="12.75" customHeight="1">
      <c r="A268" s="4" t="s">
        <v>287</v>
      </c>
      <c r="B268" s="14" t="s">
        <v>494</v>
      </c>
      <c r="C268" s="6" t="s">
        <v>473</v>
      </c>
      <c r="D268" s="4">
        <v>25</v>
      </c>
      <c r="E268" s="4">
        <v>23.1</v>
      </c>
      <c r="F268" s="4">
        <v>6.9</v>
      </c>
      <c r="G268" s="4">
        <v>269</v>
      </c>
      <c r="H268" s="4">
        <f t="shared" si="4"/>
        <v>0.26900000000000002</v>
      </c>
      <c r="I268" s="8">
        <v>45245</v>
      </c>
      <c r="K268" s="4" t="s">
        <v>474</v>
      </c>
      <c r="L268" s="4" t="s">
        <v>475</v>
      </c>
      <c r="M268" s="4" t="s">
        <v>495</v>
      </c>
      <c r="N268" s="4" t="s">
        <v>477</v>
      </c>
      <c r="O268" s="11">
        <v>1</v>
      </c>
      <c r="P268" s="4" t="s">
        <v>474</v>
      </c>
      <c r="Q268" s="4" t="s">
        <v>486</v>
      </c>
      <c r="R268" s="4" t="s">
        <v>462</v>
      </c>
      <c r="S268" s="11">
        <v>9</v>
      </c>
      <c r="T268" s="11">
        <v>3</v>
      </c>
    </row>
    <row r="269" spans="1:20" ht="12.75" customHeight="1">
      <c r="A269" s="4" t="s">
        <v>288</v>
      </c>
      <c r="B269" s="14" t="s">
        <v>494</v>
      </c>
      <c r="C269" s="6" t="s">
        <v>473</v>
      </c>
      <c r="D269" s="4">
        <v>21.3</v>
      </c>
      <c r="E269" s="4">
        <v>27</v>
      </c>
      <c r="F269" s="4">
        <v>5.0999999999999996</v>
      </c>
      <c r="G269" s="4">
        <v>145</v>
      </c>
      <c r="H269" s="4">
        <f t="shared" si="4"/>
        <v>0.14499999999999999</v>
      </c>
      <c r="I269" s="8">
        <v>45245</v>
      </c>
      <c r="K269" s="4" t="s">
        <v>474</v>
      </c>
      <c r="L269" s="4" t="s">
        <v>475</v>
      </c>
      <c r="M269" s="4" t="s">
        <v>495</v>
      </c>
      <c r="N269" s="4" t="s">
        <v>477</v>
      </c>
      <c r="O269" s="11">
        <v>1</v>
      </c>
      <c r="P269" s="4" t="s">
        <v>474</v>
      </c>
      <c r="Q269" s="4" t="s">
        <v>486</v>
      </c>
      <c r="R269" s="4" t="s">
        <v>462</v>
      </c>
      <c r="S269" s="11">
        <v>9</v>
      </c>
      <c r="T269" s="11">
        <v>3</v>
      </c>
    </row>
    <row r="270" spans="1:20" ht="12.75" customHeight="1">
      <c r="A270" s="4" t="s">
        <v>289</v>
      </c>
      <c r="B270" s="14" t="s">
        <v>494</v>
      </c>
      <c r="C270" s="6" t="s">
        <v>482</v>
      </c>
      <c r="D270" s="4">
        <v>21.1</v>
      </c>
      <c r="E270" s="4">
        <v>27.9</v>
      </c>
      <c r="F270" s="4">
        <v>6.6</v>
      </c>
      <c r="G270" s="4">
        <v>197</v>
      </c>
      <c r="H270" s="4">
        <f t="shared" si="4"/>
        <v>0.19700000000000001</v>
      </c>
      <c r="I270" s="8">
        <v>45245</v>
      </c>
      <c r="K270" s="4" t="s">
        <v>474</v>
      </c>
      <c r="L270" s="4" t="s">
        <v>475</v>
      </c>
      <c r="M270" s="4" t="s">
        <v>495</v>
      </c>
      <c r="N270" s="4" t="s">
        <v>477</v>
      </c>
      <c r="O270" s="11">
        <v>1</v>
      </c>
      <c r="P270" s="4" t="s">
        <v>474</v>
      </c>
      <c r="Q270" s="4" t="s">
        <v>486</v>
      </c>
      <c r="R270" s="4" t="s">
        <v>462</v>
      </c>
      <c r="S270" s="11">
        <v>9</v>
      </c>
      <c r="T270" s="11">
        <v>3</v>
      </c>
    </row>
    <row r="271" spans="1:20" ht="12.75" customHeight="1">
      <c r="A271" s="4" t="s">
        <v>290</v>
      </c>
      <c r="B271" s="14" t="s">
        <v>494</v>
      </c>
      <c r="C271" s="6" t="s">
        <v>482</v>
      </c>
      <c r="D271" s="4">
        <v>24.2</v>
      </c>
      <c r="E271" s="4">
        <v>30.1</v>
      </c>
      <c r="F271" s="4">
        <v>7.5</v>
      </c>
      <c r="G271" s="4">
        <v>266</v>
      </c>
      <c r="H271" s="4">
        <f t="shared" si="4"/>
        <v>0.26600000000000001</v>
      </c>
      <c r="I271" s="8">
        <v>45245</v>
      </c>
      <c r="K271" s="4" t="s">
        <v>474</v>
      </c>
      <c r="L271" s="4" t="s">
        <v>475</v>
      </c>
      <c r="M271" s="4" t="s">
        <v>495</v>
      </c>
      <c r="N271" s="4" t="s">
        <v>477</v>
      </c>
      <c r="O271" s="11">
        <v>1</v>
      </c>
      <c r="P271" s="4" t="s">
        <v>474</v>
      </c>
      <c r="Q271" s="4" t="s">
        <v>486</v>
      </c>
      <c r="R271" s="4" t="s">
        <v>462</v>
      </c>
      <c r="S271" s="11">
        <v>9</v>
      </c>
      <c r="T271" s="11">
        <v>3</v>
      </c>
    </row>
    <row r="272" spans="1:20" ht="12.75" customHeight="1">
      <c r="A272" s="4" t="s">
        <v>291</v>
      </c>
      <c r="B272" s="14" t="s">
        <v>494</v>
      </c>
      <c r="C272" s="6" t="s">
        <v>473</v>
      </c>
      <c r="D272" s="4">
        <v>21.7</v>
      </c>
      <c r="E272" s="4">
        <v>27.3</v>
      </c>
      <c r="F272" s="4">
        <v>4.4000000000000004</v>
      </c>
      <c r="G272" s="4">
        <v>122</v>
      </c>
      <c r="H272" s="4">
        <f t="shared" si="4"/>
        <v>0.122</v>
      </c>
      <c r="I272" s="8">
        <v>45245</v>
      </c>
      <c r="K272" s="4" t="s">
        <v>474</v>
      </c>
      <c r="L272" s="4" t="s">
        <v>475</v>
      </c>
      <c r="M272" s="4" t="s">
        <v>495</v>
      </c>
      <c r="N272" s="4" t="s">
        <v>477</v>
      </c>
      <c r="O272" s="11">
        <v>1</v>
      </c>
      <c r="P272" s="4" t="s">
        <v>474</v>
      </c>
      <c r="Q272" s="4" t="s">
        <v>486</v>
      </c>
      <c r="R272" s="4" t="s">
        <v>462</v>
      </c>
      <c r="S272" s="11">
        <v>9</v>
      </c>
      <c r="T272" s="11">
        <v>3</v>
      </c>
    </row>
    <row r="273" spans="1:20" ht="12.75" customHeight="1">
      <c r="A273" s="4" t="s">
        <v>292</v>
      </c>
      <c r="B273" s="14" t="s">
        <v>494</v>
      </c>
      <c r="C273" s="6" t="s">
        <v>473</v>
      </c>
      <c r="D273" s="4">
        <v>18.3</v>
      </c>
      <c r="E273" s="4">
        <v>21.8</v>
      </c>
      <c r="F273" s="4">
        <v>4.5999999999999996</v>
      </c>
      <c r="G273" s="4">
        <v>90</v>
      </c>
      <c r="H273" s="13">
        <f t="shared" si="4"/>
        <v>0.09</v>
      </c>
      <c r="I273" s="8">
        <v>45245</v>
      </c>
      <c r="K273" s="4" t="s">
        <v>474</v>
      </c>
      <c r="L273" s="4" t="s">
        <v>475</v>
      </c>
      <c r="M273" s="4" t="s">
        <v>495</v>
      </c>
      <c r="N273" s="4" t="s">
        <v>477</v>
      </c>
      <c r="O273" s="11">
        <v>1</v>
      </c>
      <c r="P273" s="4" t="s">
        <v>474</v>
      </c>
      <c r="Q273" s="4" t="s">
        <v>486</v>
      </c>
      <c r="R273" s="4" t="s">
        <v>462</v>
      </c>
      <c r="S273" s="11">
        <v>9</v>
      </c>
      <c r="T273" s="11">
        <v>3</v>
      </c>
    </row>
    <row r="274" spans="1:20" ht="12.75" customHeight="1">
      <c r="A274" s="4" t="s">
        <v>293</v>
      </c>
      <c r="B274" s="14" t="s">
        <v>494</v>
      </c>
      <c r="C274" s="6" t="s">
        <v>473</v>
      </c>
      <c r="D274" s="4">
        <v>21.4</v>
      </c>
      <c r="E274" s="4">
        <v>26.2</v>
      </c>
      <c r="F274" s="4">
        <v>4.7</v>
      </c>
      <c r="G274" s="4">
        <v>123</v>
      </c>
      <c r="H274" s="4">
        <f t="shared" si="4"/>
        <v>0.123</v>
      </c>
      <c r="I274" s="8">
        <v>45245</v>
      </c>
      <c r="K274" s="4" t="s">
        <v>474</v>
      </c>
      <c r="L274" s="4" t="s">
        <v>475</v>
      </c>
      <c r="M274" s="4" t="s">
        <v>495</v>
      </c>
      <c r="N274" s="4" t="s">
        <v>477</v>
      </c>
      <c r="O274" s="11">
        <v>1</v>
      </c>
      <c r="P274" s="4" t="s">
        <v>474</v>
      </c>
      <c r="Q274" s="4" t="s">
        <v>486</v>
      </c>
      <c r="R274" s="4" t="s">
        <v>462</v>
      </c>
      <c r="S274" s="11">
        <v>9</v>
      </c>
      <c r="T274" s="11">
        <v>3</v>
      </c>
    </row>
    <row r="275" spans="1:20" ht="12.75" customHeight="1">
      <c r="A275" s="4" t="s">
        <v>294</v>
      </c>
      <c r="B275" s="14" t="s">
        <v>494</v>
      </c>
      <c r="C275" s="6" t="s">
        <v>482</v>
      </c>
      <c r="D275" s="4">
        <v>21.8</v>
      </c>
      <c r="E275" s="4">
        <v>26.3</v>
      </c>
      <c r="F275" s="4">
        <v>6.7</v>
      </c>
      <c r="G275" s="4">
        <v>190</v>
      </c>
      <c r="H275" s="13">
        <f t="shared" si="4"/>
        <v>0.19</v>
      </c>
      <c r="I275" s="8">
        <v>45245</v>
      </c>
      <c r="K275" s="4" t="s">
        <v>474</v>
      </c>
      <c r="L275" s="4" t="s">
        <v>475</v>
      </c>
      <c r="M275" s="4" t="s">
        <v>495</v>
      </c>
      <c r="N275" s="4" t="s">
        <v>477</v>
      </c>
      <c r="O275" s="11">
        <v>1</v>
      </c>
      <c r="P275" s="4" t="s">
        <v>474</v>
      </c>
      <c r="Q275" s="4" t="s">
        <v>486</v>
      </c>
      <c r="R275" s="4" t="s">
        <v>462</v>
      </c>
      <c r="S275" s="11">
        <v>9</v>
      </c>
      <c r="T275" s="11">
        <v>3</v>
      </c>
    </row>
    <row r="276" spans="1:20" ht="12.75" customHeight="1">
      <c r="A276" s="4" t="s">
        <v>295</v>
      </c>
      <c r="B276" s="14" t="s">
        <v>494</v>
      </c>
      <c r="C276" s="6" t="s">
        <v>482</v>
      </c>
      <c r="D276" s="4">
        <v>23.2</v>
      </c>
      <c r="E276" s="4">
        <v>27.6</v>
      </c>
      <c r="F276" s="4">
        <v>6.7</v>
      </c>
      <c r="G276" s="4">
        <v>232</v>
      </c>
      <c r="H276" s="4">
        <f t="shared" si="4"/>
        <v>0.23200000000000001</v>
      </c>
      <c r="I276" s="8">
        <v>45245</v>
      </c>
      <c r="K276" s="4" t="s">
        <v>474</v>
      </c>
      <c r="L276" s="4" t="s">
        <v>475</v>
      </c>
      <c r="M276" s="4" t="s">
        <v>495</v>
      </c>
      <c r="N276" s="4" t="s">
        <v>477</v>
      </c>
      <c r="O276" s="11">
        <v>1</v>
      </c>
      <c r="P276" s="4" t="s">
        <v>474</v>
      </c>
      <c r="Q276" s="4" t="s">
        <v>486</v>
      </c>
      <c r="R276" s="4" t="s">
        <v>462</v>
      </c>
      <c r="S276" s="11">
        <v>9</v>
      </c>
      <c r="T276" s="11">
        <v>3</v>
      </c>
    </row>
    <row r="277" spans="1:20" ht="12.75" customHeight="1">
      <c r="A277" s="4" t="s">
        <v>296</v>
      </c>
      <c r="B277" s="14" t="s">
        <v>494</v>
      </c>
      <c r="C277" s="6" t="s">
        <v>482</v>
      </c>
      <c r="D277" s="4">
        <v>23.3</v>
      </c>
      <c r="E277" s="4">
        <v>23.7</v>
      </c>
      <c r="F277" s="4">
        <v>8</v>
      </c>
      <c r="G277" s="4">
        <v>231</v>
      </c>
      <c r="H277" s="4">
        <f t="shared" si="4"/>
        <v>0.23100000000000001</v>
      </c>
      <c r="I277" s="8">
        <v>45245</v>
      </c>
      <c r="K277" s="4" t="s">
        <v>474</v>
      </c>
      <c r="L277" s="4" t="s">
        <v>475</v>
      </c>
      <c r="M277" s="4" t="s">
        <v>495</v>
      </c>
      <c r="N277" s="4" t="s">
        <v>477</v>
      </c>
      <c r="O277" s="11">
        <v>1</v>
      </c>
      <c r="P277" s="4" t="s">
        <v>474</v>
      </c>
      <c r="Q277" s="4" t="s">
        <v>486</v>
      </c>
      <c r="R277" s="4" t="s">
        <v>462</v>
      </c>
      <c r="S277" s="11">
        <v>9</v>
      </c>
      <c r="T277" s="11">
        <v>3</v>
      </c>
    </row>
    <row r="278" spans="1:20" ht="12.75" customHeight="1">
      <c r="A278" s="4" t="s">
        <v>297</v>
      </c>
      <c r="B278" s="14" t="s">
        <v>494</v>
      </c>
      <c r="C278" s="6" t="s">
        <v>473</v>
      </c>
      <c r="D278" s="4">
        <v>20</v>
      </c>
      <c r="E278" s="4">
        <v>23.7</v>
      </c>
      <c r="F278" s="4">
        <v>4.7</v>
      </c>
      <c r="G278" s="4">
        <v>107</v>
      </c>
      <c r="H278" s="4">
        <f t="shared" si="4"/>
        <v>0.107</v>
      </c>
      <c r="I278" s="8">
        <v>45245</v>
      </c>
      <c r="K278" s="4" t="s">
        <v>474</v>
      </c>
      <c r="L278" s="4" t="s">
        <v>475</v>
      </c>
      <c r="M278" s="4" t="s">
        <v>495</v>
      </c>
      <c r="N278" s="4" t="s">
        <v>477</v>
      </c>
      <c r="O278" s="11">
        <v>1</v>
      </c>
      <c r="P278" s="4" t="s">
        <v>474</v>
      </c>
      <c r="Q278" s="4" t="s">
        <v>486</v>
      </c>
      <c r="R278" s="4" t="s">
        <v>462</v>
      </c>
      <c r="S278" s="11">
        <v>9</v>
      </c>
      <c r="T278" s="11">
        <v>3</v>
      </c>
    </row>
    <row r="279" spans="1:20" ht="12.75" customHeight="1">
      <c r="A279" s="4" t="s">
        <v>298</v>
      </c>
      <c r="B279" s="14" t="s">
        <v>494</v>
      </c>
      <c r="C279" s="6" t="s">
        <v>473</v>
      </c>
      <c r="D279" s="4">
        <v>25.6</v>
      </c>
      <c r="E279" s="4">
        <v>32.5</v>
      </c>
      <c r="F279" s="4">
        <v>6.5</v>
      </c>
      <c r="G279" s="4">
        <v>265</v>
      </c>
      <c r="H279" s="4">
        <f t="shared" si="4"/>
        <v>0.26500000000000001</v>
      </c>
      <c r="I279" s="8">
        <v>45245</v>
      </c>
      <c r="K279" s="4" t="s">
        <v>474</v>
      </c>
      <c r="L279" s="4" t="s">
        <v>475</v>
      </c>
      <c r="M279" s="4" t="s">
        <v>495</v>
      </c>
      <c r="N279" s="4" t="s">
        <v>477</v>
      </c>
      <c r="O279" s="11">
        <v>1</v>
      </c>
      <c r="P279" s="4" t="s">
        <v>474</v>
      </c>
      <c r="Q279" s="4" t="s">
        <v>486</v>
      </c>
      <c r="R279" s="4" t="s">
        <v>462</v>
      </c>
      <c r="S279" s="11">
        <v>9</v>
      </c>
      <c r="T279" s="11">
        <v>3</v>
      </c>
    </row>
    <row r="280" spans="1:20" ht="12.75" customHeight="1">
      <c r="A280" s="4" t="s">
        <v>299</v>
      </c>
      <c r="B280" s="14" t="s">
        <v>494</v>
      </c>
      <c r="C280" s="6" t="s">
        <v>473</v>
      </c>
      <c r="D280" s="4">
        <v>22.8</v>
      </c>
      <c r="E280" s="4">
        <v>28.9</v>
      </c>
      <c r="F280" s="4">
        <v>5.0999999999999996</v>
      </c>
      <c r="G280" s="4">
        <v>159</v>
      </c>
      <c r="H280" s="4">
        <f t="shared" si="4"/>
        <v>0.159</v>
      </c>
      <c r="I280" s="8">
        <v>45245</v>
      </c>
      <c r="K280" s="4" t="s">
        <v>474</v>
      </c>
      <c r="L280" s="4" t="s">
        <v>475</v>
      </c>
      <c r="M280" s="4" t="s">
        <v>495</v>
      </c>
      <c r="N280" s="4" t="s">
        <v>477</v>
      </c>
      <c r="O280" s="11">
        <v>1</v>
      </c>
      <c r="P280" s="4" t="s">
        <v>474</v>
      </c>
      <c r="Q280" s="4" t="s">
        <v>486</v>
      </c>
      <c r="R280" s="4" t="s">
        <v>462</v>
      </c>
      <c r="S280" s="11">
        <v>9</v>
      </c>
      <c r="T280" s="11">
        <v>3</v>
      </c>
    </row>
    <row r="281" spans="1:20" ht="12.75" customHeight="1">
      <c r="A281" s="4" t="s">
        <v>300</v>
      </c>
      <c r="B281" s="14" t="s">
        <v>494</v>
      </c>
      <c r="C281" s="6" t="s">
        <v>482</v>
      </c>
      <c r="D281" s="4">
        <v>21.5</v>
      </c>
      <c r="E281" s="4">
        <v>27.7</v>
      </c>
      <c r="F281" s="4">
        <v>6.3</v>
      </c>
      <c r="G281" s="4">
        <v>174</v>
      </c>
      <c r="H281" s="4">
        <f t="shared" si="4"/>
        <v>0.17399999999999999</v>
      </c>
      <c r="I281" s="8">
        <v>45245</v>
      </c>
      <c r="K281" s="4" t="s">
        <v>474</v>
      </c>
      <c r="L281" s="4" t="s">
        <v>475</v>
      </c>
      <c r="M281" s="4" t="s">
        <v>495</v>
      </c>
      <c r="N281" s="4" t="s">
        <v>477</v>
      </c>
      <c r="O281" s="11">
        <v>1</v>
      </c>
      <c r="P281" s="4" t="s">
        <v>474</v>
      </c>
      <c r="Q281" s="4" t="s">
        <v>486</v>
      </c>
      <c r="R281" s="4" t="s">
        <v>462</v>
      </c>
      <c r="S281" s="11">
        <v>9</v>
      </c>
      <c r="T281" s="11">
        <v>3</v>
      </c>
    </row>
    <row r="282" spans="1:20" ht="12.75" customHeight="1">
      <c r="A282" s="4" t="s">
        <v>301</v>
      </c>
      <c r="B282" s="14" t="s">
        <v>494</v>
      </c>
      <c r="C282" s="6" t="s">
        <v>482</v>
      </c>
      <c r="D282" s="4">
        <v>22.1</v>
      </c>
      <c r="E282" s="4">
        <v>29</v>
      </c>
      <c r="F282" s="4">
        <v>6.8</v>
      </c>
      <c r="G282" s="4">
        <v>235</v>
      </c>
      <c r="H282" s="4">
        <f t="shared" si="4"/>
        <v>0.23499999999999999</v>
      </c>
      <c r="I282" s="8">
        <v>45245</v>
      </c>
      <c r="J282" s="4" t="s">
        <v>303</v>
      </c>
      <c r="K282" s="4" t="s">
        <v>474</v>
      </c>
      <c r="L282" s="4" t="s">
        <v>475</v>
      </c>
      <c r="M282" s="4" t="s">
        <v>495</v>
      </c>
      <c r="N282" s="4" t="s">
        <v>477</v>
      </c>
      <c r="O282" s="11">
        <v>1</v>
      </c>
      <c r="P282" s="4" t="s">
        <v>474</v>
      </c>
      <c r="Q282" s="4" t="s">
        <v>486</v>
      </c>
      <c r="R282" s="4" t="s">
        <v>462</v>
      </c>
      <c r="S282" s="11">
        <v>9</v>
      </c>
      <c r="T282" s="11">
        <v>3</v>
      </c>
    </row>
    <row r="283" spans="1:20" ht="12.75" customHeight="1">
      <c r="A283" s="4" t="s">
        <v>304</v>
      </c>
      <c r="B283" s="14" t="s">
        <v>494</v>
      </c>
      <c r="C283" s="6" t="s">
        <v>493</v>
      </c>
      <c r="D283" s="4">
        <v>24.2</v>
      </c>
      <c r="E283" s="4">
        <v>29.9</v>
      </c>
      <c r="F283" s="4">
        <v>6.2</v>
      </c>
      <c r="G283" s="4">
        <v>194</v>
      </c>
      <c r="H283" s="4">
        <f t="shared" si="4"/>
        <v>0.19400000000000001</v>
      </c>
      <c r="I283" s="8">
        <v>45245</v>
      </c>
      <c r="K283" s="4" t="s">
        <v>474</v>
      </c>
      <c r="L283" s="4" t="s">
        <v>475</v>
      </c>
      <c r="M283" s="4" t="s">
        <v>495</v>
      </c>
      <c r="N283" s="4" t="s">
        <v>477</v>
      </c>
      <c r="O283" s="11">
        <v>1</v>
      </c>
      <c r="P283" s="4" t="s">
        <v>474</v>
      </c>
      <c r="Q283" s="4" t="s">
        <v>486</v>
      </c>
      <c r="R283" s="4" t="s">
        <v>462</v>
      </c>
      <c r="S283" s="11">
        <v>9</v>
      </c>
      <c r="T283" s="11">
        <v>3</v>
      </c>
    </row>
    <row r="284" spans="1:20" ht="12.75" customHeight="1">
      <c r="A284" s="4" t="s">
        <v>305</v>
      </c>
      <c r="B284" s="14" t="s">
        <v>494</v>
      </c>
      <c r="C284" s="6" t="s">
        <v>473</v>
      </c>
      <c r="D284" s="4">
        <v>20.9</v>
      </c>
      <c r="E284" s="4">
        <v>25</v>
      </c>
      <c r="F284" s="4">
        <v>6.4</v>
      </c>
      <c r="G284" s="4">
        <v>170</v>
      </c>
      <c r="H284" s="13">
        <f t="shared" si="4"/>
        <v>0.17</v>
      </c>
      <c r="I284" s="8">
        <v>45245</v>
      </c>
      <c r="J284" s="4" t="s">
        <v>308</v>
      </c>
      <c r="K284" s="4" t="s">
        <v>474</v>
      </c>
      <c r="L284" s="4" t="s">
        <v>475</v>
      </c>
      <c r="M284" s="4" t="s">
        <v>495</v>
      </c>
      <c r="N284" s="4" t="s">
        <v>477</v>
      </c>
      <c r="O284" s="11">
        <v>1</v>
      </c>
      <c r="P284" s="4" t="s">
        <v>474</v>
      </c>
      <c r="Q284" s="4" t="s">
        <v>486</v>
      </c>
      <c r="R284" s="4" t="s">
        <v>462</v>
      </c>
      <c r="S284" s="11">
        <v>9</v>
      </c>
      <c r="T284" s="11">
        <v>3</v>
      </c>
    </row>
    <row r="285" spans="1:20" ht="12.75" customHeight="1">
      <c r="A285" s="4" t="s">
        <v>309</v>
      </c>
      <c r="B285" s="14" t="s">
        <v>494</v>
      </c>
      <c r="C285" s="6" t="s">
        <v>482</v>
      </c>
      <c r="D285" s="4">
        <v>26.3</v>
      </c>
      <c r="E285" s="4">
        <v>30.2</v>
      </c>
      <c r="F285" s="4">
        <v>8.4</v>
      </c>
      <c r="G285" s="4">
        <v>331</v>
      </c>
      <c r="H285" s="4">
        <f t="shared" si="4"/>
        <v>0.33100000000000002</v>
      </c>
      <c r="I285" s="8">
        <v>45245</v>
      </c>
      <c r="K285" s="4" t="s">
        <v>474</v>
      </c>
      <c r="L285" s="4" t="s">
        <v>475</v>
      </c>
      <c r="M285" s="4" t="s">
        <v>495</v>
      </c>
      <c r="N285" s="4" t="s">
        <v>477</v>
      </c>
      <c r="O285" s="11">
        <v>1</v>
      </c>
      <c r="P285" s="4" t="s">
        <v>474</v>
      </c>
      <c r="Q285" s="4" t="s">
        <v>486</v>
      </c>
      <c r="R285" s="4" t="s">
        <v>462</v>
      </c>
      <c r="S285" s="11">
        <v>9</v>
      </c>
      <c r="T285" s="11">
        <v>3</v>
      </c>
    </row>
    <row r="286" spans="1:20" ht="12.75" customHeight="1">
      <c r="A286" s="4" t="s">
        <v>310</v>
      </c>
      <c r="B286" s="14" t="s">
        <v>494</v>
      </c>
      <c r="C286" s="6" t="s">
        <v>473</v>
      </c>
      <c r="D286" s="4">
        <v>23.4</v>
      </c>
      <c r="E286" s="4">
        <v>29.2</v>
      </c>
      <c r="F286" s="4">
        <v>5.3</v>
      </c>
      <c r="G286" s="4">
        <v>175</v>
      </c>
      <c r="H286" s="4">
        <f t="shared" si="4"/>
        <v>0.17499999999999999</v>
      </c>
      <c r="I286" s="8">
        <v>45245</v>
      </c>
      <c r="K286" s="4" t="s">
        <v>474</v>
      </c>
      <c r="L286" s="4" t="s">
        <v>475</v>
      </c>
      <c r="M286" s="4" t="s">
        <v>495</v>
      </c>
      <c r="N286" s="4" t="s">
        <v>477</v>
      </c>
      <c r="O286" s="11">
        <v>1</v>
      </c>
      <c r="P286" s="4" t="s">
        <v>474</v>
      </c>
      <c r="Q286" s="4" t="s">
        <v>486</v>
      </c>
      <c r="R286" s="4" t="s">
        <v>462</v>
      </c>
      <c r="S286" s="11">
        <v>9</v>
      </c>
      <c r="T286" s="11">
        <v>3</v>
      </c>
    </row>
    <row r="287" spans="1:20" ht="12.75" customHeight="1">
      <c r="A287" s="4" t="s">
        <v>311</v>
      </c>
      <c r="B287" s="14" t="s">
        <v>494</v>
      </c>
      <c r="C287" s="6" t="s">
        <v>473</v>
      </c>
      <c r="D287" s="4">
        <v>21.4</v>
      </c>
      <c r="E287" s="4">
        <v>27.1</v>
      </c>
      <c r="F287" s="4">
        <v>4.7</v>
      </c>
      <c r="G287" s="4">
        <v>140</v>
      </c>
      <c r="H287" s="13">
        <f t="shared" si="4"/>
        <v>0.14000000000000001</v>
      </c>
      <c r="I287" s="8">
        <v>45245</v>
      </c>
      <c r="K287" s="4" t="s">
        <v>474</v>
      </c>
      <c r="L287" s="4" t="s">
        <v>475</v>
      </c>
      <c r="M287" s="4" t="s">
        <v>495</v>
      </c>
      <c r="N287" s="4" t="s">
        <v>477</v>
      </c>
      <c r="O287" s="11">
        <v>1</v>
      </c>
      <c r="P287" s="4" t="s">
        <v>474</v>
      </c>
      <c r="Q287" s="4" t="s">
        <v>486</v>
      </c>
      <c r="R287" s="4" t="s">
        <v>462</v>
      </c>
      <c r="S287" s="11">
        <v>9</v>
      </c>
      <c r="T287" s="11">
        <v>3</v>
      </c>
    </row>
    <row r="288" spans="1:20" ht="12.75" customHeight="1">
      <c r="A288" s="4" t="s">
        <v>312</v>
      </c>
      <c r="B288" s="14" t="s">
        <v>494</v>
      </c>
      <c r="C288" s="6" t="s">
        <v>482</v>
      </c>
      <c r="D288" s="4">
        <v>18.2</v>
      </c>
      <c r="E288" s="4">
        <v>20.8</v>
      </c>
      <c r="F288" s="4">
        <v>5.5</v>
      </c>
      <c r="G288" s="4">
        <v>110</v>
      </c>
      <c r="H288" s="13">
        <f t="shared" si="4"/>
        <v>0.11</v>
      </c>
      <c r="I288" s="8">
        <v>45245</v>
      </c>
      <c r="K288" s="4" t="s">
        <v>474</v>
      </c>
      <c r="L288" s="4" t="s">
        <v>475</v>
      </c>
      <c r="M288" s="4" t="s">
        <v>495</v>
      </c>
      <c r="N288" s="4" t="s">
        <v>477</v>
      </c>
      <c r="O288" s="11">
        <v>1</v>
      </c>
      <c r="P288" s="4" t="s">
        <v>474</v>
      </c>
      <c r="Q288" s="4" t="s">
        <v>486</v>
      </c>
      <c r="R288" s="4" t="s">
        <v>462</v>
      </c>
      <c r="S288" s="11">
        <v>9</v>
      </c>
      <c r="T288" s="11">
        <v>3</v>
      </c>
    </row>
    <row r="289" spans="1:20" ht="12.75" customHeight="1">
      <c r="A289" s="4" t="s">
        <v>313</v>
      </c>
      <c r="B289" s="14" t="s">
        <v>494</v>
      </c>
      <c r="C289" s="6" t="s">
        <v>473</v>
      </c>
      <c r="D289" s="4">
        <v>23.4</v>
      </c>
      <c r="E289" s="4">
        <v>30</v>
      </c>
      <c r="F289" s="4">
        <v>5.8</v>
      </c>
      <c r="G289" s="4">
        <v>220</v>
      </c>
      <c r="H289" s="13">
        <f t="shared" si="4"/>
        <v>0.22</v>
      </c>
      <c r="I289" s="8">
        <v>45245</v>
      </c>
      <c r="J289" s="4" t="s">
        <v>316</v>
      </c>
      <c r="K289" s="4" t="s">
        <v>474</v>
      </c>
      <c r="L289" s="4" t="s">
        <v>475</v>
      </c>
      <c r="M289" s="4" t="s">
        <v>495</v>
      </c>
      <c r="N289" s="4" t="s">
        <v>477</v>
      </c>
      <c r="O289" s="11">
        <v>1</v>
      </c>
      <c r="P289" s="4" t="s">
        <v>474</v>
      </c>
      <c r="Q289" s="4" t="s">
        <v>486</v>
      </c>
      <c r="R289" s="4" t="s">
        <v>462</v>
      </c>
      <c r="S289" s="11">
        <v>9</v>
      </c>
      <c r="T289" s="11">
        <v>3</v>
      </c>
    </row>
    <row r="290" spans="1:20" ht="12.75" customHeight="1">
      <c r="A290" s="4" t="s">
        <v>317</v>
      </c>
      <c r="B290" s="14" t="s">
        <v>494</v>
      </c>
      <c r="C290" s="6" t="s">
        <v>473</v>
      </c>
      <c r="D290" s="4">
        <v>22</v>
      </c>
      <c r="E290" s="4">
        <v>28.8</v>
      </c>
      <c r="F290" s="4">
        <v>4.2</v>
      </c>
      <c r="G290" s="4">
        <v>123</v>
      </c>
      <c r="H290" s="4">
        <f t="shared" si="4"/>
        <v>0.123</v>
      </c>
      <c r="I290" s="8">
        <v>45245</v>
      </c>
      <c r="K290" s="4" t="s">
        <v>474</v>
      </c>
      <c r="L290" s="4" t="s">
        <v>475</v>
      </c>
      <c r="M290" s="4" t="s">
        <v>495</v>
      </c>
      <c r="N290" s="4" t="s">
        <v>477</v>
      </c>
      <c r="O290" s="11">
        <v>1</v>
      </c>
      <c r="P290" s="4" t="s">
        <v>474</v>
      </c>
      <c r="Q290" s="4" t="s">
        <v>486</v>
      </c>
      <c r="R290" s="4" t="s">
        <v>462</v>
      </c>
      <c r="S290" s="11">
        <v>9</v>
      </c>
      <c r="T290" s="11">
        <v>3</v>
      </c>
    </row>
    <row r="291" spans="1:20" ht="12.75" customHeight="1">
      <c r="A291" s="4" t="s">
        <v>318</v>
      </c>
      <c r="B291" s="14" t="s">
        <v>494</v>
      </c>
      <c r="C291" s="6" t="s">
        <v>493</v>
      </c>
      <c r="D291" s="4">
        <v>19.600000000000001</v>
      </c>
      <c r="E291" s="4">
        <v>23.8</v>
      </c>
      <c r="F291" s="4">
        <v>5.3</v>
      </c>
      <c r="G291" s="4">
        <v>126</v>
      </c>
      <c r="H291" s="4">
        <f t="shared" si="4"/>
        <v>0.126</v>
      </c>
      <c r="I291" s="8">
        <v>45245</v>
      </c>
      <c r="K291" s="4" t="s">
        <v>474</v>
      </c>
      <c r="L291" s="4" t="s">
        <v>475</v>
      </c>
      <c r="M291" s="4" t="s">
        <v>495</v>
      </c>
      <c r="N291" s="4" t="s">
        <v>477</v>
      </c>
      <c r="O291" s="11">
        <v>1</v>
      </c>
      <c r="P291" s="4" t="s">
        <v>474</v>
      </c>
      <c r="Q291" s="4" t="s">
        <v>486</v>
      </c>
      <c r="R291" s="4" t="s">
        <v>462</v>
      </c>
      <c r="S291" s="11">
        <v>9</v>
      </c>
      <c r="T291" s="11">
        <v>3</v>
      </c>
    </row>
    <row r="292" spans="1:20" ht="12.75" customHeight="1">
      <c r="A292" s="4" t="s">
        <v>319</v>
      </c>
      <c r="B292" s="14" t="s">
        <v>494</v>
      </c>
      <c r="C292" s="6" t="s">
        <v>473</v>
      </c>
      <c r="D292" s="4">
        <v>22.4</v>
      </c>
      <c r="E292" s="4">
        <v>27.1</v>
      </c>
      <c r="F292" s="4">
        <v>5.5</v>
      </c>
      <c r="G292" s="4">
        <v>164</v>
      </c>
      <c r="H292" s="4">
        <f t="shared" si="4"/>
        <v>0.16400000000000001</v>
      </c>
      <c r="I292" s="8">
        <v>45245</v>
      </c>
      <c r="K292" s="4" t="s">
        <v>474</v>
      </c>
      <c r="L292" s="4" t="s">
        <v>475</v>
      </c>
      <c r="M292" s="4" t="s">
        <v>495</v>
      </c>
      <c r="N292" s="4" t="s">
        <v>477</v>
      </c>
      <c r="O292" s="11">
        <v>1</v>
      </c>
      <c r="P292" s="4" t="s">
        <v>474</v>
      </c>
      <c r="Q292" s="4" t="s">
        <v>486</v>
      </c>
      <c r="R292" s="4" t="s">
        <v>462</v>
      </c>
      <c r="S292" s="11">
        <v>9</v>
      </c>
      <c r="T292" s="11">
        <v>3</v>
      </c>
    </row>
    <row r="293" spans="1:20" ht="12.75" customHeight="1">
      <c r="A293" s="4" t="s">
        <v>320</v>
      </c>
      <c r="B293" s="14" t="s">
        <v>494</v>
      </c>
      <c r="C293" s="6" t="s">
        <v>493</v>
      </c>
      <c r="D293" s="4">
        <v>18.899999999999999</v>
      </c>
      <c r="E293" s="4">
        <v>22.2</v>
      </c>
      <c r="F293" s="4">
        <v>5.3</v>
      </c>
      <c r="G293" s="4">
        <v>116</v>
      </c>
      <c r="H293" s="4">
        <f t="shared" si="4"/>
        <v>0.11600000000000001</v>
      </c>
      <c r="I293" s="8">
        <v>45245</v>
      </c>
      <c r="K293" s="4" t="s">
        <v>474</v>
      </c>
      <c r="L293" s="4" t="s">
        <v>475</v>
      </c>
      <c r="M293" s="4" t="s">
        <v>495</v>
      </c>
      <c r="N293" s="4" t="s">
        <v>477</v>
      </c>
      <c r="O293" s="11">
        <v>1</v>
      </c>
      <c r="P293" s="4" t="s">
        <v>474</v>
      </c>
      <c r="Q293" s="4" t="s">
        <v>486</v>
      </c>
      <c r="R293" s="4" t="s">
        <v>462</v>
      </c>
      <c r="S293" s="11">
        <v>9</v>
      </c>
      <c r="T293" s="11">
        <v>3</v>
      </c>
    </row>
    <row r="294" spans="1:20" ht="12.75" customHeight="1">
      <c r="A294" s="4" t="s">
        <v>321</v>
      </c>
      <c r="B294" s="14" t="s">
        <v>494</v>
      </c>
      <c r="C294" s="6" t="s">
        <v>473</v>
      </c>
      <c r="D294" s="4">
        <v>17.5</v>
      </c>
      <c r="E294" s="4">
        <v>20.2</v>
      </c>
      <c r="F294" s="4">
        <v>3.3</v>
      </c>
      <c r="G294" s="4">
        <v>74</v>
      </c>
      <c r="H294" s="4">
        <f t="shared" si="4"/>
        <v>7.3999999999999996E-2</v>
      </c>
      <c r="I294" s="8">
        <v>45245</v>
      </c>
      <c r="K294" s="4" t="s">
        <v>474</v>
      </c>
      <c r="L294" s="4" t="s">
        <v>475</v>
      </c>
      <c r="M294" s="4" t="s">
        <v>495</v>
      </c>
      <c r="N294" s="4" t="s">
        <v>477</v>
      </c>
      <c r="O294" s="11">
        <v>1</v>
      </c>
      <c r="P294" s="4" t="s">
        <v>474</v>
      </c>
      <c r="Q294" s="4" t="s">
        <v>486</v>
      </c>
      <c r="R294" s="4" t="s">
        <v>462</v>
      </c>
      <c r="S294" s="11">
        <v>9</v>
      </c>
      <c r="T294" s="11">
        <v>3</v>
      </c>
    </row>
    <row r="295" spans="1:20" ht="12.75" customHeight="1">
      <c r="A295" s="4" t="s">
        <v>322</v>
      </c>
      <c r="B295" s="14" t="s">
        <v>494</v>
      </c>
      <c r="C295" s="6" t="s">
        <v>482</v>
      </c>
      <c r="D295" s="4">
        <v>19</v>
      </c>
      <c r="E295" s="4">
        <v>23.1</v>
      </c>
      <c r="F295" s="4">
        <v>5.7</v>
      </c>
      <c r="G295" s="4">
        <v>132</v>
      </c>
      <c r="H295" s="4">
        <f t="shared" si="4"/>
        <v>0.13200000000000001</v>
      </c>
      <c r="I295" s="8">
        <v>45245</v>
      </c>
      <c r="K295" s="4" t="s">
        <v>474</v>
      </c>
      <c r="L295" s="4" t="s">
        <v>475</v>
      </c>
      <c r="M295" s="4" t="s">
        <v>495</v>
      </c>
      <c r="N295" s="4" t="s">
        <v>477</v>
      </c>
      <c r="O295" s="11">
        <v>1</v>
      </c>
      <c r="P295" s="4" t="s">
        <v>474</v>
      </c>
      <c r="Q295" s="4" t="s">
        <v>486</v>
      </c>
      <c r="R295" s="4" t="s">
        <v>462</v>
      </c>
      <c r="S295" s="11">
        <v>9</v>
      </c>
      <c r="T295" s="11">
        <v>3</v>
      </c>
    </row>
    <row r="296" spans="1:20" ht="12.75" customHeight="1">
      <c r="A296" s="4" t="s">
        <v>323</v>
      </c>
      <c r="B296" s="14" t="s">
        <v>494</v>
      </c>
      <c r="C296" s="6" t="s">
        <v>473</v>
      </c>
      <c r="D296" s="4">
        <v>22.2</v>
      </c>
      <c r="E296" s="4">
        <v>28.1</v>
      </c>
      <c r="F296" s="4">
        <v>5.9</v>
      </c>
      <c r="G296" s="4">
        <v>182</v>
      </c>
      <c r="H296" s="4">
        <f t="shared" si="4"/>
        <v>0.182</v>
      </c>
      <c r="I296" s="8">
        <v>45245</v>
      </c>
      <c r="K296" s="4" t="s">
        <v>474</v>
      </c>
      <c r="L296" s="4" t="s">
        <v>475</v>
      </c>
      <c r="M296" s="4" t="s">
        <v>495</v>
      </c>
      <c r="N296" s="4" t="s">
        <v>477</v>
      </c>
      <c r="O296" s="11">
        <v>1</v>
      </c>
      <c r="P296" s="4" t="s">
        <v>474</v>
      </c>
      <c r="Q296" s="4" t="s">
        <v>486</v>
      </c>
      <c r="R296" s="4" t="s">
        <v>462</v>
      </c>
      <c r="S296" s="11">
        <v>9</v>
      </c>
      <c r="T296" s="11">
        <v>3</v>
      </c>
    </row>
    <row r="297" spans="1:20" ht="12.75" customHeight="1">
      <c r="A297" s="4" t="s">
        <v>324</v>
      </c>
      <c r="B297" s="14" t="s">
        <v>494</v>
      </c>
      <c r="C297" s="6" t="s">
        <v>480</v>
      </c>
      <c r="D297" s="4">
        <v>16.100000000000001</v>
      </c>
      <c r="E297" s="4">
        <v>19</v>
      </c>
      <c r="F297" s="4">
        <v>3.9</v>
      </c>
      <c r="G297" s="4">
        <v>85</v>
      </c>
      <c r="H297" s="4">
        <f t="shared" si="4"/>
        <v>8.5000000000000006E-2</v>
      </c>
      <c r="I297" s="8">
        <v>45245</v>
      </c>
      <c r="J297" s="4" t="s">
        <v>326</v>
      </c>
      <c r="K297" s="4" t="s">
        <v>474</v>
      </c>
      <c r="L297" s="4" t="s">
        <v>475</v>
      </c>
      <c r="M297" s="4" t="s">
        <v>495</v>
      </c>
      <c r="N297" s="4" t="s">
        <v>477</v>
      </c>
      <c r="O297" s="11">
        <v>1</v>
      </c>
      <c r="P297" s="4" t="s">
        <v>474</v>
      </c>
      <c r="Q297" s="4" t="s">
        <v>486</v>
      </c>
      <c r="R297" s="4" t="s">
        <v>462</v>
      </c>
      <c r="S297" s="11">
        <v>9</v>
      </c>
      <c r="T297" s="11">
        <v>3</v>
      </c>
    </row>
    <row r="298" spans="1:20" ht="12.75" customHeight="1">
      <c r="A298" s="4" t="s">
        <v>327</v>
      </c>
      <c r="B298" s="14" t="s">
        <v>494</v>
      </c>
      <c r="C298" s="6" t="s">
        <v>473</v>
      </c>
      <c r="D298" s="4">
        <v>21.7</v>
      </c>
      <c r="E298" s="4">
        <v>28.6</v>
      </c>
      <c r="F298" s="4">
        <v>5.0999999999999996</v>
      </c>
      <c r="G298" s="4">
        <v>144</v>
      </c>
      <c r="H298" s="4">
        <f t="shared" si="4"/>
        <v>0.14399999999999999</v>
      </c>
      <c r="I298" s="8">
        <v>45245</v>
      </c>
      <c r="K298" s="4" t="s">
        <v>474</v>
      </c>
      <c r="L298" s="4" t="s">
        <v>475</v>
      </c>
      <c r="M298" s="4" t="s">
        <v>495</v>
      </c>
      <c r="N298" s="4" t="s">
        <v>477</v>
      </c>
      <c r="O298" s="11">
        <v>1</v>
      </c>
      <c r="P298" s="4" t="s">
        <v>474</v>
      </c>
      <c r="Q298" s="4" t="s">
        <v>486</v>
      </c>
      <c r="R298" s="4" t="s">
        <v>462</v>
      </c>
      <c r="S298" s="11">
        <v>9</v>
      </c>
      <c r="T298" s="11">
        <v>3</v>
      </c>
    </row>
    <row r="299" spans="1:20" ht="12.75" customHeight="1">
      <c r="A299" s="4" t="s">
        <v>328</v>
      </c>
      <c r="B299" s="14" t="s">
        <v>494</v>
      </c>
      <c r="C299" s="6" t="s">
        <v>473</v>
      </c>
      <c r="D299" s="4">
        <v>20</v>
      </c>
      <c r="E299" s="4">
        <v>24.4</v>
      </c>
      <c r="F299" s="4">
        <v>4.5999999999999996</v>
      </c>
      <c r="G299" s="4">
        <v>121</v>
      </c>
      <c r="H299" s="4">
        <f t="shared" si="4"/>
        <v>0.121</v>
      </c>
      <c r="I299" s="8">
        <v>45245</v>
      </c>
      <c r="K299" s="4" t="s">
        <v>474</v>
      </c>
      <c r="L299" s="4" t="s">
        <v>475</v>
      </c>
      <c r="M299" s="4" t="s">
        <v>495</v>
      </c>
      <c r="N299" s="4" t="s">
        <v>477</v>
      </c>
      <c r="O299" s="11">
        <v>1</v>
      </c>
      <c r="P299" s="4" t="s">
        <v>474</v>
      </c>
      <c r="Q299" s="4" t="s">
        <v>486</v>
      </c>
      <c r="R299" s="4" t="s">
        <v>462</v>
      </c>
      <c r="S299" s="11">
        <v>9</v>
      </c>
      <c r="T299" s="11">
        <v>3</v>
      </c>
    </row>
    <row r="300" spans="1:20">
      <c r="A300" s="4" t="s">
        <v>329</v>
      </c>
      <c r="B300" s="9" t="s">
        <v>494</v>
      </c>
      <c r="C300" s="6" t="s">
        <v>479</v>
      </c>
      <c r="D300" s="7">
        <v>32.200000000000003</v>
      </c>
      <c r="E300" s="7">
        <v>41.5</v>
      </c>
      <c r="F300" s="7">
        <v>10</v>
      </c>
      <c r="G300" s="4">
        <v>502</v>
      </c>
      <c r="H300" s="4">
        <f t="shared" si="4"/>
        <v>0.502</v>
      </c>
      <c r="I300" s="8">
        <v>45245</v>
      </c>
      <c r="K300" s="5" t="s">
        <v>474</v>
      </c>
      <c r="L300" s="5" t="s">
        <v>475</v>
      </c>
      <c r="M300" s="5" t="s">
        <v>495</v>
      </c>
      <c r="N300" s="10" t="s">
        <v>477</v>
      </c>
      <c r="O300" s="11">
        <v>1</v>
      </c>
      <c r="P300" s="12" t="s">
        <v>474</v>
      </c>
      <c r="Q300" s="12" t="s">
        <v>486</v>
      </c>
      <c r="R300" s="12" t="s">
        <v>462</v>
      </c>
      <c r="S300" s="11">
        <v>9</v>
      </c>
      <c r="T300" s="11">
        <v>3</v>
      </c>
    </row>
    <row r="301" spans="1:20">
      <c r="A301" s="4" t="s">
        <v>330</v>
      </c>
      <c r="B301" s="9" t="s">
        <v>494</v>
      </c>
      <c r="C301" s="6" t="s">
        <v>479</v>
      </c>
      <c r="D301" s="7">
        <v>43.1</v>
      </c>
      <c r="E301" s="7">
        <v>56.8</v>
      </c>
      <c r="F301" s="7">
        <v>14.1</v>
      </c>
      <c r="G301" s="4">
        <v>1466</v>
      </c>
      <c r="H301" s="4">
        <f t="shared" si="4"/>
        <v>1.466</v>
      </c>
      <c r="I301" s="8">
        <v>45245</v>
      </c>
      <c r="K301" s="5" t="s">
        <v>474</v>
      </c>
      <c r="L301" s="5" t="s">
        <v>475</v>
      </c>
      <c r="M301" s="5" t="s">
        <v>495</v>
      </c>
      <c r="N301" s="10" t="s">
        <v>477</v>
      </c>
      <c r="O301" s="11">
        <v>1</v>
      </c>
      <c r="P301" s="12" t="s">
        <v>474</v>
      </c>
      <c r="Q301" s="12" t="s">
        <v>486</v>
      </c>
      <c r="R301" s="12" t="s">
        <v>462</v>
      </c>
      <c r="S301" s="11">
        <v>9</v>
      </c>
      <c r="T301" s="11">
        <v>3</v>
      </c>
    </row>
    <row r="302" spans="1:20">
      <c r="A302" s="4" t="s">
        <v>331</v>
      </c>
      <c r="B302" s="9" t="s">
        <v>494</v>
      </c>
      <c r="C302" s="6" t="s">
        <v>479</v>
      </c>
      <c r="D302" s="7">
        <v>40.700000000000003</v>
      </c>
      <c r="E302" s="7">
        <v>51.2</v>
      </c>
      <c r="F302" s="7">
        <v>12.1</v>
      </c>
      <c r="G302" s="4">
        <v>924</v>
      </c>
      <c r="H302" s="4">
        <f t="shared" si="4"/>
        <v>0.92400000000000004</v>
      </c>
      <c r="I302" s="8">
        <v>45245</v>
      </c>
      <c r="K302" s="5" t="s">
        <v>474</v>
      </c>
      <c r="L302" s="5" t="s">
        <v>475</v>
      </c>
      <c r="M302" s="5" t="s">
        <v>495</v>
      </c>
      <c r="N302" s="10" t="s">
        <v>477</v>
      </c>
      <c r="O302" s="11">
        <v>1</v>
      </c>
      <c r="P302" s="12" t="s">
        <v>474</v>
      </c>
      <c r="Q302" s="12" t="s">
        <v>486</v>
      </c>
      <c r="R302" s="12" t="s">
        <v>462</v>
      </c>
      <c r="S302" s="11">
        <v>9</v>
      </c>
      <c r="T302" s="11">
        <v>3</v>
      </c>
    </row>
    <row r="303" spans="1:20">
      <c r="A303" s="4" t="s">
        <v>332</v>
      </c>
      <c r="B303" s="9" t="s">
        <v>494</v>
      </c>
      <c r="C303" s="6" t="s">
        <v>480</v>
      </c>
      <c r="D303" s="7">
        <v>39.299999999999997</v>
      </c>
      <c r="E303" s="7">
        <v>51.5</v>
      </c>
      <c r="F303" s="7">
        <v>14.5</v>
      </c>
      <c r="G303" s="4">
        <v>1280</v>
      </c>
      <c r="H303" s="13">
        <f t="shared" si="4"/>
        <v>1.28</v>
      </c>
      <c r="I303" s="8">
        <v>45245</v>
      </c>
      <c r="K303" s="5" t="s">
        <v>474</v>
      </c>
      <c r="L303" s="5" t="s">
        <v>475</v>
      </c>
      <c r="M303" s="5" t="s">
        <v>495</v>
      </c>
      <c r="N303" s="10" t="s">
        <v>477</v>
      </c>
      <c r="O303" s="11">
        <v>1</v>
      </c>
      <c r="P303" s="12" t="s">
        <v>474</v>
      </c>
      <c r="Q303" s="12" t="s">
        <v>486</v>
      </c>
      <c r="R303" s="12" t="s">
        <v>462</v>
      </c>
      <c r="S303" s="11">
        <v>9</v>
      </c>
      <c r="T303" s="11">
        <v>3</v>
      </c>
    </row>
    <row r="304" spans="1:20">
      <c r="A304" s="4" t="s">
        <v>333</v>
      </c>
      <c r="B304" s="9" t="s">
        <v>494</v>
      </c>
      <c r="C304" s="6" t="s">
        <v>479</v>
      </c>
      <c r="D304" s="7">
        <v>42.5</v>
      </c>
      <c r="E304" s="7">
        <v>52.1</v>
      </c>
      <c r="F304" s="7">
        <v>13.1</v>
      </c>
      <c r="G304" s="4">
        <v>1029</v>
      </c>
      <c r="H304" s="4">
        <f t="shared" si="4"/>
        <v>1.0289999999999999</v>
      </c>
      <c r="I304" s="8">
        <v>45245</v>
      </c>
      <c r="K304" s="5" t="s">
        <v>474</v>
      </c>
      <c r="L304" s="5" t="s">
        <v>475</v>
      </c>
      <c r="M304" s="5" t="s">
        <v>495</v>
      </c>
      <c r="N304" s="10" t="s">
        <v>477</v>
      </c>
      <c r="O304" s="11">
        <v>1</v>
      </c>
      <c r="P304" s="12" t="s">
        <v>474</v>
      </c>
      <c r="Q304" s="12" t="s">
        <v>486</v>
      </c>
      <c r="R304" s="12" t="s">
        <v>462</v>
      </c>
      <c r="S304" s="11">
        <v>9</v>
      </c>
      <c r="T304" s="11">
        <v>3</v>
      </c>
    </row>
    <row r="305" spans="1:20">
      <c r="A305" s="4" t="s">
        <v>334</v>
      </c>
      <c r="B305" s="9" t="s">
        <v>494</v>
      </c>
      <c r="C305" s="6" t="s">
        <v>479</v>
      </c>
      <c r="D305" s="7">
        <v>27.9</v>
      </c>
      <c r="E305" s="7">
        <v>37.5</v>
      </c>
      <c r="F305" s="7">
        <v>10.4</v>
      </c>
      <c r="G305" s="4">
        <v>530</v>
      </c>
      <c r="H305" s="13">
        <f t="shared" si="4"/>
        <v>0.53</v>
      </c>
      <c r="I305" s="8">
        <v>45245</v>
      </c>
      <c r="K305" s="5" t="s">
        <v>474</v>
      </c>
      <c r="L305" s="5" t="s">
        <v>475</v>
      </c>
      <c r="M305" s="5" t="s">
        <v>495</v>
      </c>
      <c r="N305" s="10" t="s">
        <v>477</v>
      </c>
      <c r="O305" s="11">
        <v>1</v>
      </c>
      <c r="P305" s="12" t="s">
        <v>474</v>
      </c>
      <c r="Q305" s="12" t="s">
        <v>486</v>
      </c>
      <c r="R305" s="12" t="s">
        <v>462</v>
      </c>
      <c r="S305" s="11">
        <v>9</v>
      </c>
      <c r="T305" s="11">
        <v>3</v>
      </c>
    </row>
    <row r="306" spans="1:20">
      <c r="A306" s="4" t="s">
        <v>335</v>
      </c>
      <c r="B306" s="9" t="s">
        <v>494</v>
      </c>
      <c r="C306" s="6" t="s">
        <v>479</v>
      </c>
      <c r="D306" s="7">
        <v>40.6</v>
      </c>
      <c r="E306" s="7">
        <v>51</v>
      </c>
      <c r="F306" s="7">
        <v>12.6</v>
      </c>
      <c r="G306" s="4">
        <v>1206</v>
      </c>
      <c r="H306" s="4">
        <f t="shared" si="4"/>
        <v>1.206</v>
      </c>
      <c r="I306" s="8">
        <v>45245</v>
      </c>
      <c r="K306" s="5" t="s">
        <v>474</v>
      </c>
      <c r="L306" s="5" t="s">
        <v>475</v>
      </c>
      <c r="M306" s="5" t="s">
        <v>495</v>
      </c>
      <c r="N306" s="10" t="s">
        <v>477</v>
      </c>
      <c r="O306" s="11">
        <v>1</v>
      </c>
      <c r="P306" s="12" t="s">
        <v>474</v>
      </c>
      <c r="Q306" s="12" t="s">
        <v>486</v>
      </c>
      <c r="R306" s="12" t="s">
        <v>462</v>
      </c>
      <c r="S306" s="11">
        <v>9</v>
      </c>
      <c r="T306" s="11">
        <v>3</v>
      </c>
    </row>
    <row r="307" spans="1:20">
      <c r="A307" s="4" t="s">
        <v>336</v>
      </c>
      <c r="B307" s="9" t="s">
        <v>494</v>
      </c>
      <c r="C307" s="6" t="s">
        <v>479</v>
      </c>
      <c r="D307" s="7">
        <v>38.299999999999997</v>
      </c>
      <c r="E307" s="7">
        <v>47.4</v>
      </c>
      <c r="F307" s="7">
        <v>11.4</v>
      </c>
      <c r="G307" s="4">
        <v>794</v>
      </c>
      <c r="H307" s="4">
        <f t="shared" si="4"/>
        <v>0.79400000000000004</v>
      </c>
      <c r="I307" s="8">
        <v>45245</v>
      </c>
      <c r="K307" s="5" t="s">
        <v>474</v>
      </c>
      <c r="L307" s="5" t="s">
        <v>475</v>
      </c>
      <c r="M307" s="5" t="s">
        <v>495</v>
      </c>
      <c r="N307" s="10" t="s">
        <v>477</v>
      </c>
      <c r="O307" s="11">
        <v>1</v>
      </c>
      <c r="P307" s="12" t="s">
        <v>474</v>
      </c>
      <c r="Q307" s="12" t="s">
        <v>486</v>
      </c>
      <c r="R307" s="12" t="s">
        <v>462</v>
      </c>
      <c r="S307" s="11">
        <v>9</v>
      </c>
      <c r="T307" s="11">
        <v>3</v>
      </c>
    </row>
    <row r="308" spans="1:20">
      <c r="A308" s="4" t="s">
        <v>337</v>
      </c>
      <c r="B308" s="9" t="s">
        <v>494</v>
      </c>
      <c r="C308" s="6" t="s">
        <v>479</v>
      </c>
      <c r="D308" s="7">
        <v>29.6</v>
      </c>
      <c r="E308" s="7">
        <v>38.4</v>
      </c>
      <c r="F308" s="7">
        <v>8.5</v>
      </c>
      <c r="G308" s="4">
        <v>399</v>
      </c>
      <c r="H308" s="4">
        <f t="shared" si="4"/>
        <v>0.39900000000000002</v>
      </c>
      <c r="I308" s="8">
        <v>45245</v>
      </c>
      <c r="K308" s="5" t="s">
        <v>474</v>
      </c>
      <c r="L308" s="5" t="s">
        <v>475</v>
      </c>
      <c r="M308" s="5" t="s">
        <v>495</v>
      </c>
      <c r="N308" s="10" t="s">
        <v>477</v>
      </c>
      <c r="O308" s="11">
        <v>1</v>
      </c>
      <c r="P308" s="12" t="s">
        <v>474</v>
      </c>
      <c r="Q308" s="12" t="s">
        <v>486</v>
      </c>
      <c r="R308" s="12" t="s">
        <v>462</v>
      </c>
      <c r="S308" s="11">
        <v>9</v>
      </c>
      <c r="T308" s="11">
        <v>3</v>
      </c>
    </row>
    <row r="309" spans="1:20">
      <c r="A309" s="4" t="s">
        <v>338</v>
      </c>
      <c r="B309" s="9" t="s">
        <v>494</v>
      </c>
      <c r="C309" s="6" t="s">
        <v>482</v>
      </c>
      <c r="D309" s="7">
        <v>30.7</v>
      </c>
      <c r="E309" s="7">
        <v>39.9</v>
      </c>
      <c r="F309" s="7">
        <v>9.8000000000000007</v>
      </c>
      <c r="G309" s="4">
        <v>447</v>
      </c>
      <c r="H309" s="4">
        <f t="shared" si="4"/>
        <v>0.44700000000000001</v>
      </c>
      <c r="I309" s="8">
        <v>45245</v>
      </c>
      <c r="K309" s="5" t="s">
        <v>474</v>
      </c>
      <c r="L309" s="5" t="s">
        <v>475</v>
      </c>
      <c r="M309" s="5" t="s">
        <v>495</v>
      </c>
      <c r="N309" s="10" t="s">
        <v>477</v>
      </c>
      <c r="O309" s="11">
        <v>1</v>
      </c>
      <c r="P309" s="12" t="s">
        <v>474</v>
      </c>
      <c r="Q309" s="12" t="s">
        <v>486</v>
      </c>
      <c r="R309" s="12" t="s">
        <v>462</v>
      </c>
      <c r="S309" s="11">
        <v>9</v>
      </c>
      <c r="T309" s="11">
        <v>3</v>
      </c>
    </row>
    <row r="310" spans="1:20">
      <c r="A310" s="4" t="s">
        <v>339</v>
      </c>
      <c r="B310" s="9" t="s">
        <v>494</v>
      </c>
      <c r="C310" s="6" t="s">
        <v>482</v>
      </c>
      <c r="D310" s="7">
        <v>30</v>
      </c>
      <c r="E310" s="7">
        <v>38.6</v>
      </c>
      <c r="F310" s="7">
        <v>10.4</v>
      </c>
      <c r="G310" s="4">
        <v>457</v>
      </c>
      <c r="H310" s="4">
        <f t="shared" si="4"/>
        <v>0.45700000000000002</v>
      </c>
      <c r="I310" s="8">
        <v>45245</v>
      </c>
      <c r="K310" s="5" t="s">
        <v>474</v>
      </c>
      <c r="L310" s="5" t="s">
        <v>475</v>
      </c>
      <c r="M310" s="5" t="s">
        <v>495</v>
      </c>
      <c r="N310" s="10" t="s">
        <v>477</v>
      </c>
      <c r="O310" s="11">
        <v>1</v>
      </c>
      <c r="P310" s="12" t="s">
        <v>474</v>
      </c>
      <c r="Q310" s="12" t="s">
        <v>486</v>
      </c>
      <c r="R310" s="12" t="s">
        <v>462</v>
      </c>
      <c r="S310" s="11">
        <v>9</v>
      </c>
      <c r="T310" s="11">
        <v>3</v>
      </c>
    </row>
    <row r="311" spans="1:20">
      <c r="A311" s="4" t="s">
        <v>340</v>
      </c>
      <c r="B311" s="9" t="s">
        <v>494</v>
      </c>
      <c r="C311" s="6" t="s">
        <v>482</v>
      </c>
      <c r="D311" s="7">
        <v>26.4</v>
      </c>
      <c r="E311" s="7">
        <v>35.299999999999997</v>
      </c>
      <c r="F311" s="7">
        <v>9.1</v>
      </c>
      <c r="G311" s="4">
        <v>303</v>
      </c>
      <c r="H311" s="4">
        <f t="shared" si="4"/>
        <v>0.30299999999999999</v>
      </c>
      <c r="I311" s="8">
        <v>45245</v>
      </c>
      <c r="K311" s="5" t="s">
        <v>474</v>
      </c>
      <c r="L311" s="5" t="s">
        <v>475</v>
      </c>
      <c r="M311" s="5" t="s">
        <v>495</v>
      </c>
      <c r="N311" s="10" t="s">
        <v>477</v>
      </c>
      <c r="O311" s="11">
        <v>1</v>
      </c>
      <c r="P311" s="12" t="s">
        <v>474</v>
      </c>
      <c r="Q311" s="12" t="s">
        <v>486</v>
      </c>
      <c r="R311" s="12" t="s">
        <v>462</v>
      </c>
      <c r="S311" s="11">
        <v>9</v>
      </c>
      <c r="T311" s="11">
        <v>3</v>
      </c>
    </row>
    <row r="312" spans="1:20">
      <c r="A312" s="4" t="s">
        <v>341</v>
      </c>
      <c r="B312" s="9" t="s">
        <v>494</v>
      </c>
      <c r="C312" s="6" t="s">
        <v>479</v>
      </c>
      <c r="D312" s="7">
        <v>35.1</v>
      </c>
      <c r="E312" s="7">
        <v>44.6</v>
      </c>
      <c r="F312" s="7">
        <v>10.5</v>
      </c>
      <c r="G312" s="4">
        <v>539</v>
      </c>
      <c r="H312" s="4">
        <f t="shared" si="4"/>
        <v>0.53900000000000003</v>
      </c>
      <c r="I312" s="8">
        <v>45245</v>
      </c>
      <c r="K312" s="5" t="s">
        <v>474</v>
      </c>
      <c r="L312" s="5" t="s">
        <v>475</v>
      </c>
      <c r="M312" s="5" t="s">
        <v>495</v>
      </c>
      <c r="N312" s="10" t="s">
        <v>477</v>
      </c>
      <c r="O312" s="11">
        <v>1</v>
      </c>
      <c r="P312" s="12" t="s">
        <v>474</v>
      </c>
      <c r="Q312" s="12" t="s">
        <v>486</v>
      </c>
      <c r="R312" s="12" t="s">
        <v>462</v>
      </c>
      <c r="S312" s="11">
        <v>9</v>
      </c>
      <c r="T312" s="11">
        <v>3</v>
      </c>
    </row>
    <row r="313" spans="1:20">
      <c r="A313" s="28" t="s">
        <v>499</v>
      </c>
      <c r="B313" s="29" t="s">
        <v>491</v>
      </c>
      <c r="C313" s="6" t="s">
        <v>493</v>
      </c>
      <c r="D313" s="7">
        <v>27</v>
      </c>
      <c r="E313" s="7">
        <v>34.799999999999997</v>
      </c>
      <c r="F313" s="7">
        <v>6.9</v>
      </c>
      <c r="G313" s="4">
        <v>241</v>
      </c>
      <c r="H313" s="4">
        <f t="shared" si="4"/>
        <v>0.24099999999999999</v>
      </c>
      <c r="I313" s="8">
        <v>45245</v>
      </c>
      <c r="J313" s="4" t="s">
        <v>500</v>
      </c>
      <c r="K313" s="5" t="s">
        <v>474</v>
      </c>
      <c r="L313" s="5" t="s">
        <v>475</v>
      </c>
      <c r="M313" s="5" t="s">
        <v>495</v>
      </c>
      <c r="N313" s="10" t="s">
        <v>477</v>
      </c>
      <c r="O313" s="11">
        <v>1</v>
      </c>
      <c r="P313" s="12" t="s">
        <v>474</v>
      </c>
      <c r="Q313" s="12" t="s">
        <v>486</v>
      </c>
      <c r="R313" s="12" t="s">
        <v>462</v>
      </c>
      <c r="S313" s="30">
        <v>8</v>
      </c>
      <c r="T313" s="30">
        <v>4</v>
      </c>
    </row>
    <row r="314" spans="1:20">
      <c r="A314" s="4" t="s">
        <v>343</v>
      </c>
      <c r="B314" s="9" t="s">
        <v>494</v>
      </c>
      <c r="C314" s="6" t="s">
        <v>479</v>
      </c>
      <c r="D314" s="7">
        <v>26.4</v>
      </c>
      <c r="E314" s="7">
        <v>33.299999999999997</v>
      </c>
      <c r="F314" s="7">
        <v>8.8000000000000007</v>
      </c>
      <c r="G314" s="4">
        <v>294</v>
      </c>
      <c r="H314" s="4">
        <f t="shared" si="4"/>
        <v>0.29399999999999998</v>
      </c>
      <c r="I314" s="8">
        <v>45245</v>
      </c>
      <c r="K314" s="5" t="s">
        <v>474</v>
      </c>
      <c r="L314" s="5" t="s">
        <v>475</v>
      </c>
      <c r="M314" s="5" t="s">
        <v>495</v>
      </c>
      <c r="N314" s="10" t="s">
        <v>477</v>
      </c>
      <c r="O314" s="11">
        <v>1</v>
      </c>
      <c r="P314" s="12" t="s">
        <v>474</v>
      </c>
      <c r="Q314" s="12" t="s">
        <v>486</v>
      </c>
      <c r="R314" s="12" t="s">
        <v>462</v>
      </c>
      <c r="S314" s="11">
        <v>9</v>
      </c>
      <c r="T314" s="11">
        <v>3</v>
      </c>
    </row>
    <row r="315" spans="1:20" ht="12.75" customHeight="1">
      <c r="A315" s="4" t="s">
        <v>344</v>
      </c>
      <c r="B315" s="14" t="s">
        <v>494</v>
      </c>
      <c r="C315" s="6" t="s">
        <v>479</v>
      </c>
      <c r="D315" s="4">
        <v>24.7</v>
      </c>
      <c r="E315" s="4">
        <v>31.9</v>
      </c>
      <c r="F315" s="4">
        <v>6.5</v>
      </c>
      <c r="G315" s="4">
        <v>266</v>
      </c>
      <c r="H315" s="4">
        <f t="shared" si="4"/>
        <v>0.26600000000000001</v>
      </c>
      <c r="I315" s="8">
        <v>45245</v>
      </c>
      <c r="K315" s="4" t="s">
        <v>474</v>
      </c>
      <c r="L315" s="4" t="s">
        <v>475</v>
      </c>
      <c r="M315" s="4" t="s">
        <v>495</v>
      </c>
      <c r="N315" s="4" t="s">
        <v>477</v>
      </c>
      <c r="O315" s="11">
        <v>1</v>
      </c>
      <c r="P315" s="4" t="s">
        <v>474</v>
      </c>
      <c r="Q315" s="4" t="s">
        <v>486</v>
      </c>
      <c r="R315" s="4" t="s">
        <v>462</v>
      </c>
      <c r="S315" s="11">
        <v>9</v>
      </c>
      <c r="T315" s="11">
        <v>3</v>
      </c>
    </row>
    <row r="316" spans="1:20" ht="12.75" customHeight="1">
      <c r="A316" s="4" t="s">
        <v>345</v>
      </c>
      <c r="B316" s="14" t="s">
        <v>494</v>
      </c>
      <c r="C316" s="6" t="s">
        <v>479</v>
      </c>
      <c r="D316" s="4">
        <v>20.6</v>
      </c>
      <c r="E316" s="4">
        <v>23.6</v>
      </c>
      <c r="F316" s="4">
        <v>5.8</v>
      </c>
      <c r="G316" s="4">
        <v>154</v>
      </c>
      <c r="H316" s="4">
        <f t="shared" si="4"/>
        <v>0.154</v>
      </c>
      <c r="I316" s="8">
        <v>45245</v>
      </c>
      <c r="K316" s="4" t="s">
        <v>474</v>
      </c>
      <c r="L316" s="4" t="s">
        <v>475</v>
      </c>
      <c r="M316" s="4" t="s">
        <v>495</v>
      </c>
      <c r="N316" s="4" t="s">
        <v>477</v>
      </c>
      <c r="O316" s="11">
        <v>1</v>
      </c>
      <c r="P316" s="4" t="s">
        <v>474</v>
      </c>
      <c r="Q316" s="4" t="s">
        <v>486</v>
      </c>
      <c r="R316" s="4" t="s">
        <v>462</v>
      </c>
      <c r="S316" s="11">
        <v>9</v>
      </c>
      <c r="T316" s="11">
        <v>3</v>
      </c>
    </row>
    <row r="317" spans="1:20" ht="12.75" customHeight="1">
      <c r="A317" s="4" t="s">
        <v>346</v>
      </c>
      <c r="B317" s="14" t="s">
        <v>494</v>
      </c>
      <c r="C317" s="6" t="s">
        <v>493</v>
      </c>
      <c r="D317" s="4">
        <v>14.4</v>
      </c>
      <c r="E317" s="4">
        <v>16.600000000000001</v>
      </c>
      <c r="F317" s="4">
        <v>4.2</v>
      </c>
      <c r="G317" s="4">
        <v>52</v>
      </c>
      <c r="H317" s="4">
        <f t="shared" si="4"/>
        <v>5.1999999999999998E-2</v>
      </c>
      <c r="I317" s="8">
        <v>45245</v>
      </c>
      <c r="K317" s="4" t="s">
        <v>474</v>
      </c>
      <c r="L317" s="4" t="s">
        <v>475</v>
      </c>
      <c r="M317" s="4" t="s">
        <v>495</v>
      </c>
      <c r="N317" s="4" t="s">
        <v>477</v>
      </c>
      <c r="O317" s="11">
        <v>1</v>
      </c>
      <c r="P317" s="4" t="s">
        <v>474</v>
      </c>
      <c r="Q317" s="4" t="s">
        <v>486</v>
      </c>
      <c r="R317" s="4" t="s">
        <v>462</v>
      </c>
      <c r="S317" s="11">
        <v>9</v>
      </c>
      <c r="T317" s="11">
        <v>3</v>
      </c>
    </row>
    <row r="318" spans="1:20">
      <c r="A318" s="4" t="s">
        <v>347</v>
      </c>
      <c r="B318" s="9" t="s">
        <v>472</v>
      </c>
      <c r="C318" s="6" t="s">
        <v>480</v>
      </c>
      <c r="D318" s="7">
        <v>37.5</v>
      </c>
      <c r="E318" s="7">
        <v>49.8</v>
      </c>
      <c r="F318" s="7">
        <v>14.4</v>
      </c>
      <c r="G318" s="4">
        <v>1361</v>
      </c>
      <c r="H318" s="4">
        <f t="shared" si="4"/>
        <v>1.361</v>
      </c>
      <c r="I318" s="8">
        <v>45245</v>
      </c>
      <c r="K318" s="5" t="s">
        <v>474</v>
      </c>
      <c r="L318" s="5" t="s">
        <v>475</v>
      </c>
      <c r="M318" s="5" t="s">
        <v>476</v>
      </c>
      <c r="N318" s="10" t="s">
        <v>477</v>
      </c>
      <c r="O318" s="11">
        <v>1</v>
      </c>
      <c r="P318" s="12" t="s">
        <v>474</v>
      </c>
      <c r="Q318" s="12" t="s">
        <v>478</v>
      </c>
      <c r="R318" s="12" t="s">
        <v>462</v>
      </c>
      <c r="S318" s="11">
        <v>10</v>
      </c>
      <c r="T318" s="11">
        <v>4</v>
      </c>
    </row>
    <row r="319" spans="1:20">
      <c r="A319" s="4" t="s">
        <v>348</v>
      </c>
      <c r="B319" s="9" t="s">
        <v>472</v>
      </c>
      <c r="C319" s="6" t="s">
        <v>479</v>
      </c>
      <c r="D319" s="7">
        <v>37.6</v>
      </c>
      <c r="E319" s="7">
        <v>48.2</v>
      </c>
      <c r="F319" s="7">
        <v>11.2</v>
      </c>
      <c r="G319" s="4">
        <v>959</v>
      </c>
      <c r="H319" s="4">
        <f t="shared" si="4"/>
        <v>0.95899999999999996</v>
      </c>
      <c r="I319" s="8">
        <v>45245</v>
      </c>
      <c r="K319" s="5" t="s">
        <v>474</v>
      </c>
      <c r="L319" s="5" t="s">
        <v>475</v>
      </c>
      <c r="M319" s="5" t="s">
        <v>476</v>
      </c>
      <c r="N319" s="10" t="s">
        <v>477</v>
      </c>
      <c r="O319" s="11">
        <v>1</v>
      </c>
      <c r="P319" s="12" t="s">
        <v>474</v>
      </c>
      <c r="Q319" s="12" t="s">
        <v>478</v>
      </c>
      <c r="R319" s="12" t="s">
        <v>462</v>
      </c>
      <c r="S319" s="11">
        <v>10</v>
      </c>
      <c r="T319" s="11">
        <v>4</v>
      </c>
    </row>
    <row r="320" spans="1:20">
      <c r="A320" s="4" t="s">
        <v>349</v>
      </c>
      <c r="B320" s="9" t="s">
        <v>472</v>
      </c>
      <c r="C320" s="6" t="s">
        <v>479</v>
      </c>
      <c r="D320" s="7">
        <v>39.299999999999997</v>
      </c>
      <c r="E320" s="7">
        <v>49.5</v>
      </c>
      <c r="F320" s="7">
        <v>11.4</v>
      </c>
      <c r="G320" s="4">
        <v>1041</v>
      </c>
      <c r="H320" s="4">
        <f t="shared" si="4"/>
        <v>1.0409999999999999</v>
      </c>
      <c r="I320" s="8">
        <v>45245</v>
      </c>
      <c r="K320" s="5" t="s">
        <v>474</v>
      </c>
      <c r="L320" s="5" t="s">
        <v>475</v>
      </c>
      <c r="M320" s="5" t="s">
        <v>476</v>
      </c>
      <c r="N320" s="10" t="s">
        <v>477</v>
      </c>
      <c r="O320" s="11">
        <v>1</v>
      </c>
      <c r="P320" s="12" t="s">
        <v>474</v>
      </c>
      <c r="Q320" s="12" t="s">
        <v>478</v>
      </c>
      <c r="R320" s="12" t="s">
        <v>462</v>
      </c>
      <c r="S320" s="11">
        <v>10</v>
      </c>
      <c r="T320" s="11">
        <v>4</v>
      </c>
    </row>
    <row r="321" spans="1:20">
      <c r="A321" s="4" t="s">
        <v>350</v>
      </c>
      <c r="B321" s="9" t="s">
        <v>472</v>
      </c>
      <c r="C321" s="6" t="s">
        <v>479</v>
      </c>
      <c r="D321" s="7">
        <v>39.200000000000003</v>
      </c>
      <c r="E321" s="7">
        <v>49.9</v>
      </c>
      <c r="F321" s="7">
        <v>11.6</v>
      </c>
      <c r="G321" s="4">
        <v>1143</v>
      </c>
      <c r="H321" s="4">
        <f t="shared" si="4"/>
        <v>1.143</v>
      </c>
      <c r="I321" s="8">
        <v>45245</v>
      </c>
      <c r="K321" s="5" t="s">
        <v>474</v>
      </c>
      <c r="L321" s="5" t="s">
        <v>475</v>
      </c>
      <c r="M321" s="5" t="s">
        <v>476</v>
      </c>
      <c r="N321" s="10" t="s">
        <v>477</v>
      </c>
      <c r="O321" s="11">
        <v>1</v>
      </c>
      <c r="P321" s="12" t="s">
        <v>474</v>
      </c>
      <c r="Q321" s="12" t="s">
        <v>478</v>
      </c>
      <c r="R321" s="12" t="s">
        <v>462</v>
      </c>
      <c r="S321" s="11">
        <v>10</v>
      </c>
      <c r="T321" s="11">
        <v>4</v>
      </c>
    </row>
    <row r="322" spans="1:20">
      <c r="A322" s="4" t="s">
        <v>351</v>
      </c>
      <c r="B322" s="9" t="s">
        <v>472</v>
      </c>
      <c r="C322" s="6" t="s">
        <v>493</v>
      </c>
      <c r="D322" s="7">
        <v>22.9</v>
      </c>
      <c r="E322" s="7">
        <v>28.6</v>
      </c>
      <c r="F322" s="7">
        <v>6.5</v>
      </c>
      <c r="G322" s="4">
        <v>186</v>
      </c>
      <c r="H322" s="4">
        <f t="shared" si="4"/>
        <v>0.186</v>
      </c>
      <c r="I322" s="8">
        <v>45245</v>
      </c>
      <c r="K322" s="5" t="s">
        <v>474</v>
      </c>
      <c r="L322" s="5" t="s">
        <v>475</v>
      </c>
      <c r="M322" s="5" t="s">
        <v>476</v>
      </c>
      <c r="N322" s="10" t="s">
        <v>477</v>
      </c>
      <c r="O322" s="11">
        <v>1</v>
      </c>
      <c r="P322" s="12" t="s">
        <v>474</v>
      </c>
      <c r="Q322" s="12" t="s">
        <v>478</v>
      </c>
      <c r="R322" s="12" t="s">
        <v>462</v>
      </c>
      <c r="S322" s="11">
        <v>10</v>
      </c>
      <c r="T322" s="11">
        <v>4</v>
      </c>
    </row>
    <row r="323" spans="1:20">
      <c r="A323" s="4" t="s">
        <v>352</v>
      </c>
      <c r="B323" s="9" t="s">
        <v>472</v>
      </c>
      <c r="C323" s="6" t="s">
        <v>479</v>
      </c>
      <c r="D323" s="7">
        <v>32.4</v>
      </c>
      <c r="E323" s="7">
        <v>42.8</v>
      </c>
      <c r="F323" s="7">
        <v>9.3000000000000007</v>
      </c>
      <c r="G323" s="4">
        <v>587</v>
      </c>
      <c r="H323" s="4">
        <f t="shared" ref="H323:H386" si="5">G323/1000</f>
        <v>0.58699999999999997</v>
      </c>
      <c r="I323" s="8">
        <v>45245</v>
      </c>
      <c r="K323" s="5" t="s">
        <v>474</v>
      </c>
      <c r="L323" s="5" t="s">
        <v>475</v>
      </c>
      <c r="M323" s="5" t="s">
        <v>476</v>
      </c>
      <c r="N323" s="10" t="s">
        <v>477</v>
      </c>
      <c r="O323" s="11">
        <v>1</v>
      </c>
      <c r="P323" s="12" t="s">
        <v>474</v>
      </c>
      <c r="Q323" s="12" t="s">
        <v>478</v>
      </c>
      <c r="R323" s="12" t="s">
        <v>462</v>
      </c>
      <c r="S323" s="11">
        <v>10</v>
      </c>
      <c r="T323" s="11">
        <v>4</v>
      </c>
    </row>
    <row r="324" spans="1:20">
      <c r="A324" s="4" t="s">
        <v>353</v>
      </c>
      <c r="B324" s="9" t="s">
        <v>472</v>
      </c>
      <c r="C324" s="6" t="s">
        <v>493</v>
      </c>
      <c r="D324" s="7">
        <v>24.7</v>
      </c>
      <c r="E324" s="7">
        <v>30.1</v>
      </c>
      <c r="F324" s="7">
        <v>7.4</v>
      </c>
      <c r="G324" s="4">
        <v>244</v>
      </c>
      <c r="H324" s="4">
        <f t="shared" si="5"/>
        <v>0.24399999999999999</v>
      </c>
      <c r="I324" s="8">
        <v>45245</v>
      </c>
      <c r="K324" s="5" t="s">
        <v>474</v>
      </c>
      <c r="L324" s="5" t="s">
        <v>475</v>
      </c>
      <c r="M324" s="5" t="s">
        <v>476</v>
      </c>
      <c r="N324" s="10" t="s">
        <v>477</v>
      </c>
      <c r="O324" s="11">
        <v>1</v>
      </c>
      <c r="P324" s="12" t="s">
        <v>474</v>
      </c>
      <c r="Q324" s="12" t="s">
        <v>478</v>
      </c>
      <c r="R324" s="12" t="s">
        <v>462</v>
      </c>
      <c r="S324" s="11">
        <v>10</v>
      </c>
      <c r="T324" s="11">
        <v>4</v>
      </c>
    </row>
    <row r="325" spans="1:20">
      <c r="A325" s="4" t="s">
        <v>354</v>
      </c>
      <c r="B325" s="9" t="s">
        <v>472</v>
      </c>
      <c r="C325" s="6" t="s">
        <v>480</v>
      </c>
      <c r="D325" s="7">
        <v>34.6</v>
      </c>
      <c r="E325" s="7">
        <v>46.4</v>
      </c>
      <c r="F325" s="7">
        <v>11.7</v>
      </c>
      <c r="G325" s="4">
        <v>869</v>
      </c>
      <c r="H325" s="4">
        <f t="shared" si="5"/>
        <v>0.86899999999999999</v>
      </c>
      <c r="I325" s="8">
        <v>45245</v>
      </c>
      <c r="K325" s="5" t="s">
        <v>474</v>
      </c>
      <c r="L325" s="5" t="s">
        <v>475</v>
      </c>
      <c r="M325" s="5" t="s">
        <v>476</v>
      </c>
      <c r="N325" s="10" t="s">
        <v>477</v>
      </c>
      <c r="O325" s="11">
        <v>1</v>
      </c>
      <c r="P325" s="12" t="s">
        <v>474</v>
      </c>
      <c r="Q325" s="12" t="s">
        <v>478</v>
      </c>
      <c r="R325" s="12" t="s">
        <v>462</v>
      </c>
      <c r="S325" s="11">
        <v>10</v>
      </c>
      <c r="T325" s="11">
        <v>4</v>
      </c>
    </row>
    <row r="326" spans="1:20">
      <c r="A326" s="4" t="s">
        <v>355</v>
      </c>
      <c r="B326" s="9" t="s">
        <v>472</v>
      </c>
      <c r="C326" s="6" t="s">
        <v>493</v>
      </c>
      <c r="D326" s="7">
        <v>21.4</v>
      </c>
      <c r="E326" s="7">
        <v>29.4</v>
      </c>
      <c r="F326" s="7">
        <v>5.9</v>
      </c>
      <c r="G326" s="4">
        <v>177</v>
      </c>
      <c r="H326" s="4">
        <f t="shared" si="5"/>
        <v>0.17699999999999999</v>
      </c>
      <c r="I326" s="8">
        <v>45245</v>
      </c>
      <c r="K326" s="5" t="s">
        <v>474</v>
      </c>
      <c r="L326" s="5" t="s">
        <v>475</v>
      </c>
      <c r="M326" s="5" t="s">
        <v>476</v>
      </c>
      <c r="N326" s="10" t="s">
        <v>477</v>
      </c>
      <c r="O326" s="11">
        <v>1</v>
      </c>
      <c r="P326" s="12" t="s">
        <v>474</v>
      </c>
      <c r="Q326" s="12" t="s">
        <v>478</v>
      </c>
      <c r="R326" s="12" t="s">
        <v>462</v>
      </c>
      <c r="S326" s="11">
        <v>10</v>
      </c>
      <c r="T326" s="11">
        <v>4</v>
      </c>
    </row>
    <row r="327" spans="1:20">
      <c r="A327" s="4" t="s">
        <v>356</v>
      </c>
      <c r="B327" s="9" t="s">
        <v>472</v>
      </c>
      <c r="C327" s="6" t="s">
        <v>479</v>
      </c>
      <c r="D327" s="7">
        <v>40.5</v>
      </c>
      <c r="E327" s="7">
        <v>50.7</v>
      </c>
      <c r="F327" s="7">
        <v>11.4</v>
      </c>
      <c r="G327" s="4">
        <v>905</v>
      </c>
      <c r="H327" s="4">
        <f t="shared" si="5"/>
        <v>0.90500000000000003</v>
      </c>
      <c r="I327" s="8">
        <v>45245</v>
      </c>
      <c r="K327" s="5" t="s">
        <v>474</v>
      </c>
      <c r="L327" s="5" t="s">
        <v>475</v>
      </c>
      <c r="M327" s="5" t="s">
        <v>476</v>
      </c>
      <c r="N327" s="10" t="s">
        <v>477</v>
      </c>
      <c r="O327" s="11">
        <v>1</v>
      </c>
      <c r="P327" s="12" t="s">
        <v>474</v>
      </c>
      <c r="Q327" s="12" t="s">
        <v>478</v>
      </c>
      <c r="R327" s="12" t="s">
        <v>462</v>
      </c>
      <c r="S327" s="11">
        <v>10</v>
      </c>
      <c r="T327" s="11">
        <v>4</v>
      </c>
    </row>
    <row r="328" spans="1:20">
      <c r="A328" s="4" t="s">
        <v>357</v>
      </c>
      <c r="B328" s="9" t="s">
        <v>472</v>
      </c>
      <c r="C328" s="6" t="s">
        <v>493</v>
      </c>
      <c r="D328" s="7">
        <v>12.9</v>
      </c>
      <c r="E328" s="7">
        <v>14.7</v>
      </c>
      <c r="F328" s="7">
        <v>3.6</v>
      </c>
      <c r="G328" s="4">
        <v>38</v>
      </c>
      <c r="H328" s="4">
        <f t="shared" si="5"/>
        <v>3.7999999999999999E-2</v>
      </c>
      <c r="I328" s="8">
        <v>45245</v>
      </c>
      <c r="K328" s="5" t="s">
        <v>474</v>
      </c>
      <c r="L328" s="5" t="s">
        <v>475</v>
      </c>
      <c r="M328" s="5" t="s">
        <v>476</v>
      </c>
      <c r="N328" s="10" t="s">
        <v>477</v>
      </c>
      <c r="O328" s="11">
        <v>1</v>
      </c>
      <c r="P328" s="12" t="s">
        <v>474</v>
      </c>
      <c r="Q328" s="12" t="s">
        <v>478</v>
      </c>
      <c r="R328" s="12" t="s">
        <v>462</v>
      </c>
      <c r="S328" s="11">
        <v>10</v>
      </c>
      <c r="T328" s="11">
        <v>4</v>
      </c>
    </row>
    <row r="329" spans="1:20">
      <c r="A329" s="4" t="s">
        <v>358</v>
      </c>
      <c r="B329" s="9" t="s">
        <v>472</v>
      </c>
      <c r="C329" s="6" t="s">
        <v>479</v>
      </c>
      <c r="D329" s="7">
        <v>39.5</v>
      </c>
      <c r="E329" s="7">
        <v>44.8</v>
      </c>
      <c r="F329" s="7">
        <v>10</v>
      </c>
      <c r="G329" s="4">
        <v>694</v>
      </c>
      <c r="H329" s="4">
        <f t="shared" si="5"/>
        <v>0.69399999999999995</v>
      </c>
      <c r="I329" s="8">
        <v>45245</v>
      </c>
      <c r="K329" s="5" t="s">
        <v>474</v>
      </c>
      <c r="L329" s="5" t="s">
        <v>475</v>
      </c>
      <c r="M329" s="5" t="s">
        <v>476</v>
      </c>
      <c r="N329" s="10" t="s">
        <v>477</v>
      </c>
      <c r="O329" s="11">
        <v>1</v>
      </c>
      <c r="P329" s="12" t="s">
        <v>474</v>
      </c>
      <c r="Q329" s="12" t="s">
        <v>478</v>
      </c>
      <c r="R329" s="12" t="s">
        <v>462</v>
      </c>
      <c r="S329" s="11">
        <v>10</v>
      </c>
      <c r="T329" s="11">
        <v>4</v>
      </c>
    </row>
    <row r="330" spans="1:20">
      <c r="A330" s="4" t="s">
        <v>359</v>
      </c>
      <c r="B330" s="9" t="s">
        <v>472</v>
      </c>
      <c r="C330" s="6" t="s">
        <v>493</v>
      </c>
      <c r="D330" s="7">
        <v>22.8</v>
      </c>
      <c r="E330" s="7">
        <v>28</v>
      </c>
      <c r="F330" s="7">
        <v>6.4</v>
      </c>
      <c r="G330" s="4">
        <v>206</v>
      </c>
      <c r="H330" s="4">
        <f t="shared" si="5"/>
        <v>0.20599999999999999</v>
      </c>
      <c r="I330" s="8">
        <v>45245</v>
      </c>
      <c r="K330" s="5" t="s">
        <v>474</v>
      </c>
      <c r="L330" s="5" t="s">
        <v>475</v>
      </c>
      <c r="M330" s="5" t="s">
        <v>476</v>
      </c>
      <c r="N330" s="10" t="s">
        <v>477</v>
      </c>
      <c r="O330" s="11">
        <v>1</v>
      </c>
      <c r="P330" s="12" t="s">
        <v>474</v>
      </c>
      <c r="Q330" s="12" t="s">
        <v>478</v>
      </c>
      <c r="R330" s="12" t="s">
        <v>462</v>
      </c>
      <c r="S330" s="11">
        <v>10</v>
      </c>
      <c r="T330" s="11">
        <v>4</v>
      </c>
    </row>
    <row r="331" spans="1:20">
      <c r="A331" s="4" t="s">
        <v>360</v>
      </c>
      <c r="B331" s="9" t="s">
        <v>472</v>
      </c>
      <c r="C331" s="6" t="s">
        <v>479</v>
      </c>
      <c r="D331" s="7">
        <v>31.5</v>
      </c>
      <c r="E331" s="7">
        <v>36.200000000000003</v>
      </c>
      <c r="F331" s="7">
        <v>8.6999999999999993</v>
      </c>
      <c r="G331" s="4">
        <v>482</v>
      </c>
      <c r="H331" s="4">
        <f t="shared" si="5"/>
        <v>0.48199999999999998</v>
      </c>
      <c r="I331" s="8">
        <v>45245</v>
      </c>
      <c r="K331" s="5" t="s">
        <v>474</v>
      </c>
      <c r="L331" s="5" t="s">
        <v>475</v>
      </c>
      <c r="M331" s="5" t="s">
        <v>476</v>
      </c>
      <c r="N331" s="10" t="s">
        <v>477</v>
      </c>
      <c r="O331" s="11">
        <v>1</v>
      </c>
      <c r="P331" s="12" t="s">
        <v>474</v>
      </c>
      <c r="Q331" s="12" t="s">
        <v>478</v>
      </c>
      <c r="R331" s="12" t="s">
        <v>462</v>
      </c>
      <c r="S331" s="11">
        <v>10</v>
      </c>
      <c r="T331" s="11">
        <v>4</v>
      </c>
    </row>
    <row r="332" spans="1:20">
      <c r="A332" s="4" t="s">
        <v>361</v>
      </c>
      <c r="B332" s="9" t="s">
        <v>472</v>
      </c>
      <c r="C332" s="6" t="s">
        <v>479</v>
      </c>
      <c r="D332" s="7">
        <v>33.200000000000003</v>
      </c>
      <c r="E332" s="7">
        <v>41.7</v>
      </c>
      <c r="F332" s="7">
        <v>8.5</v>
      </c>
      <c r="G332" s="4">
        <v>534</v>
      </c>
      <c r="H332" s="4">
        <f t="shared" si="5"/>
        <v>0.53400000000000003</v>
      </c>
      <c r="I332" s="8">
        <v>45245</v>
      </c>
      <c r="K332" s="5" t="s">
        <v>474</v>
      </c>
      <c r="L332" s="5" t="s">
        <v>475</v>
      </c>
      <c r="M332" s="5" t="s">
        <v>476</v>
      </c>
      <c r="N332" s="10" t="s">
        <v>477</v>
      </c>
      <c r="O332" s="11">
        <v>1</v>
      </c>
      <c r="P332" s="12" t="s">
        <v>474</v>
      </c>
      <c r="Q332" s="12" t="s">
        <v>478</v>
      </c>
      <c r="R332" s="12" t="s">
        <v>462</v>
      </c>
      <c r="S332" s="11">
        <v>10</v>
      </c>
      <c r="T332" s="11">
        <v>4</v>
      </c>
    </row>
    <row r="333" spans="1:20">
      <c r="A333" s="4" t="s">
        <v>362</v>
      </c>
      <c r="B333" s="9" t="s">
        <v>472</v>
      </c>
      <c r="C333" s="6" t="s">
        <v>493</v>
      </c>
      <c r="D333" s="7">
        <v>21.1</v>
      </c>
      <c r="E333" s="7">
        <v>25.8</v>
      </c>
      <c r="F333" s="7">
        <v>6.1</v>
      </c>
      <c r="G333" s="4">
        <v>168</v>
      </c>
      <c r="H333" s="4">
        <f t="shared" si="5"/>
        <v>0.16800000000000001</v>
      </c>
      <c r="I333" s="8">
        <v>45245</v>
      </c>
      <c r="K333" s="5" t="s">
        <v>474</v>
      </c>
      <c r="L333" s="5" t="s">
        <v>475</v>
      </c>
      <c r="M333" s="5" t="s">
        <v>476</v>
      </c>
      <c r="N333" s="10" t="s">
        <v>477</v>
      </c>
      <c r="O333" s="11">
        <v>1</v>
      </c>
      <c r="P333" s="12" t="s">
        <v>474</v>
      </c>
      <c r="Q333" s="12" t="s">
        <v>478</v>
      </c>
      <c r="R333" s="12" t="s">
        <v>462</v>
      </c>
      <c r="S333" s="11">
        <v>10</v>
      </c>
      <c r="T333" s="11">
        <v>4</v>
      </c>
    </row>
    <row r="334" spans="1:20">
      <c r="A334" s="4" t="s">
        <v>363</v>
      </c>
      <c r="B334" s="9" t="s">
        <v>472</v>
      </c>
      <c r="C334" s="6" t="s">
        <v>479</v>
      </c>
      <c r="D334" s="7">
        <v>26.9</v>
      </c>
      <c r="E334" s="7">
        <v>34.4</v>
      </c>
      <c r="F334" s="7">
        <v>8</v>
      </c>
      <c r="G334" s="4">
        <v>336</v>
      </c>
      <c r="H334" s="4">
        <f t="shared" si="5"/>
        <v>0.33600000000000002</v>
      </c>
      <c r="I334" s="8">
        <v>45245</v>
      </c>
      <c r="K334" s="5" t="s">
        <v>474</v>
      </c>
      <c r="L334" s="5" t="s">
        <v>475</v>
      </c>
      <c r="M334" s="5" t="s">
        <v>476</v>
      </c>
      <c r="N334" s="10" t="s">
        <v>477</v>
      </c>
      <c r="O334" s="11">
        <v>1</v>
      </c>
      <c r="P334" s="12" t="s">
        <v>474</v>
      </c>
      <c r="Q334" s="12" t="s">
        <v>478</v>
      </c>
      <c r="R334" s="12" t="s">
        <v>462</v>
      </c>
      <c r="S334" s="11">
        <v>10</v>
      </c>
      <c r="T334" s="11">
        <v>4</v>
      </c>
    </row>
    <row r="335" spans="1:20">
      <c r="A335" s="4" t="s">
        <v>364</v>
      </c>
      <c r="B335" s="9" t="s">
        <v>472</v>
      </c>
      <c r="C335" s="6" t="s">
        <v>482</v>
      </c>
      <c r="D335" s="7">
        <v>22</v>
      </c>
      <c r="E335" s="7">
        <v>26</v>
      </c>
      <c r="F335" s="7">
        <v>6.3</v>
      </c>
      <c r="G335" s="4">
        <v>174</v>
      </c>
      <c r="H335" s="4">
        <f t="shared" si="5"/>
        <v>0.17399999999999999</v>
      </c>
      <c r="I335" s="8">
        <v>45245</v>
      </c>
      <c r="K335" s="5" t="s">
        <v>474</v>
      </c>
      <c r="L335" s="5" t="s">
        <v>475</v>
      </c>
      <c r="M335" s="5" t="s">
        <v>476</v>
      </c>
      <c r="N335" s="10" t="s">
        <v>477</v>
      </c>
      <c r="O335" s="11">
        <v>1</v>
      </c>
      <c r="P335" s="12" t="s">
        <v>474</v>
      </c>
      <c r="Q335" s="12" t="s">
        <v>478</v>
      </c>
      <c r="R335" s="12" t="s">
        <v>462</v>
      </c>
      <c r="S335" s="11">
        <v>10</v>
      </c>
      <c r="T335" s="11">
        <v>4</v>
      </c>
    </row>
    <row r="336" spans="1:20">
      <c r="A336" s="4" t="s">
        <v>365</v>
      </c>
      <c r="B336" s="9" t="s">
        <v>472</v>
      </c>
      <c r="C336" s="6" t="s">
        <v>480</v>
      </c>
      <c r="D336" s="7">
        <v>24.7</v>
      </c>
      <c r="E336" s="7">
        <v>32.299999999999997</v>
      </c>
      <c r="F336" s="7">
        <v>7.4</v>
      </c>
      <c r="G336" s="4">
        <v>297</v>
      </c>
      <c r="H336" s="4">
        <f t="shared" si="5"/>
        <v>0.29699999999999999</v>
      </c>
      <c r="I336" s="8">
        <v>45245</v>
      </c>
      <c r="K336" s="5" t="s">
        <v>474</v>
      </c>
      <c r="L336" s="5" t="s">
        <v>475</v>
      </c>
      <c r="M336" s="5" t="s">
        <v>476</v>
      </c>
      <c r="N336" s="10" t="s">
        <v>477</v>
      </c>
      <c r="O336" s="11">
        <v>1</v>
      </c>
      <c r="P336" s="12" t="s">
        <v>474</v>
      </c>
      <c r="Q336" s="12" t="s">
        <v>478</v>
      </c>
      <c r="R336" s="12" t="s">
        <v>462</v>
      </c>
      <c r="S336" s="11">
        <v>10</v>
      </c>
      <c r="T336" s="11">
        <v>4</v>
      </c>
    </row>
    <row r="337" spans="1:20">
      <c r="A337" s="4" t="s">
        <v>366</v>
      </c>
      <c r="B337" s="9" t="s">
        <v>472</v>
      </c>
      <c r="C337" s="6" t="s">
        <v>493</v>
      </c>
      <c r="D337" s="7">
        <v>29.6</v>
      </c>
      <c r="E337" s="7">
        <v>34.700000000000003</v>
      </c>
      <c r="F337" s="7">
        <v>7.6</v>
      </c>
      <c r="G337" s="4">
        <v>361</v>
      </c>
      <c r="H337" s="4">
        <f t="shared" si="5"/>
        <v>0.36099999999999999</v>
      </c>
      <c r="I337" s="8">
        <v>45245</v>
      </c>
      <c r="K337" s="5" t="s">
        <v>474</v>
      </c>
      <c r="L337" s="5" t="s">
        <v>475</v>
      </c>
      <c r="M337" s="5" t="s">
        <v>476</v>
      </c>
      <c r="N337" s="10" t="s">
        <v>477</v>
      </c>
      <c r="O337" s="11">
        <v>1</v>
      </c>
      <c r="P337" s="12" t="s">
        <v>474</v>
      </c>
      <c r="Q337" s="12" t="s">
        <v>478</v>
      </c>
      <c r="R337" s="12" t="s">
        <v>462</v>
      </c>
      <c r="S337" s="11">
        <v>10</v>
      </c>
      <c r="T337" s="11">
        <v>4</v>
      </c>
    </row>
    <row r="338" spans="1:20">
      <c r="A338" s="4" t="s">
        <v>367</v>
      </c>
      <c r="B338" s="9" t="s">
        <v>472</v>
      </c>
      <c r="C338" s="6" t="s">
        <v>493</v>
      </c>
      <c r="D338" s="7">
        <v>19.3</v>
      </c>
      <c r="E338" s="7">
        <v>22.4</v>
      </c>
      <c r="F338" s="7">
        <v>5.4</v>
      </c>
      <c r="G338" s="4">
        <v>109</v>
      </c>
      <c r="H338" s="4">
        <f t="shared" si="5"/>
        <v>0.109</v>
      </c>
      <c r="I338" s="8">
        <v>45245</v>
      </c>
      <c r="K338" s="5" t="s">
        <v>474</v>
      </c>
      <c r="L338" s="5" t="s">
        <v>475</v>
      </c>
      <c r="M338" s="5" t="s">
        <v>476</v>
      </c>
      <c r="N338" s="10" t="s">
        <v>477</v>
      </c>
      <c r="O338" s="11">
        <v>1</v>
      </c>
      <c r="P338" s="12" t="s">
        <v>474</v>
      </c>
      <c r="Q338" s="12" t="s">
        <v>478</v>
      </c>
      <c r="R338" s="12" t="s">
        <v>462</v>
      </c>
      <c r="S338" s="11">
        <v>10</v>
      </c>
      <c r="T338" s="11">
        <v>4</v>
      </c>
    </row>
    <row r="339" spans="1:20">
      <c r="A339" s="4" t="s">
        <v>368</v>
      </c>
      <c r="B339" s="9" t="s">
        <v>472</v>
      </c>
      <c r="C339" s="6" t="s">
        <v>493</v>
      </c>
      <c r="D339" s="7">
        <v>23.8</v>
      </c>
      <c r="E339" s="7">
        <v>28.8</v>
      </c>
      <c r="F339" s="7">
        <v>6.9</v>
      </c>
      <c r="G339" s="4">
        <v>188</v>
      </c>
      <c r="H339" s="4">
        <f t="shared" si="5"/>
        <v>0.188</v>
      </c>
      <c r="I339" s="8">
        <v>45245</v>
      </c>
      <c r="K339" s="5" t="s">
        <v>474</v>
      </c>
      <c r="L339" s="5" t="s">
        <v>475</v>
      </c>
      <c r="M339" s="5" t="s">
        <v>476</v>
      </c>
      <c r="N339" s="10" t="s">
        <v>477</v>
      </c>
      <c r="O339" s="11">
        <v>1</v>
      </c>
      <c r="P339" s="12" t="s">
        <v>474</v>
      </c>
      <c r="Q339" s="12" t="s">
        <v>478</v>
      </c>
      <c r="R339" s="12" t="s">
        <v>462</v>
      </c>
      <c r="S339" s="11">
        <v>10</v>
      </c>
      <c r="T339" s="11">
        <v>4</v>
      </c>
    </row>
    <row r="340" spans="1:20" ht="12.75" customHeight="1">
      <c r="A340" s="4" t="s">
        <v>369</v>
      </c>
      <c r="B340" s="14" t="s">
        <v>472</v>
      </c>
      <c r="C340" s="6" t="s">
        <v>493</v>
      </c>
      <c r="D340" s="4">
        <v>26.6</v>
      </c>
      <c r="E340" s="4">
        <v>32.299999999999997</v>
      </c>
      <c r="F340" s="4">
        <v>7.7</v>
      </c>
      <c r="G340" s="4">
        <v>313</v>
      </c>
      <c r="H340" s="4">
        <f t="shared" si="5"/>
        <v>0.313</v>
      </c>
      <c r="I340" s="8">
        <v>45245</v>
      </c>
      <c r="K340" s="4" t="s">
        <v>474</v>
      </c>
      <c r="L340" s="4" t="s">
        <v>475</v>
      </c>
      <c r="M340" s="4" t="s">
        <v>476</v>
      </c>
      <c r="N340" s="4" t="s">
        <v>477</v>
      </c>
      <c r="O340" s="11">
        <v>1</v>
      </c>
      <c r="P340" s="4" t="s">
        <v>474</v>
      </c>
      <c r="Q340" s="4" t="s">
        <v>478</v>
      </c>
      <c r="R340" s="4" t="s">
        <v>462</v>
      </c>
      <c r="S340" s="11">
        <v>10</v>
      </c>
      <c r="T340" s="11">
        <v>4</v>
      </c>
    </row>
    <row r="341" spans="1:20" ht="12.75" customHeight="1">
      <c r="A341" s="4" t="s">
        <v>370</v>
      </c>
      <c r="B341" s="14" t="s">
        <v>472</v>
      </c>
      <c r="C341" s="6" t="s">
        <v>479</v>
      </c>
      <c r="D341" s="4">
        <v>36.9</v>
      </c>
      <c r="E341" s="4">
        <v>44.4</v>
      </c>
      <c r="F341" s="4">
        <v>9</v>
      </c>
      <c r="G341" s="4">
        <v>743</v>
      </c>
      <c r="H341" s="4">
        <f t="shared" si="5"/>
        <v>0.74299999999999999</v>
      </c>
      <c r="I341" s="8">
        <v>45245</v>
      </c>
      <c r="K341" s="4" t="s">
        <v>474</v>
      </c>
      <c r="L341" s="4" t="s">
        <v>475</v>
      </c>
      <c r="M341" s="4" t="s">
        <v>476</v>
      </c>
      <c r="N341" s="4" t="s">
        <v>477</v>
      </c>
      <c r="O341" s="11">
        <v>1</v>
      </c>
      <c r="P341" s="4" t="s">
        <v>474</v>
      </c>
      <c r="Q341" s="4" t="s">
        <v>478</v>
      </c>
      <c r="R341" s="4" t="s">
        <v>462</v>
      </c>
      <c r="S341" s="11">
        <v>10</v>
      </c>
      <c r="T341" s="11">
        <v>4</v>
      </c>
    </row>
    <row r="342" spans="1:20" ht="12.75" customHeight="1">
      <c r="A342" s="4" t="s">
        <v>371</v>
      </c>
      <c r="B342" s="14" t="s">
        <v>472</v>
      </c>
      <c r="C342" s="6" t="s">
        <v>493</v>
      </c>
      <c r="D342" s="4">
        <v>23.1</v>
      </c>
      <c r="E342" s="4">
        <v>29.1</v>
      </c>
      <c r="F342" s="4">
        <v>6.2</v>
      </c>
      <c r="G342" s="4">
        <v>233</v>
      </c>
      <c r="H342" s="4">
        <f t="shared" si="5"/>
        <v>0.23300000000000001</v>
      </c>
      <c r="I342" s="8">
        <v>45245</v>
      </c>
      <c r="K342" s="4" t="s">
        <v>474</v>
      </c>
      <c r="L342" s="4" t="s">
        <v>475</v>
      </c>
      <c r="M342" s="4" t="s">
        <v>476</v>
      </c>
      <c r="N342" s="4" t="s">
        <v>477</v>
      </c>
      <c r="O342" s="11">
        <v>1</v>
      </c>
      <c r="P342" s="4" t="s">
        <v>474</v>
      </c>
      <c r="Q342" s="4" t="s">
        <v>478</v>
      </c>
      <c r="R342" s="4" t="s">
        <v>462</v>
      </c>
      <c r="S342" s="11">
        <v>10</v>
      </c>
      <c r="T342" s="11">
        <v>4</v>
      </c>
    </row>
    <row r="343" spans="1:20" ht="12.75" customHeight="1">
      <c r="A343" s="4" t="s">
        <v>372</v>
      </c>
      <c r="B343" s="14" t="s">
        <v>472</v>
      </c>
      <c r="C343" s="6" t="s">
        <v>479</v>
      </c>
      <c r="D343" s="4">
        <v>32.6</v>
      </c>
      <c r="E343" s="4">
        <v>41.9</v>
      </c>
      <c r="F343" s="4">
        <v>8.4</v>
      </c>
      <c r="G343" s="4">
        <v>602</v>
      </c>
      <c r="H343" s="4">
        <f t="shared" si="5"/>
        <v>0.60199999999999998</v>
      </c>
      <c r="I343" s="8">
        <v>45245</v>
      </c>
      <c r="K343" s="4" t="s">
        <v>474</v>
      </c>
      <c r="L343" s="4" t="s">
        <v>475</v>
      </c>
      <c r="M343" s="4" t="s">
        <v>476</v>
      </c>
      <c r="N343" s="4" t="s">
        <v>477</v>
      </c>
      <c r="O343" s="11">
        <v>1</v>
      </c>
      <c r="P343" s="4" t="s">
        <v>474</v>
      </c>
      <c r="Q343" s="4" t="s">
        <v>478</v>
      </c>
      <c r="R343" s="4" t="s">
        <v>462</v>
      </c>
      <c r="S343" s="11">
        <v>10</v>
      </c>
      <c r="T343" s="11">
        <v>4</v>
      </c>
    </row>
    <row r="344" spans="1:20" ht="12.75" customHeight="1">
      <c r="A344" s="4" t="s">
        <v>373</v>
      </c>
      <c r="B344" s="14" t="s">
        <v>472</v>
      </c>
      <c r="C344" s="6" t="s">
        <v>479</v>
      </c>
      <c r="D344" s="4">
        <v>39.4</v>
      </c>
      <c r="E344" s="4">
        <v>50.4</v>
      </c>
      <c r="F344" s="4">
        <v>10.8</v>
      </c>
      <c r="G344" s="4">
        <v>1004</v>
      </c>
      <c r="H344" s="4">
        <f t="shared" si="5"/>
        <v>1.004</v>
      </c>
      <c r="I344" s="8">
        <v>45245</v>
      </c>
      <c r="K344" s="4" t="s">
        <v>474</v>
      </c>
      <c r="L344" s="4" t="s">
        <v>475</v>
      </c>
      <c r="M344" s="4" t="s">
        <v>476</v>
      </c>
      <c r="N344" s="4" t="s">
        <v>477</v>
      </c>
      <c r="O344" s="11">
        <v>1</v>
      </c>
      <c r="P344" s="4" t="s">
        <v>474</v>
      </c>
      <c r="Q344" s="4" t="s">
        <v>478</v>
      </c>
      <c r="R344" s="4" t="s">
        <v>462</v>
      </c>
      <c r="S344" s="11">
        <v>10</v>
      </c>
      <c r="T344" s="11">
        <v>4</v>
      </c>
    </row>
    <row r="345" spans="1:20" ht="12.75" customHeight="1">
      <c r="A345" s="4" t="s">
        <v>374</v>
      </c>
      <c r="B345" s="14" t="s">
        <v>472</v>
      </c>
      <c r="C345" s="6" t="s">
        <v>493</v>
      </c>
      <c r="D345" s="4">
        <v>24</v>
      </c>
      <c r="E345" s="4">
        <v>29.8</v>
      </c>
      <c r="F345" s="4">
        <v>7.1</v>
      </c>
      <c r="G345" s="4">
        <v>255</v>
      </c>
      <c r="H345" s="4">
        <f t="shared" si="5"/>
        <v>0.255</v>
      </c>
      <c r="I345" s="8">
        <v>45245</v>
      </c>
      <c r="K345" s="4" t="s">
        <v>474</v>
      </c>
      <c r="L345" s="4" t="s">
        <v>475</v>
      </c>
      <c r="M345" s="4" t="s">
        <v>476</v>
      </c>
      <c r="N345" s="4" t="s">
        <v>477</v>
      </c>
      <c r="O345" s="11">
        <v>1</v>
      </c>
      <c r="P345" s="4" t="s">
        <v>474</v>
      </c>
      <c r="Q345" s="4" t="s">
        <v>478</v>
      </c>
      <c r="R345" s="4" t="s">
        <v>462</v>
      </c>
      <c r="S345" s="11">
        <v>10</v>
      </c>
      <c r="T345" s="11">
        <v>4</v>
      </c>
    </row>
    <row r="346" spans="1:20" ht="12.75" customHeight="1">
      <c r="A346" s="4" t="s">
        <v>375</v>
      </c>
      <c r="B346" s="14" t="s">
        <v>472</v>
      </c>
      <c r="C346" s="6" t="s">
        <v>493</v>
      </c>
      <c r="D346" s="4">
        <v>11.2</v>
      </c>
      <c r="E346" s="4">
        <v>17.8</v>
      </c>
      <c r="F346" s="4">
        <v>4.5999999999999996</v>
      </c>
      <c r="G346" s="4">
        <v>68</v>
      </c>
      <c r="H346" s="4">
        <f t="shared" si="5"/>
        <v>6.8000000000000005E-2</v>
      </c>
      <c r="I346" s="8">
        <v>45245</v>
      </c>
      <c r="K346" s="4" t="s">
        <v>474</v>
      </c>
      <c r="L346" s="4" t="s">
        <v>475</v>
      </c>
      <c r="M346" s="4" t="s">
        <v>476</v>
      </c>
      <c r="N346" s="4" t="s">
        <v>477</v>
      </c>
      <c r="O346" s="11">
        <v>1</v>
      </c>
      <c r="P346" s="4" t="s">
        <v>474</v>
      </c>
      <c r="Q346" s="4" t="s">
        <v>478</v>
      </c>
      <c r="R346" s="4" t="s">
        <v>462</v>
      </c>
      <c r="S346" s="11">
        <v>10</v>
      </c>
      <c r="T346" s="11">
        <v>4</v>
      </c>
    </row>
    <row r="347" spans="1:20" ht="12.75" customHeight="1">
      <c r="A347" s="4" t="s">
        <v>376</v>
      </c>
      <c r="B347" s="14" t="s">
        <v>472</v>
      </c>
      <c r="C347" s="6" t="s">
        <v>493</v>
      </c>
      <c r="D347" s="4">
        <v>23.6</v>
      </c>
      <c r="E347" s="4">
        <v>27.7</v>
      </c>
      <c r="F347" s="4">
        <v>6.5</v>
      </c>
      <c r="G347" s="4">
        <v>224</v>
      </c>
      <c r="H347" s="4">
        <f t="shared" si="5"/>
        <v>0.224</v>
      </c>
      <c r="I347" s="8">
        <v>45245</v>
      </c>
      <c r="K347" s="4" t="s">
        <v>474</v>
      </c>
      <c r="L347" s="4" t="s">
        <v>475</v>
      </c>
      <c r="M347" s="4" t="s">
        <v>476</v>
      </c>
      <c r="N347" s="4" t="s">
        <v>477</v>
      </c>
      <c r="O347" s="11">
        <v>1</v>
      </c>
      <c r="P347" s="4" t="s">
        <v>474</v>
      </c>
      <c r="Q347" s="4" t="s">
        <v>478</v>
      </c>
      <c r="R347" s="4" t="s">
        <v>462</v>
      </c>
      <c r="S347" s="11">
        <v>10</v>
      </c>
      <c r="T347" s="11">
        <v>4</v>
      </c>
    </row>
    <row r="348" spans="1:20" ht="12.75" customHeight="1">
      <c r="A348" s="4" t="s">
        <v>377</v>
      </c>
      <c r="B348" s="14" t="s">
        <v>472</v>
      </c>
      <c r="C348" s="6" t="s">
        <v>493</v>
      </c>
      <c r="D348" s="4">
        <v>16.3</v>
      </c>
      <c r="E348" s="4">
        <v>19.100000000000001</v>
      </c>
      <c r="F348" s="4">
        <v>4.8</v>
      </c>
      <c r="G348" s="4">
        <v>79</v>
      </c>
      <c r="H348" s="4">
        <f t="shared" si="5"/>
        <v>7.9000000000000001E-2</v>
      </c>
      <c r="I348" s="8">
        <v>45245</v>
      </c>
      <c r="K348" s="4" t="s">
        <v>474</v>
      </c>
      <c r="L348" s="4" t="s">
        <v>475</v>
      </c>
      <c r="M348" s="4" t="s">
        <v>476</v>
      </c>
      <c r="N348" s="4" t="s">
        <v>477</v>
      </c>
      <c r="O348" s="11">
        <v>1</v>
      </c>
      <c r="P348" s="4" t="s">
        <v>474</v>
      </c>
      <c r="Q348" s="4" t="s">
        <v>478</v>
      </c>
      <c r="R348" s="4" t="s">
        <v>462</v>
      </c>
      <c r="S348" s="11">
        <v>10</v>
      </c>
      <c r="T348" s="11">
        <v>4</v>
      </c>
    </row>
    <row r="349" spans="1:20" ht="12.75" customHeight="1">
      <c r="A349" s="4" t="s">
        <v>378</v>
      </c>
      <c r="B349" s="14" t="s">
        <v>472</v>
      </c>
      <c r="C349" s="6" t="s">
        <v>493</v>
      </c>
      <c r="D349" s="4">
        <v>23.2</v>
      </c>
      <c r="E349" s="4">
        <v>33.5</v>
      </c>
      <c r="F349" s="4">
        <v>6.8</v>
      </c>
      <c r="G349" s="4">
        <v>234</v>
      </c>
      <c r="H349" s="4">
        <f t="shared" si="5"/>
        <v>0.23400000000000001</v>
      </c>
      <c r="I349" s="8">
        <v>45245</v>
      </c>
      <c r="K349" s="4" t="s">
        <v>474</v>
      </c>
      <c r="L349" s="4" t="s">
        <v>475</v>
      </c>
      <c r="M349" s="4" t="s">
        <v>476</v>
      </c>
      <c r="N349" s="4" t="s">
        <v>477</v>
      </c>
      <c r="O349" s="11">
        <v>1</v>
      </c>
      <c r="P349" s="4" t="s">
        <v>474</v>
      </c>
      <c r="Q349" s="4" t="s">
        <v>478</v>
      </c>
      <c r="R349" s="4" t="s">
        <v>462</v>
      </c>
      <c r="S349" s="11">
        <v>10</v>
      </c>
      <c r="T349" s="11">
        <v>4</v>
      </c>
    </row>
    <row r="350" spans="1:20" ht="12.75" customHeight="1">
      <c r="A350" s="4" t="s">
        <v>379</v>
      </c>
      <c r="B350" s="14" t="s">
        <v>472</v>
      </c>
      <c r="C350" s="6" t="s">
        <v>493</v>
      </c>
      <c r="D350" s="4">
        <v>25.1</v>
      </c>
      <c r="E350" s="4">
        <v>29.6</v>
      </c>
      <c r="F350" s="4">
        <v>7.4</v>
      </c>
      <c r="G350" s="4">
        <v>295</v>
      </c>
      <c r="H350" s="4">
        <f t="shared" si="5"/>
        <v>0.29499999999999998</v>
      </c>
      <c r="I350" s="8">
        <v>45245</v>
      </c>
      <c r="K350" s="4" t="s">
        <v>474</v>
      </c>
      <c r="L350" s="4" t="s">
        <v>475</v>
      </c>
      <c r="M350" s="4" t="s">
        <v>476</v>
      </c>
      <c r="N350" s="4" t="s">
        <v>477</v>
      </c>
      <c r="O350" s="11">
        <v>1</v>
      </c>
      <c r="P350" s="4" t="s">
        <v>474</v>
      </c>
      <c r="Q350" s="4" t="s">
        <v>478</v>
      </c>
      <c r="R350" s="4" t="s">
        <v>462</v>
      </c>
      <c r="S350" s="11">
        <v>10</v>
      </c>
      <c r="T350" s="11">
        <v>4</v>
      </c>
    </row>
    <row r="351" spans="1:20" ht="12.75" customHeight="1">
      <c r="A351" s="4" t="s">
        <v>380</v>
      </c>
      <c r="B351" s="14" t="s">
        <v>472</v>
      </c>
      <c r="C351" s="6" t="s">
        <v>493</v>
      </c>
      <c r="D351" s="4">
        <v>22.1</v>
      </c>
      <c r="E351" s="4">
        <v>27.1</v>
      </c>
      <c r="F351" s="4">
        <v>6.4</v>
      </c>
      <c r="G351" s="4">
        <v>201</v>
      </c>
      <c r="H351" s="4">
        <f t="shared" si="5"/>
        <v>0.20100000000000001</v>
      </c>
      <c r="I351" s="8">
        <v>45245</v>
      </c>
      <c r="K351" s="4" t="s">
        <v>474</v>
      </c>
      <c r="L351" s="4" t="s">
        <v>475</v>
      </c>
      <c r="M351" s="4" t="s">
        <v>476</v>
      </c>
      <c r="N351" s="4" t="s">
        <v>477</v>
      </c>
      <c r="O351" s="11">
        <v>1</v>
      </c>
      <c r="P351" s="4" t="s">
        <v>474</v>
      </c>
      <c r="Q351" s="4" t="s">
        <v>478</v>
      </c>
      <c r="R351" s="4" t="s">
        <v>462</v>
      </c>
      <c r="S351" s="11">
        <v>10</v>
      </c>
      <c r="T351" s="11">
        <v>4</v>
      </c>
    </row>
    <row r="352" spans="1:20" ht="12.75" customHeight="1">
      <c r="A352" s="4" t="s">
        <v>381</v>
      </c>
      <c r="B352" s="14" t="s">
        <v>472</v>
      </c>
      <c r="C352" s="6" t="s">
        <v>493</v>
      </c>
      <c r="D352" s="4">
        <v>22.3</v>
      </c>
      <c r="E352" s="4">
        <v>26.5</v>
      </c>
      <c r="F352" s="4">
        <v>5.8</v>
      </c>
      <c r="G352" s="4">
        <v>150</v>
      </c>
      <c r="H352" s="13">
        <f t="shared" si="5"/>
        <v>0.15</v>
      </c>
      <c r="I352" s="8">
        <v>45245</v>
      </c>
      <c r="K352" s="4" t="s">
        <v>474</v>
      </c>
      <c r="L352" s="4" t="s">
        <v>475</v>
      </c>
      <c r="M352" s="4" t="s">
        <v>476</v>
      </c>
      <c r="N352" s="4" t="s">
        <v>477</v>
      </c>
      <c r="O352" s="11">
        <v>1</v>
      </c>
      <c r="P352" s="4" t="s">
        <v>474</v>
      </c>
      <c r="Q352" s="4" t="s">
        <v>478</v>
      </c>
      <c r="R352" s="4" t="s">
        <v>462</v>
      </c>
      <c r="S352" s="11">
        <v>10</v>
      </c>
      <c r="T352" s="11">
        <v>4</v>
      </c>
    </row>
    <row r="353" spans="1:20" ht="12.75" customHeight="1">
      <c r="A353" s="4" t="s">
        <v>382</v>
      </c>
      <c r="B353" s="14" t="s">
        <v>472</v>
      </c>
      <c r="C353" s="6" t="s">
        <v>493</v>
      </c>
      <c r="D353" s="4">
        <v>18.600000000000001</v>
      </c>
      <c r="E353" s="4">
        <v>23.1</v>
      </c>
      <c r="F353" s="4">
        <v>5</v>
      </c>
      <c r="G353" s="4">
        <v>112</v>
      </c>
      <c r="H353" s="4">
        <f t="shared" si="5"/>
        <v>0.112</v>
      </c>
      <c r="I353" s="8">
        <v>45245</v>
      </c>
      <c r="K353" s="4" t="s">
        <v>474</v>
      </c>
      <c r="L353" s="4" t="s">
        <v>475</v>
      </c>
      <c r="M353" s="4" t="s">
        <v>476</v>
      </c>
      <c r="N353" s="4" t="s">
        <v>477</v>
      </c>
      <c r="O353" s="11">
        <v>1</v>
      </c>
      <c r="P353" s="4" t="s">
        <v>474</v>
      </c>
      <c r="Q353" s="4" t="s">
        <v>478</v>
      </c>
      <c r="R353" s="4" t="s">
        <v>462</v>
      </c>
      <c r="S353" s="11">
        <v>10</v>
      </c>
      <c r="T353" s="11">
        <v>4</v>
      </c>
    </row>
    <row r="354" spans="1:20" ht="12.75" customHeight="1">
      <c r="A354" s="4" t="s">
        <v>383</v>
      </c>
      <c r="B354" s="14" t="s">
        <v>472</v>
      </c>
      <c r="C354" s="6" t="s">
        <v>493</v>
      </c>
      <c r="D354" s="4">
        <v>23.1</v>
      </c>
      <c r="E354" s="4">
        <v>28.8</v>
      </c>
      <c r="F354" s="4">
        <v>6.7</v>
      </c>
      <c r="G354" s="4">
        <v>238</v>
      </c>
      <c r="H354" s="4">
        <f t="shared" si="5"/>
        <v>0.23799999999999999</v>
      </c>
      <c r="I354" s="8">
        <v>45245</v>
      </c>
      <c r="K354" s="4" t="s">
        <v>474</v>
      </c>
      <c r="L354" s="4" t="s">
        <v>475</v>
      </c>
      <c r="M354" s="4" t="s">
        <v>476</v>
      </c>
      <c r="N354" s="4" t="s">
        <v>477</v>
      </c>
      <c r="O354" s="11">
        <v>1</v>
      </c>
      <c r="P354" s="4" t="s">
        <v>474</v>
      </c>
      <c r="Q354" s="4" t="s">
        <v>478</v>
      </c>
      <c r="R354" s="4" t="s">
        <v>462</v>
      </c>
      <c r="S354" s="11">
        <v>10</v>
      </c>
      <c r="T354" s="11">
        <v>4</v>
      </c>
    </row>
    <row r="355" spans="1:20" ht="12.75" customHeight="1">
      <c r="A355" s="4" t="s">
        <v>384</v>
      </c>
      <c r="B355" s="14" t="s">
        <v>472</v>
      </c>
      <c r="C355" s="6" t="s">
        <v>479</v>
      </c>
      <c r="D355" s="4">
        <v>19.7</v>
      </c>
      <c r="E355" s="4">
        <v>25.4</v>
      </c>
      <c r="F355" s="4">
        <v>4.5</v>
      </c>
      <c r="G355" s="4">
        <v>115</v>
      </c>
      <c r="H355" s="4">
        <f t="shared" si="5"/>
        <v>0.115</v>
      </c>
      <c r="I355" s="8">
        <v>45245</v>
      </c>
      <c r="K355" s="4" t="s">
        <v>474</v>
      </c>
      <c r="L355" s="4" t="s">
        <v>475</v>
      </c>
      <c r="M355" s="4" t="s">
        <v>476</v>
      </c>
      <c r="N355" s="4" t="s">
        <v>477</v>
      </c>
      <c r="O355" s="11">
        <v>1</v>
      </c>
      <c r="P355" s="4" t="s">
        <v>474</v>
      </c>
      <c r="Q355" s="4" t="s">
        <v>478</v>
      </c>
      <c r="R355" s="4" t="s">
        <v>462</v>
      </c>
      <c r="S355" s="11">
        <v>10</v>
      </c>
      <c r="T355" s="11">
        <v>4</v>
      </c>
    </row>
    <row r="356" spans="1:20" ht="12.75" customHeight="1">
      <c r="A356" s="4" t="s">
        <v>385</v>
      </c>
      <c r="B356" s="14" t="s">
        <v>472</v>
      </c>
      <c r="C356" s="6" t="s">
        <v>493</v>
      </c>
      <c r="D356" s="4">
        <v>22.9</v>
      </c>
      <c r="E356" s="4">
        <v>28</v>
      </c>
      <c r="F356" s="4">
        <v>5.8</v>
      </c>
      <c r="G356" s="4">
        <v>169</v>
      </c>
      <c r="H356" s="4">
        <f t="shared" si="5"/>
        <v>0.16900000000000001</v>
      </c>
      <c r="I356" s="8">
        <v>45245</v>
      </c>
      <c r="K356" s="4" t="s">
        <v>474</v>
      </c>
      <c r="L356" s="4" t="s">
        <v>475</v>
      </c>
      <c r="M356" s="4" t="s">
        <v>476</v>
      </c>
      <c r="N356" s="4" t="s">
        <v>477</v>
      </c>
      <c r="O356" s="11">
        <v>1</v>
      </c>
      <c r="P356" s="4" t="s">
        <v>474</v>
      </c>
      <c r="Q356" s="4" t="s">
        <v>478</v>
      </c>
      <c r="R356" s="4" t="s">
        <v>462</v>
      </c>
      <c r="S356" s="11">
        <v>10</v>
      </c>
      <c r="T356" s="11">
        <v>4</v>
      </c>
    </row>
    <row r="357" spans="1:20" ht="12.75" customHeight="1">
      <c r="A357" s="4" t="s">
        <v>386</v>
      </c>
      <c r="B357" s="14" t="s">
        <v>472</v>
      </c>
      <c r="C357" s="6" t="s">
        <v>493</v>
      </c>
      <c r="D357" s="4">
        <v>25.2</v>
      </c>
      <c r="E357" s="4">
        <v>30.9</v>
      </c>
      <c r="F357" s="4">
        <v>6.4</v>
      </c>
      <c r="G357" s="4">
        <v>296</v>
      </c>
      <c r="H357" s="4">
        <f t="shared" si="5"/>
        <v>0.29599999999999999</v>
      </c>
      <c r="I357" s="8">
        <v>45245</v>
      </c>
      <c r="K357" s="4" t="s">
        <v>474</v>
      </c>
      <c r="L357" s="4" t="s">
        <v>475</v>
      </c>
      <c r="M357" s="4" t="s">
        <v>476</v>
      </c>
      <c r="N357" s="4" t="s">
        <v>477</v>
      </c>
      <c r="O357" s="11">
        <v>1</v>
      </c>
      <c r="P357" s="4" t="s">
        <v>474</v>
      </c>
      <c r="Q357" s="4" t="s">
        <v>478</v>
      </c>
      <c r="R357" s="4" t="s">
        <v>462</v>
      </c>
      <c r="S357" s="11">
        <v>10</v>
      </c>
      <c r="T357" s="11">
        <v>4</v>
      </c>
    </row>
    <row r="358" spans="1:20" ht="12.75" customHeight="1">
      <c r="A358" s="4" t="s">
        <v>387</v>
      </c>
      <c r="B358" s="14" t="s">
        <v>472</v>
      </c>
      <c r="C358" s="6" t="s">
        <v>479</v>
      </c>
      <c r="D358" s="4">
        <v>23.1</v>
      </c>
      <c r="E358" s="4">
        <v>33.799999999999997</v>
      </c>
      <c r="F358" s="4">
        <v>9.4</v>
      </c>
      <c r="G358" s="4">
        <v>672</v>
      </c>
      <c r="H358" s="4">
        <f t="shared" si="5"/>
        <v>0.67200000000000004</v>
      </c>
      <c r="I358" s="8">
        <v>45245</v>
      </c>
      <c r="K358" s="4" t="s">
        <v>474</v>
      </c>
      <c r="L358" s="4" t="s">
        <v>475</v>
      </c>
      <c r="M358" s="4" t="s">
        <v>476</v>
      </c>
      <c r="N358" s="4" t="s">
        <v>477</v>
      </c>
      <c r="O358" s="11">
        <v>1</v>
      </c>
      <c r="P358" s="4" t="s">
        <v>474</v>
      </c>
      <c r="Q358" s="4" t="s">
        <v>478</v>
      </c>
      <c r="R358" s="4" t="s">
        <v>462</v>
      </c>
      <c r="S358" s="11">
        <v>10</v>
      </c>
      <c r="T358" s="11">
        <v>4</v>
      </c>
    </row>
    <row r="359" spans="1:20" ht="12.75" customHeight="1">
      <c r="A359" s="4" t="s">
        <v>388</v>
      </c>
      <c r="B359" s="14" t="s">
        <v>472</v>
      </c>
      <c r="C359" s="6" t="s">
        <v>493</v>
      </c>
      <c r="D359" s="4">
        <v>19.7</v>
      </c>
      <c r="E359" s="4">
        <v>25.4</v>
      </c>
      <c r="F359" s="4">
        <v>4.5</v>
      </c>
      <c r="G359" s="4">
        <v>115</v>
      </c>
      <c r="H359" s="4">
        <f t="shared" si="5"/>
        <v>0.115</v>
      </c>
      <c r="I359" s="8">
        <v>45245</v>
      </c>
      <c r="K359" s="4" t="s">
        <v>474</v>
      </c>
      <c r="L359" s="4" t="s">
        <v>475</v>
      </c>
      <c r="M359" s="4" t="s">
        <v>476</v>
      </c>
      <c r="N359" s="4" t="s">
        <v>477</v>
      </c>
      <c r="O359" s="11">
        <v>1</v>
      </c>
      <c r="P359" s="4" t="s">
        <v>474</v>
      </c>
      <c r="Q359" s="4" t="s">
        <v>478</v>
      </c>
      <c r="R359" s="4" t="s">
        <v>462</v>
      </c>
      <c r="S359" s="11">
        <v>10</v>
      </c>
      <c r="T359" s="11">
        <v>4</v>
      </c>
    </row>
    <row r="360" spans="1:20" ht="12.75" customHeight="1">
      <c r="A360" s="4" t="s">
        <v>389</v>
      </c>
      <c r="B360" s="14" t="s">
        <v>472</v>
      </c>
      <c r="C360" s="6" t="s">
        <v>493</v>
      </c>
      <c r="D360" s="4">
        <v>22.7</v>
      </c>
      <c r="E360" s="4">
        <v>27.6</v>
      </c>
      <c r="F360" s="4">
        <v>5.0999999999999996</v>
      </c>
      <c r="G360" s="4">
        <v>169</v>
      </c>
      <c r="H360" s="4">
        <f t="shared" si="5"/>
        <v>0.16900000000000001</v>
      </c>
      <c r="I360" s="8">
        <v>45245</v>
      </c>
      <c r="K360" s="4" t="s">
        <v>474</v>
      </c>
      <c r="L360" s="4" t="s">
        <v>475</v>
      </c>
      <c r="M360" s="4" t="s">
        <v>476</v>
      </c>
      <c r="N360" s="4" t="s">
        <v>477</v>
      </c>
      <c r="O360" s="11">
        <v>1</v>
      </c>
      <c r="P360" s="4" t="s">
        <v>474</v>
      </c>
      <c r="Q360" s="4" t="s">
        <v>478</v>
      </c>
      <c r="R360" s="4" t="s">
        <v>462</v>
      </c>
      <c r="S360" s="11">
        <v>10</v>
      </c>
      <c r="T360" s="11">
        <v>4</v>
      </c>
    </row>
    <row r="361" spans="1:20" ht="12.75" customHeight="1">
      <c r="A361" s="4" t="s">
        <v>390</v>
      </c>
      <c r="B361" s="14" t="s">
        <v>472</v>
      </c>
      <c r="C361" s="6" t="s">
        <v>473</v>
      </c>
      <c r="D361" s="4">
        <v>21</v>
      </c>
      <c r="E361" s="4">
        <v>27.1</v>
      </c>
      <c r="F361" s="4">
        <v>4.5999999999999996</v>
      </c>
      <c r="G361" s="4">
        <v>127</v>
      </c>
      <c r="H361" s="4">
        <f t="shared" si="5"/>
        <v>0.127</v>
      </c>
      <c r="I361" s="8">
        <v>45245</v>
      </c>
      <c r="K361" s="4" t="s">
        <v>474</v>
      </c>
      <c r="L361" s="4" t="s">
        <v>475</v>
      </c>
      <c r="M361" s="4" t="s">
        <v>476</v>
      </c>
      <c r="N361" s="4" t="s">
        <v>477</v>
      </c>
      <c r="O361" s="11">
        <v>1</v>
      </c>
      <c r="P361" s="4" t="s">
        <v>474</v>
      </c>
      <c r="Q361" s="4" t="s">
        <v>478</v>
      </c>
      <c r="R361" s="4" t="s">
        <v>462</v>
      </c>
      <c r="S361" s="11">
        <v>10</v>
      </c>
      <c r="T361" s="11">
        <v>4</v>
      </c>
    </row>
    <row r="362" spans="1:20" ht="12.75" customHeight="1">
      <c r="A362" s="4" t="s">
        <v>391</v>
      </c>
      <c r="B362" s="14" t="s">
        <v>472</v>
      </c>
      <c r="C362" s="6" t="s">
        <v>473</v>
      </c>
      <c r="D362" s="4">
        <v>19.7</v>
      </c>
      <c r="E362" s="4">
        <v>25.6</v>
      </c>
      <c r="F362" s="4">
        <v>4.7</v>
      </c>
      <c r="G362" s="4">
        <v>121</v>
      </c>
      <c r="H362" s="4">
        <f t="shared" si="5"/>
        <v>0.121</v>
      </c>
      <c r="I362" s="8">
        <v>45245</v>
      </c>
      <c r="K362" s="4" t="s">
        <v>474</v>
      </c>
      <c r="L362" s="4" t="s">
        <v>475</v>
      </c>
      <c r="M362" s="4" t="s">
        <v>476</v>
      </c>
      <c r="N362" s="4" t="s">
        <v>477</v>
      </c>
      <c r="O362" s="11">
        <v>1</v>
      </c>
      <c r="P362" s="4" t="s">
        <v>474</v>
      </c>
      <c r="Q362" s="4" t="s">
        <v>478</v>
      </c>
      <c r="R362" s="4" t="s">
        <v>462</v>
      </c>
      <c r="S362" s="11">
        <v>10</v>
      </c>
      <c r="T362" s="11">
        <v>4</v>
      </c>
    </row>
    <row r="363" spans="1:20" ht="12.75" customHeight="1">
      <c r="A363" s="4" t="s">
        <v>392</v>
      </c>
      <c r="B363" s="14" t="s">
        <v>472</v>
      </c>
      <c r="C363" s="6" t="s">
        <v>493</v>
      </c>
      <c r="D363" s="4">
        <v>24</v>
      </c>
      <c r="E363" s="4">
        <v>31.3</v>
      </c>
      <c r="F363" s="4">
        <v>6.2</v>
      </c>
      <c r="G363" s="4">
        <v>223</v>
      </c>
      <c r="H363" s="4">
        <f t="shared" si="5"/>
        <v>0.223</v>
      </c>
      <c r="I363" s="8">
        <v>45245</v>
      </c>
      <c r="K363" s="4" t="s">
        <v>474</v>
      </c>
      <c r="L363" s="4" t="s">
        <v>475</v>
      </c>
      <c r="M363" s="4" t="s">
        <v>476</v>
      </c>
      <c r="N363" s="4" t="s">
        <v>477</v>
      </c>
      <c r="O363" s="11">
        <v>1</v>
      </c>
      <c r="P363" s="4" t="s">
        <v>474</v>
      </c>
      <c r="Q363" s="4" t="s">
        <v>478</v>
      </c>
      <c r="R363" s="4" t="s">
        <v>462</v>
      </c>
      <c r="S363" s="11">
        <v>10</v>
      </c>
      <c r="T363" s="11">
        <v>4</v>
      </c>
    </row>
    <row r="364" spans="1:20" ht="12.75" customHeight="1">
      <c r="A364" s="4" t="s">
        <v>393</v>
      </c>
      <c r="B364" s="14" t="s">
        <v>472</v>
      </c>
      <c r="C364" s="6" t="s">
        <v>493</v>
      </c>
      <c r="D364" s="4">
        <v>20.8</v>
      </c>
      <c r="E364" s="4">
        <v>25.7</v>
      </c>
      <c r="F364" s="4">
        <v>6.3</v>
      </c>
      <c r="G364" s="4">
        <v>179</v>
      </c>
      <c r="H364" s="4">
        <f t="shared" si="5"/>
        <v>0.17899999999999999</v>
      </c>
      <c r="I364" s="8">
        <v>45245</v>
      </c>
      <c r="K364" s="4" t="s">
        <v>474</v>
      </c>
      <c r="L364" s="4" t="s">
        <v>475</v>
      </c>
      <c r="M364" s="4" t="s">
        <v>476</v>
      </c>
      <c r="N364" s="4" t="s">
        <v>477</v>
      </c>
      <c r="O364" s="11">
        <v>1</v>
      </c>
      <c r="P364" s="4" t="s">
        <v>474</v>
      </c>
      <c r="Q364" s="4" t="s">
        <v>478</v>
      </c>
      <c r="R364" s="4" t="s">
        <v>462</v>
      </c>
      <c r="S364" s="11">
        <v>10</v>
      </c>
      <c r="T364" s="11">
        <v>4</v>
      </c>
    </row>
    <row r="365" spans="1:20" ht="12.75" customHeight="1">
      <c r="A365" s="4" t="s">
        <v>394</v>
      </c>
      <c r="B365" s="14" t="s">
        <v>472</v>
      </c>
      <c r="C365" s="6" t="s">
        <v>479</v>
      </c>
      <c r="D365" s="4">
        <v>33.799999999999997</v>
      </c>
      <c r="E365" s="4">
        <v>43.1</v>
      </c>
      <c r="F365" s="4">
        <v>9</v>
      </c>
      <c r="G365" s="4">
        <v>641</v>
      </c>
      <c r="H365" s="4">
        <f t="shared" si="5"/>
        <v>0.64100000000000001</v>
      </c>
      <c r="I365" s="8">
        <v>45245</v>
      </c>
      <c r="K365" s="4" t="s">
        <v>474</v>
      </c>
      <c r="L365" s="4" t="s">
        <v>475</v>
      </c>
      <c r="M365" s="4" t="s">
        <v>476</v>
      </c>
      <c r="N365" s="4" t="s">
        <v>477</v>
      </c>
      <c r="O365" s="11">
        <v>1</v>
      </c>
      <c r="P365" s="4" t="s">
        <v>474</v>
      </c>
      <c r="Q365" s="4" t="s">
        <v>478</v>
      </c>
      <c r="R365" s="4" t="s">
        <v>462</v>
      </c>
      <c r="S365" s="11">
        <v>10</v>
      </c>
      <c r="T365" s="11">
        <v>4</v>
      </c>
    </row>
    <row r="366" spans="1:20" ht="12.75" customHeight="1">
      <c r="A366" s="4" t="s">
        <v>395</v>
      </c>
      <c r="B366" s="14" t="s">
        <v>472</v>
      </c>
      <c r="C366" s="6" t="s">
        <v>479</v>
      </c>
      <c r="D366" s="4">
        <v>23.9</v>
      </c>
      <c r="E366" s="4">
        <v>29.4</v>
      </c>
      <c r="F366" s="4">
        <v>5.6</v>
      </c>
      <c r="G366" s="4">
        <v>237</v>
      </c>
      <c r="H366" s="4">
        <f t="shared" si="5"/>
        <v>0.23699999999999999</v>
      </c>
      <c r="I366" s="8">
        <v>45245</v>
      </c>
      <c r="K366" s="4" t="s">
        <v>474</v>
      </c>
      <c r="L366" s="4" t="s">
        <v>475</v>
      </c>
      <c r="M366" s="4" t="s">
        <v>476</v>
      </c>
      <c r="N366" s="4" t="s">
        <v>477</v>
      </c>
      <c r="O366" s="11">
        <v>1</v>
      </c>
      <c r="P366" s="4" t="s">
        <v>474</v>
      </c>
      <c r="Q366" s="4" t="s">
        <v>478</v>
      </c>
      <c r="R366" s="4" t="s">
        <v>462</v>
      </c>
      <c r="S366" s="11">
        <v>10</v>
      </c>
      <c r="T366" s="11">
        <v>4</v>
      </c>
    </row>
    <row r="367" spans="1:20" ht="12.75" customHeight="1">
      <c r="A367" s="4" t="s">
        <v>396</v>
      </c>
      <c r="B367" s="14" t="s">
        <v>472</v>
      </c>
      <c r="C367" s="6" t="s">
        <v>493</v>
      </c>
      <c r="D367" s="4">
        <v>22.9</v>
      </c>
      <c r="E367" s="4">
        <v>29.2</v>
      </c>
      <c r="F367" s="4">
        <v>5.8</v>
      </c>
      <c r="G367" s="4">
        <v>166</v>
      </c>
      <c r="H367" s="4">
        <f t="shared" si="5"/>
        <v>0.16600000000000001</v>
      </c>
      <c r="I367" s="8">
        <v>45245</v>
      </c>
      <c r="K367" s="4" t="s">
        <v>474</v>
      </c>
      <c r="L367" s="4" t="s">
        <v>475</v>
      </c>
      <c r="M367" s="4" t="s">
        <v>476</v>
      </c>
      <c r="N367" s="4" t="s">
        <v>477</v>
      </c>
      <c r="O367" s="11">
        <v>1</v>
      </c>
      <c r="P367" s="4" t="s">
        <v>474</v>
      </c>
      <c r="Q367" s="4" t="s">
        <v>478</v>
      </c>
      <c r="R367" s="4" t="s">
        <v>462</v>
      </c>
      <c r="S367" s="11">
        <v>10</v>
      </c>
      <c r="T367" s="11">
        <v>4</v>
      </c>
    </row>
    <row r="368" spans="1:20" ht="12.75" customHeight="1">
      <c r="A368" s="4" t="s">
        <v>397</v>
      </c>
      <c r="B368" s="14" t="s">
        <v>472</v>
      </c>
      <c r="C368" s="6" t="s">
        <v>482</v>
      </c>
      <c r="D368" s="4">
        <v>26.4</v>
      </c>
      <c r="E368" s="4">
        <v>35.299999999999997</v>
      </c>
      <c r="F368" s="4">
        <v>8.3000000000000007</v>
      </c>
      <c r="G368" s="4">
        <v>363</v>
      </c>
      <c r="H368" s="4">
        <f t="shared" si="5"/>
        <v>0.36299999999999999</v>
      </c>
      <c r="I368" s="8">
        <v>45245</v>
      </c>
      <c r="K368" s="4" t="s">
        <v>474</v>
      </c>
      <c r="L368" s="4" t="s">
        <v>475</v>
      </c>
      <c r="M368" s="4" t="s">
        <v>476</v>
      </c>
      <c r="N368" s="4" t="s">
        <v>477</v>
      </c>
      <c r="O368" s="11">
        <v>1</v>
      </c>
      <c r="P368" s="4" t="s">
        <v>474</v>
      </c>
      <c r="Q368" s="4" t="s">
        <v>478</v>
      </c>
      <c r="R368" s="4" t="s">
        <v>462</v>
      </c>
      <c r="S368" s="11">
        <v>10</v>
      </c>
      <c r="T368" s="11">
        <v>4</v>
      </c>
    </row>
    <row r="369" spans="1:20" ht="12.75" customHeight="1">
      <c r="A369" s="4" t="s">
        <v>398</v>
      </c>
      <c r="B369" s="14" t="s">
        <v>472</v>
      </c>
      <c r="C369" s="6" t="s">
        <v>493</v>
      </c>
      <c r="D369" s="4">
        <v>12.9</v>
      </c>
      <c r="E369" s="4">
        <v>17</v>
      </c>
      <c r="F369" s="4">
        <v>2.4</v>
      </c>
      <c r="G369" s="4">
        <v>36</v>
      </c>
      <c r="H369" s="4">
        <f t="shared" si="5"/>
        <v>3.5999999999999997E-2</v>
      </c>
      <c r="I369" s="8">
        <v>45245</v>
      </c>
      <c r="K369" s="4" t="s">
        <v>474</v>
      </c>
      <c r="L369" s="4" t="s">
        <v>475</v>
      </c>
      <c r="M369" s="4" t="s">
        <v>476</v>
      </c>
      <c r="N369" s="4" t="s">
        <v>477</v>
      </c>
      <c r="O369" s="11">
        <v>1</v>
      </c>
      <c r="P369" s="4" t="s">
        <v>474</v>
      </c>
      <c r="Q369" s="4" t="s">
        <v>478</v>
      </c>
      <c r="R369" s="4" t="s">
        <v>462</v>
      </c>
      <c r="S369" s="11">
        <v>10</v>
      </c>
      <c r="T369" s="11">
        <v>4</v>
      </c>
    </row>
    <row r="370" spans="1:20" ht="12.75" customHeight="1">
      <c r="A370" s="4" t="s">
        <v>399</v>
      </c>
      <c r="B370" s="14" t="s">
        <v>472</v>
      </c>
      <c r="C370" s="6" t="s">
        <v>473</v>
      </c>
      <c r="D370" s="4">
        <v>17.5</v>
      </c>
      <c r="E370" s="4">
        <v>22.1</v>
      </c>
      <c r="F370" s="4">
        <v>3.9</v>
      </c>
      <c r="G370" s="4">
        <v>73</v>
      </c>
      <c r="H370" s="4">
        <f t="shared" si="5"/>
        <v>7.2999999999999995E-2</v>
      </c>
      <c r="I370" s="8">
        <v>45245</v>
      </c>
      <c r="K370" s="4" t="s">
        <v>474</v>
      </c>
      <c r="L370" s="4" t="s">
        <v>475</v>
      </c>
      <c r="M370" s="4" t="s">
        <v>476</v>
      </c>
      <c r="N370" s="4" t="s">
        <v>477</v>
      </c>
      <c r="O370" s="11">
        <v>1</v>
      </c>
      <c r="P370" s="4" t="s">
        <v>474</v>
      </c>
      <c r="Q370" s="4" t="s">
        <v>478</v>
      </c>
      <c r="R370" s="4" t="s">
        <v>462</v>
      </c>
      <c r="S370" s="11">
        <v>10</v>
      </c>
      <c r="T370" s="11">
        <v>4</v>
      </c>
    </row>
    <row r="371" spans="1:20" ht="12.75" customHeight="1">
      <c r="A371" s="4" t="s">
        <v>400</v>
      </c>
      <c r="B371" s="14" t="s">
        <v>472</v>
      </c>
      <c r="C371" s="6" t="s">
        <v>493</v>
      </c>
      <c r="D371" s="4">
        <v>23.8</v>
      </c>
      <c r="E371" s="4">
        <v>31</v>
      </c>
      <c r="F371" s="4">
        <v>6.7</v>
      </c>
      <c r="G371" s="4">
        <v>281</v>
      </c>
      <c r="H371" s="4">
        <f t="shared" si="5"/>
        <v>0.28100000000000003</v>
      </c>
      <c r="I371" s="8">
        <v>45245</v>
      </c>
      <c r="K371" s="4" t="s">
        <v>474</v>
      </c>
      <c r="L371" s="4" t="s">
        <v>475</v>
      </c>
      <c r="M371" s="4" t="s">
        <v>476</v>
      </c>
      <c r="N371" s="4" t="s">
        <v>477</v>
      </c>
      <c r="O371" s="11">
        <v>1</v>
      </c>
      <c r="P371" s="4" t="s">
        <v>474</v>
      </c>
      <c r="Q371" s="4" t="s">
        <v>478</v>
      </c>
      <c r="R371" s="4" t="s">
        <v>462</v>
      </c>
      <c r="S371" s="11">
        <v>10</v>
      </c>
      <c r="T371" s="11">
        <v>4</v>
      </c>
    </row>
    <row r="372" spans="1:20" ht="12.75" customHeight="1">
      <c r="A372" s="4" t="s">
        <v>401</v>
      </c>
      <c r="B372" s="14" t="s">
        <v>472</v>
      </c>
      <c r="C372" s="6" t="s">
        <v>493</v>
      </c>
      <c r="D372" s="4">
        <v>22.1</v>
      </c>
      <c r="E372" s="4">
        <v>27.1</v>
      </c>
      <c r="F372" s="4">
        <v>6.3</v>
      </c>
      <c r="G372" s="4">
        <v>204</v>
      </c>
      <c r="H372" s="4">
        <f t="shared" si="5"/>
        <v>0.20399999999999999</v>
      </c>
      <c r="I372" s="8">
        <v>45245</v>
      </c>
      <c r="K372" s="4" t="s">
        <v>474</v>
      </c>
      <c r="L372" s="4" t="s">
        <v>475</v>
      </c>
      <c r="M372" s="4" t="s">
        <v>476</v>
      </c>
      <c r="N372" s="4" t="s">
        <v>477</v>
      </c>
      <c r="O372" s="11">
        <v>1</v>
      </c>
      <c r="P372" s="4" t="s">
        <v>474</v>
      </c>
      <c r="Q372" s="4" t="s">
        <v>478</v>
      </c>
      <c r="R372" s="4" t="s">
        <v>462</v>
      </c>
      <c r="S372" s="11">
        <v>10</v>
      </c>
      <c r="T372" s="11">
        <v>4</v>
      </c>
    </row>
    <row r="373" spans="1:20" ht="12.75" customHeight="1">
      <c r="A373" s="4" t="s">
        <v>402</v>
      </c>
      <c r="B373" s="14" t="s">
        <v>472</v>
      </c>
      <c r="C373" s="6" t="s">
        <v>493</v>
      </c>
      <c r="D373" s="4">
        <v>20.2</v>
      </c>
      <c r="E373" s="4">
        <v>24.3</v>
      </c>
      <c r="F373" s="4">
        <v>5.5</v>
      </c>
      <c r="G373" s="4">
        <v>135</v>
      </c>
      <c r="H373" s="4">
        <f t="shared" si="5"/>
        <v>0.13500000000000001</v>
      </c>
      <c r="I373" s="8">
        <v>45245</v>
      </c>
      <c r="K373" s="4" t="s">
        <v>474</v>
      </c>
      <c r="L373" s="4" t="s">
        <v>475</v>
      </c>
      <c r="M373" s="4" t="s">
        <v>476</v>
      </c>
      <c r="N373" s="4" t="s">
        <v>477</v>
      </c>
      <c r="O373" s="11">
        <v>1</v>
      </c>
      <c r="P373" s="4" t="s">
        <v>474</v>
      </c>
      <c r="Q373" s="4" t="s">
        <v>478</v>
      </c>
      <c r="R373" s="4" t="s">
        <v>462</v>
      </c>
      <c r="S373" s="11">
        <v>10</v>
      </c>
      <c r="T373" s="11">
        <v>4</v>
      </c>
    </row>
    <row r="374" spans="1:20" ht="12.75" customHeight="1">
      <c r="A374" s="4" t="s">
        <v>403</v>
      </c>
      <c r="B374" s="14" t="s">
        <v>472</v>
      </c>
      <c r="C374" s="6" t="s">
        <v>473</v>
      </c>
      <c r="D374" s="4">
        <v>18.399999999999999</v>
      </c>
      <c r="E374" s="4">
        <v>22.9</v>
      </c>
      <c r="F374" s="4">
        <v>4.2</v>
      </c>
      <c r="G374" s="4">
        <v>92</v>
      </c>
      <c r="H374" s="4">
        <f t="shared" si="5"/>
        <v>9.1999999999999998E-2</v>
      </c>
      <c r="I374" s="8">
        <v>45245</v>
      </c>
      <c r="K374" s="4" t="s">
        <v>474</v>
      </c>
      <c r="L374" s="4" t="s">
        <v>475</v>
      </c>
      <c r="M374" s="4" t="s">
        <v>476</v>
      </c>
      <c r="N374" s="4" t="s">
        <v>477</v>
      </c>
      <c r="O374" s="11">
        <v>1</v>
      </c>
      <c r="P374" s="4" t="s">
        <v>474</v>
      </c>
      <c r="Q374" s="4" t="s">
        <v>478</v>
      </c>
      <c r="R374" s="4" t="s">
        <v>462</v>
      </c>
      <c r="S374" s="11">
        <v>10</v>
      </c>
      <c r="T374" s="11">
        <v>4</v>
      </c>
    </row>
    <row r="375" spans="1:20" ht="12.75" customHeight="1">
      <c r="A375" s="4" t="s">
        <v>404</v>
      </c>
      <c r="B375" s="14" t="s">
        <v>472</v>
      </c>
      <c r="C375" s="6" t="s">
        <v>493</v>
      </c>
      <c r="D375" s="4">
        <v>20.3</v>
      </c>
      <c r="E375" s="4">
        <v>24.3</v>
      </c>
      <c r="F375" s="4">
        <v>5.0999999999999996</v>
      </c>
      <c r="G375" s="4">
        <v>156</v>
      </c>
      <c r="H375" s="4">
        <f t="shared" si="5"/>
        <v>0.156</v>
      </c>
      <c r="I375" s="8">
        <v>45245</v>
      </c>
      <c r="K375" s="4" t="s">
        <v>474</v>
      </c>
      <c r="L375" s="4" t="s">
        <v>475</v>
      </c>
      <c r="M375" s="4" t="s">
        <v>476</v>
      </c>
      <c r="N375" s="4" t="s">
        <v>477</v>
      </c>
      <c r="O375" s="11">
        <v>1</v>
      </c>
      <c r="P375" s="4" t="s">
        <v>474</v>
      </c>
      <c r="Q375" s="4" t="s">
        <v>478</v>
      </c>
      <c r="R375" s="4" t="s">
        <v>462</v>
      </c>
      <c r="S375" s="11">
        <v>10</v>
      </c>
      <c r="T375" s="11">
        <v>4</v>
      </c>
    </row>
    <row r="376" spans="1:20" ht="12.75" customHeight="1">
      <c r="A376" s="4" t="s">
        <v>405</v>
      </c>
      <c r="B376" s="14" t="s">
        <v>472</v>
      </c>
      <c r="C376" s="6" t="s">
        <v>493</v>
      </c>
      <c r="D376" s="4">
        <v>23.2</v>
      </c>
      <c r="E376" s="4">
        <v>29.5</v>
      </c>
      <c r="F376" s="4">
        <v>6</v>
      </c>
      <c r="G376" s="4">
        <v>256</v>
      </c>
      <c r="H376" s="4">
        <f t="shared" si="5"/>
        <v>0.25600000000000001</v>
      </c>
      <c r="I376" s="8">
        <v>45245</v>
      </c>
      <c r="K376" s="4" t="s">
        <v>474</v>
      </c>
      <c r="L376" s="4" t="s">
        <v>475</v>
      </c>
      <c r="M376" s="4" t="s">
        <v>476</v>
      </c>
      <c r="N376" s="4" t="s">
        <v>477</v>
      </c>
      <c r="O376" s="11">
        <v>1</v>
      </c>
      <c r="P376" s="4" t="s">
        <v>474</v>
      </c>
      <c r="Q376" s="4" t="s">
        <v>478</v>
      </c>
      <c r="R376" s="4" t="s">
        <v>462</v>
      </c>
      <c r="S376" s="11">
        <v>10</v>
      </c>
      <c r="T376" s="11">
        <v>4</v>
      </c>
    </row>
    <row r="377" spans="1:20" ht="12.75" customHeight="1">
      <c r="A377" s="4" t="s">
        <v>406</v>
      </c>
      <c r="B377" s="14" t="s">
        <v>472</v>
      </c>
      <c r="C377" s="6" t="s">
        <v>493</v>
      </c>
      <c r="D377" s="4">
        <v>22.1</v>
      </c>
      <c r="E377" s="4">
        <v>26.8</v>
      </c>
      <c r="F377" s="4">
        <v>6.9</v>
      </c>
      <c r="G377" s="4">
        <v>206</v>
      </c>
      <c r="H377" s="4">
        <f t="shared" si="5"/>
        <v>0.20599999999999999</v>
      </c>
      <c r="I377" s="8">
        <v>45245</v>
      </c>
      <c r="K377" s="4" t="s">
        <v>474</v>
      </c>
      <c r="L377" s="4" t="s">
        <v>475</v>
      </c>
      <c r="M377" s="4" t="s">
        <v>476</v>
      </c>
      <c r="N377" s="4" t="s">
        <v>477</v>
      </c>
      <c r="O377" s="11">
        <v>1</v>
      </c>
      <c r="P377" s="4" t="s">
        <v>474</v>
      </c>
      <c r="Q377" s="4" t="s">
        <v>478</v>
      </c>
      <c r="R377" s="4" t="s">
        <v>462</v>
      </c>
      <c r="S377" s="11">
        <v>10</v>
      </c>
      <c r="T377" s="11">
        <v>4</v>
      </c>
    </row>
    <row r="378" spans="1:20" ht="12.75" customHeight="1">
      <c r="A378" s="4" t="s">
        <v>407</v>
      </c>
      <c r="B378" s="14" t="s">
        <v>472</v>
      </c>
      <c r="C378" s="6" t="s">
        <v>493</v>
      </c>
      <c r="D378" s="4">
        <v>11.2</v>
      </c>
      <c r="E378" s="4">
        <v>14.3</v>
      </c>
      <c r="F378" s="4">
        <v>2.2999999999999998</v>
      </c>
      <c r="G378" s="4">
        <v>29</v>
      </c>
      <c r="H378" s="4">
        <f t="shared" si="5"/>
        <v>2.9000000000000001E-2</v>
      </c>
      <c r="I378" s="8">
        <v>45245</v>
      </c>
      <c r="K378" s="4" t="s">
        <v>474</v>
      </c>
      <c r="L378" s="4" t="s">
        <v>475</v>
      </c>
      <c r="M378" s="4" t="s">
        <v>476</v>
      </c>
      <c r="N378" s="4" t="s">
        <v>477</v>
      </c>
      <c r="O378" s="11">
        <v>1</v>
      </c>
      <c r="P378" s="4" t="s">
        <v>474</v>
      </c>
      <c r="Q378" s="4" t="s">
        <v>478</v>
      </c>
      <c r="R378" s="4" t="s">
        <v>462</v>
      </c>
      <c r="S378" s="11">
        <v>10</v>
      </c>
      <c r="T378" s="11">
        <v>4</v>
      </c>
    </row>
    <row r="379" spans="1:20" ht="12.75" customHeight="1">
      <c r="A379" s="4" t="s">
        <v>408</v>
      </c>
      <c r="B379" s="14" t="s">
        <v>472</v>
      </c>
      <c r="C379" s="6" t="s">
        <v>473</v>
      </c>
      <c r="D379" s="4">
        <v>21</v>
      </c>
      <c r="E379" s="4">
        <v>27.5</v>
      </c>
      <c r="F379" s="4">
        <v>3.6</v>
      </c>
      <c r="G379" s="4">
        <v>123</v>
      </c>
      <c r="H379" s="4">
        <f t="shared" si="5"/>
        <v>0.123</v>
      </c>
      <c r="I379" s="8">
        <v>45245</v>
      </c>
      <c r="K379" s="4" t="s">
        <v>474</v>
      </c>
      <c r="L379" s="4" t="s">
        <v>475</v>
      </c>
      <c r="M379" s="4" t="s">
        <v>476</v>
      </c>
      <c r="N379" s="4" t="s">
        <v>477</v>
      </c>
      <c r="O379" s="11">
        <v>1</v>
      </c>
      <c r="P379" s="4" t="s">
        <v>474</v>
      </c>
      <c r="Q379" s="4" t="s">
        <v>478</v>
      </c>
      <c r="R379" s="4" t="s">
        <v>462</v>
      </c>
      <c r="S379" s="11">
        <v>10</v>
      </c>
      <c r="T379" s="11">
        <v>4</v>
      </c>
    </row>
    <row r="380" spans="1:20" ht="12.75" customHeight="1">
      <c r="A380" s="4" t="s">
        <v>409</v>
      </c>
      <c r="B380" s="14" t="s">
        <v>472</v>
      </c>
      <c r="C380" s="6" t="s">
        <v>493</v>
      </c>
      <c r="D380" s="4">
        <v>13.2</v>
      </c>
      <c r="E380" s="4">
        <v>16.399999999999999</v>
      </c>
      <c r="F380" s="4">
        <v>3.3</v>
      </c>
      <c r="G380" s="4">
        <v>41</v>
      </c>
      <c r="H380" s="4">
        <f t="shared" si="5"/>
        <v>4.1000000000000002E-2</v>
      </c>
      <c r="I380" s="8">
        <v>45245</v>
      </c>
      <c r="K380" s="4" t="s">
        <v>474</v>
      </c>
      <c r="L380" s="4" t="s">
        <v>475</v>
      </c>
      <c r="M380" s="4" t="s">
        <v>476</v>
      </c>
      <c r="N380" s="4" t="s">
        <v>477</v>
      </c>
      <c r="O380" s="11">
        <v>1</v>
      </c>
      <c r="P380" s="4" t="s">
        <v>474</v>
      </c>
      <c r="Q380" s="4" t="s">
        <v>478</v>
      </c>
      <c r="R380" s="4" t="s">
        <v>462</v>
      </c>
      <c r="S380" s="11">
        <v>10</v>
      </c>
      <c r="T380" s="11">
        <v>4</v>
      </c>
    </row>
    <row r="381" spans="1:20" ht="12.75" customHeight="1">
      <c r="A381" s="4" t="s">
        <v>410</v>
      </c>
      <c r="B381" s="14" t="s">
        <v>472</v>
      </c>
      <c r="C381" s="6" t="s">
        <v>493</v>
      </c>
      <c r="D381" s="4">
        <v>22.2</v>
      </c>
      <c r="E381" s="4">
        <v>27.6</v>
      </c>
      <c r="F381" s="4">
        <v>6</v>
      </c>
      <c r="G381" s="4">
        <v>189</v>
      </c>
      <c r="H381" s="4">
        <f t="shared" si="5"/>
        <v>0.189</v>
      </c>
      <c r="I381" s="8">
        <v>45245</v>
      </c>
      <c r="K381" s="4" t="s">
        <v>474</v>
      </c>
      <c r="L381" s="4" t="s">
        <v>475</v>
      </c>
      <c r="M381" s="4" t="s">
        <v>476</v>
      </c>
      <c r="N381" s="4" t="s">
        <v>477</v>
      </c>
      <c r="O381" s="11">
        <v>1</v>
      </c>
      <c r="P381" s="4" t="s">
        <v>474</v>
      </c>
      <c r="Q381" s="4" t="s">
        <v>478</v>
      </c>
      <c r="R381" s="4" t="s">
        <v>462</v>
      </c>
      <c r="S381" s="11">
        <v>10</v>
      </c>
      <c r="T381" s="11">
        <v>4</v>
      </c>
    </row>
    <row r="382" spans="1:20" ht="12.75" customHeight="1">
      <c r="A382" s="4" t="s">
        <v>411</v>
      </c>
      <c r="B382" s="14" t="s">
        <v>472</v>
      </c>
      <c r="C382" s="6" t="s">
        <v>493</v>
      </c>
      <c r="D382" s="4">
        <v>24.6</v>
      </c>
      <c r="E382" s="4">
        <v>31.3</v>
      </c>
      <c r="F382" s="4">
        <v>6.9</v>
      </c>
      <c r="G382" s="4">
        <v>238</v>
      </c>
      <c r="H382" s="4">
        <f t="shared" si="5"/>
        <v>0.23799999999999999</v>
      </c>
      <c r="I382" s="8">
        <v>45245</v>
      </c>
      <c r="K382" s="4" t="s">
        <v>474</v>
      </c>
      <c r="L382" s="4" t="s">
        <v>475</v>
      </c>
      <c r="M382" s="4" t="s">
        <v>476</v>
      </c>
      <c r="N382" s="4" t="s">
        <v>477</v>
      </c>
      <c r="O382" s="11">
        <v>1</v>
      </c>
      <c r="P382" s="4" t="s">
        <v>474</v>
      </c>
      <c r="Q382" s="4" t="s">
        <v>478</v>
      </c>
      <c r="R382" s="4" t="s">
        <v>462</v>
      </c>
      <c r="S382" s="11">
        <v>10</v>
      </c>
      <c r="T382" s="11">
        <v>4</v>
      </c>
    </row>
    <row r="383" spans="1:20" ht="12.75" customHeight="1">
      <c r="A383" s="4" t="s">
        <v>412</v>
      </c>
      <c r="B383" s="14" t="s">
        <v>472</v>
      </c>
      <c r="C383" s="6" t="s">
        <v>493</v>
      </c>
      <c r="D383" s="4">
        <v>23.4</v>
      </c>
      <c r="E383" s="4">
        <v>29</v>
      </c>
      <c r="F383" s="4">
        <v>6</v>
      </c>
      <c r="G383" s="4">
        <v>216</v>
      </c>
      <c r="H383" s="4">
        <f t="shared" si="5"/>
        <v>0.216</v>
      </c>
      <c r="I383" s="8">
        <v>45245</v>
      </c>
      <c r="K383" s="4" t="s">
        <v>474</v>
      </c>
      <c r="L383" s="4" t="s">
        <v>475</v>
      </c>
      <c r="M383" s="4" t="s">
        <v>476</v>
      </c>
      <c r="N383" s="4" t="s">
        <v>477</v>
      </c>
      <c r="O383" s="11">
        <v>1</v>
      </c>
      <c r="P383" s="4" t="s">
        <v>474</v>
      </c>
      <c r="Q383" s="4" t="s">
        <v>478</v>
      </c>
      <c r="R383" s="4" t="s">
        <v>462</v>
      </c>
      <c r="S383" s="11">
        <v>10</v>
      </c>
      <c r="T383" s="11">
        <v>4</v>
      </c>
    </row>
    <row r="384" spans="1:20" ht="12.75" customHeight="1">
      <c r="A384" s="4" t="s">
        <v>413</v>
      </c>
      <c r="B384" s="14" t="s">
        <v>472</v>
      </c>
      <c r="C384" s="6" t="s">
        <v>493</v>
      </c>
      <c r="D384" s="4">
        <v>24.2</v>
      </c>
      <c r="E384" s="4">
        <v>29.5</v>
      </c>
      <c r="F384" s="4">
        <v>6.1</v>
      </c>
      <c r="G384" s="4">
        <v>211</v>
      </c>
      <c r="H384" s="4">
        <f t="shared" si="5"/>
        <v>0.21099999999999999</v>
      </c>
      <c r="I384" s="8">
        <v>45245</v>
      </c>
      <c r="K384" s="4" t="s">
        <v>474</v>
      </c>
      <c r="L384" s="4" t="s">
        <v>475</v>
      </c>
      <c r="M384" s="4" t="s">
        <v>476</v>
      </c>
      <c r="N384" s="4" t="s">
        <v>477</v>
      </c>
      <c r="O384" s="11">
        <v>1</v>
      </c>
      <c r="P384" s="4" t="s">
        <v>474</v>
      </c>
      <c r="Q384" s="4" t="s">
        <v>478</v>
      </c>
      <c r="R384" s="4" t="s">
        <v>462</v>
      </c>
      <c r="S384" s="11">
        <v>10</v>
      </c>
      <c r="T384" s="11">
        <v>4</v>
      </c>
    </row>
    <row r="385" spans="1:20" ht="12.75" customHeight="1">
      <c r="A385" s="4" t="s">
        <v>414</v>
      </c>
      <c r="B385" s="14" t="s">
        <v>472</v>
      </c>
      <c r="C385" s="6" t="s">
        <v>493</v>
      </c>
      <c r="D385" s="4">
        <v>20.100000000000001</v>
      </c>
      <c r="E385" s="4">
        <v>24.5</v>
      </c>
      <c r="F385" s="4">
        <v>4.9000000000000004</v>
      </c>
      <c r="G385" s="4">
        <v>213</v>
      </c>
      <c r="H385" s="4">
        <f t="shared" si="5"/>
        <v>0.21299999999999999</v>
      </c>
      <c r="I385" s="8">
        <v>45245</v>
      </c>
      <c r="K385" s="4" t="s">
        <v>474</v>
      </c>
      <c r="L385" s="4" t="s">
        <v>475</v>
      </c>
      <c r="M385" s="4" t="s">
        <v>476</v>
      </c>
      <c r="N385" s="4" t="s">
        <v>477</v>
      </c>
      <c r="O385" s="11">
        <v>1</v>
      </c>
      <c r="P385" s="4" t="s">
        <v>474</v>
      </c>
      <c r="Q385" s="4" t="s">
        <v>478</v>
      </c>
      <c r="R385" s="4" t="s">
        <v>462</v>
      </c>
      <c r="S385" s="11">
        <v>10</v>
      </c>
      <c r="T385" s="11">
        <v>4</v>
      </c>
    </row>
    <row r="386" spans="1:20" ht="12.75" customHeight="1">
      <c r="A386" s="4" t="s">
        <v>415</v>
      </c>
      <c r="B386" s="14" t="s">
        <v>472</v>
      </c>
      <c r="C386" s="6" t="s">
        <v>493</v>
      </c>
      <c r="D386" s="4">
        <v>21.7</v>
      </c>
      <c r="E386" s="4">
        <v>26.3</v>
      </c>
      <c r="F386" s="4">
        <v>6</v>
      </c>
      <c r="G386" s="4">
        <v>178</v>
      </c>
      <c r="H386" s="4">
        <f t="shared" si="5"/>
        <v>0.17799999999999999</v>
      </c>
      <c r="I386" s="8">
        <v>45245</v>
      </c>
      <c r="K386" s="4" t="s">
        <v>474</v>
      </c>
      <c r="L386" s="4" t="s">
        <v>475</v>
      </c>
      <c r="M386" s="4" t="s">
        <v>476</v>
      </c>
      <c r="N386" s="4" t="s">
        <v>477</v>
      </c>
      <c r="O386" s="11">
        <v>1</v>
      </c>
      <c r="P386" s="4" t="s">
        <v>474</v>
      </c>
      <c r="Q386" s="4" t="s">
        <v>478</v>
      </c>
      <c r="R386" s="4" t="s">
        <v>462</v>
      </c>
      <c r="S386" s="11">
        <v>10</v>
      </c>
      <c r="T386" s="11">
        <v>4</v>
      </c>
    </row>
    <row r="387" spans="1:20" ht="12.75" customHeight="1">
      <c r="A387" s="4" t="s">
        <v>416</v>
      </c>
      <c r="B387" s="14" t="s">
        <v>472</v>
      </c>
      <c r="C387" s="6" t="s">
        <v>493</v>
      </c>
      <c r="D387" s="4">
        <v>21.1</v>
      </c>
      <c r="E387" s="4">
        <v>25.3</v>
      </c>
      <c r="F387" s="4">
        <v>4.9000000000000004</v>
      </c>
      <c r="G387" s="4">
        <v>154</v>
      </c>
      <c r="H387" s="4">
        <f t="shared" ref="H387:H421" si="6">G387/1000</f>
        <v>0.154</v>
      </c>
      <c r="I387" s="8">
        <v>45245</v>
      </c>
      <c r="K387" s="4" t="s">
        <v>474</v>
      </c>
      <c r="L387" s="4" t="s">
        <v>475</v>
      </c>
      <c r="M387" s="4" t="s">
        <v>476</v>
      </c>
      <c r="N387" s="4" t="s">
        <v>477</v>
      </c>
      <c r="O387" s="11">
        <v>1</v>
      </c>
      <c r="P387" s="4" t="s">
        <v>474</v>
      </c>
      <c r="Q387" s="4" t="s">
        <v>478</v>
      </c>
      <c r="R387" s="4" t="s">
        <v>462</v>
      </c>
      <c r="S387" s="11">
        <v>10</v>
      </c>
      <c r="T387" s="11">
        <v>4</v>
      </c>
    </row>
    <row r="388" spans="1:20" ht="12.75" customHeight="1">
      <c r="A388" s="4" t="s">
        <v>417</v>
      </c>
      <c r="B388" s="14" t="s">
        <v>472</v>
      </c>
      <c r="C388" s="6" t="s">
        <v>493</v>
      </c>
      <c r="D388" s="4">
        <v>22.3</v>
      </c>
      <c r="E388" s="4">
        <v>26.2</v>
      </c>
      <c r="F388" s="4">
        <v>6.3</v>
      </c>
      <c r="G388" s="4">
        <v>186</v>
      </c>
      <c r="H388" s="4">
        <f t="shared" si="6"/>
        <v>0.186</v>
      </c>
      <c r="I388" s="8">
        <v>45245</v>
      </c>
      <c r="K388" s="4" t="s">
        <v>474</v>
      </c>
      <c r="L388" s="4" t="s">
        <v>475</v>
      </c>
      <c r="M388" s="4" t="s">
        <v>476</v>
      </c>
      <c r="N388" s="4" t="s">
        <v>477</v>
      </c>
      <c r="O388" s="11">
        <v>1</v>
      </c>
      <c r="P388" s="4" t="s">
        <v>474</v>
      </c>
      <c r="Q388" s="4" t="s">
        <v>478</v>
      </c>
      <c r="R388" s="4" t="s">
        <v>462</v>
      </c>
      <c r="S388" s="11">
        <v>10</v>
      </c>
      <c r="T388" s="11">
        <v>4</v>
      </c>
    </row>
    <row r="389" spans="1:20" ht="12.75" customHeight="1">
      <c r="A389" s="4" t="s">
        <v>418</v>
      </c>
      <c r="B389" s="14" t="s">
        <v>472</v>
      </c>
      <c r="C389" s="6" t="s">
        <v>493</v>
      </c>
      <c r="D389" s="4">
        <v>19</v>
      </c>
      <c r="E389" s="4">
        <v>23.5</v>
      </c>
      <c r="F389" s="4">
        <v>5.0999999999999996</v>
      </c>
      <c r="G389" s="4">
        <v>112</v>
      </c>
      <c r="H389" s="4">
        <f t="shared" si="6"/>
        <v>0.112</v>
      </c>
      <c r="I389" s="8">
        <v>45245</v>
      </c>
      <c r="K389" s="4" t="s">
        <v>474</v>
      </c>
      <c r="L389" s="4" t="s">
        <v>475</v>
      </c>
      <c r="M389" s="4" t="s">
        <v>476</v>
      </c>
      <c r="N389" s="4" t="s">
        <v>477</v>
      </c>
      <c r="O389" s="11">
        <v>1</v>
      </c>
      <c r="P389" s="4" t="s">
        <v>474</v>
      </c>
      <c r="Q389" s="4" t="s">
        <v>478</v>
      </c>
      <c r="R389" s="4" t="s">
        <v>462</v>
      </c>
      <c r="S389" s="11">
        <v>10</v>
      </c>
      <c r="T389" s="11">
        <v>4</v>
      </c>
    </row>
    <row r="390" spans="1:20" ht="12.75" customHeight="1">
      <c r="A390" s="4" t="s">
        <v>419</v>
      </c>
      <c r="B390" s="14" t="s">
        <v>472</v>
      </c>
      <c r="C390" s="6" t="s">
        <v>493</v>
      </c>
      <c r="D390" s="4">
        <v>22.3</v>
      </c>
      <c r="E390" s="4">
        <v>28.8</v>
      </c>
      <c r="F390" s="4">
        <v>6.5</v>
      </c>
      <c r="G390" s="4">
        <v>214</v>
      </c>
      <c r="H390" s="4">
        <f t="shared" si="6"/>
        <v>0.214</v>
      </c>
      <c r="I390" s="8">
        <v>45245</v>
      </c>
      <c r="K390" s="4" t="s">
        <v>474</v>
      </c>
      <c r="L390" s="4" t="s">
        <v>475</v>
      </c>
      <c r="M390" s="4" t="s">
        <v>476</v>
      </c>
      <c r="N390" s="4" t="s">
        <v>477</v>
      </c>
      <c r="O390" s="11">
        <v>1</v>
      </c>
      <c r="P390" s="4" t="s">
        <v>474</v>
      </c>
      <c r="Q390" s="4" t="s">
        <v>478</v>
      </c>
      <c r="R390" s="4" t="s">
        <v>462</v>
      </c>
      <c r="S390" s="11">
        <v>10</v>
      </c>
      <c r="T390" s="11">
        <v>4</v>
      </c>
    </row>
    <row r="391" spans="1:20" ht="12.75" customHeight="1">
      <c r="A391" s="4" t="s">
        <v>420</v>
      </c>
      <c r="B391" s="14" t="s">
        <v>472</v>
      </c>
      <c r="C391" s="6" t="s">
        <v>493</v>
      </c>
      <c r="D391" s="4">
        <v>23.3</v>
      </c>
      <c r="E391" s="4">
        <v>28.4</v>
      </c>
      <c r="F391" s="4">
        <v>6.3</v>
      </c>
      <c r="G391" s="4">
        <v>176</v>
      </c>
      <c r="H391" s="4">
        <f t="shared" si="6"/>
        <v>0.17599999999999999</v>
      </c>
      <c r="I391" s="8">
        <v>45245</v>
      </c>
      <c r="K391" s="4" t="s">
        <v>474</v>
      </c>
      <c r="L391" s="4" t="s">
        <v>475</v>
      </c>
      <c r="M391" s="4" t="s">
        <v>476</v>
      </c>
      <c r="N391" s="4" t="s">
        <v>477</v>
      </c>
      <c r="O391" s="11">
        <v>1</v>
      </c>
      <c r="P391" s="4" t="s">
        <v>474</v>
      </c>
      <c r="Q391" s="4" t="s">
        <v>478</v>
      </c>
      <c r="R391" s="4" t="s">
        <v>462</v>
      </c>
      <c r="S391" s="11">
        <v>10</v>
      </c>
      <c r="T391" s="11">
        <v>4</v>
      </c>
    </row>
    <row r="392" spans="1:20" ht="12.75" customHeight="1">
      <c r="A392" s="4" t="s">
        <v>421</v>
      </c>
      <c r="B392" s="14" t="s">
        <v>472</v>
      </c>
      <c r="C392" s="6" t="s">
        <v>493</v>
      </c>
      <c r="D392" s="4">
        <v>17.600000000000001</v>
      </c>
      <c r="E392" s="4">
        <v>22.9</v>
      </c>
      <c r="F392" s="4">
        <v>5</v>
      </c>
      <c r="G392" s="4">
        <v>104</v>
      </c>
      <c r="H392" s="4">
        <f t="shared" si="6"/>
        <v>0.104</v>
      </c>
      <c r="I392" s="8">
        <v>45245</v>
      </c>
      <c r="K392" s="4" t="s">
        <v>474</v>
      </c>
      <c r="L392" s="4" t="s">
        <v>475</v>
      </c>
      <c r="M392" s="4" t="s">
        <v>476</v>
      </c>
      <c r="N392" s="4" t="s">
        <v>477</v>
      </c>
      <c r="O392" s="11">
        <v>1</v>
      </c>
      <c r="P392" s="4" t="s">
        <v>474</v>
      </c>
      <c r="Q392" s="4" t="s">
        <v>478</v>
      </c>
      <c r="R392" s="4" t="s">
        <v>462</v>
      </c>
      <c r="S392" s="11">
        <v>10</v>
      </c>
      <c r="T392" s="11">
        <v>4</v>
      </c>
    </row>
    <row r="393" spans="1:20" ht="12.75" customHeight="1">
      <c r="A393" s="4" t="s">
        <v>422</v>
      </c>
      <c r="B393" s="14" t="s">
        <v>472</v>
      </c>
      <c r="C393" s="6" t="s">
        <v>473</v>
      </c>
      <c r="D393" s="4">
        <v>16.399999999999999</v>
      </c>
      <c r="E393" s="4">
        <v>19.899999999999999</v>
      </c>
      <c r="F393" s="4">
        <v>3.9</v>
      </c>
      <c r="G393" s="4">
        <v>60</v>
      </c>
      <c r="H393" s="13">
        <f t="shared" si="6"/>
        <v>0.06</v>
      </c>
      <c r="I393" s="8">
        <v>45245</v>
      </c>
      <c r="K393" s="4" t="s">
        <v>474</v>
      </c>
      <c r="L393" s="4" t="s">
        <v>475</v>
      </c>
      <c r="M393" s="4" t="s">
        <v>476</v>
      </c>
      <c r="N393" s="4" t="s">
        <v>477</v>
      </c>
      <c r="O393" s="11">
        <v>1</v>
      </c>
      <c r="P393" s="4" t="s">
        <v>474</v>
      </c>
      <c r="Q393" s="4" t="s">
        <v>478</v>
      </c>
      <c r="R393" s="4" t="s">
        <v>462</v>
      </c>
      <c r="S393" s="11">
        <v>10</v>
      </c>
      <c r="T393" s="11">
        <v>4</v>
      </c>
    </row>
    <row r="394" spans="1:20" ht="12.75" customHeight="1">
      <c r="A394" s="4" t="s">
        <v>423</v>
      </c>
      <c r="B394" s="14" t="s">
        <v>472</v>
      </c>
      <c r="C394" s="6" t="s">
        <v>493</v>
      </c>
      <c r="D394" s="4">
        <v>23.1</v>
      </c>
      <c r="E394" s="4">
        <v>28.8</v>
      </c>
      <c r="F394" s="4">
        <v>6.2</v>
      </c>
      <c r="G394" s="4">
        <v>224</v>
      </c>
      <c r="H394" s="4">
        <f t="shared" si="6"/>
        <v>0.224</v>
      </c>
      <c r="I394" s="8">
        <v>45245</v>
      </c>
      <c r="K394" s="4" t="s">
        <v>474</v>
      </c>
      <c r="L394" s="4" t="s">
        <v>475</v>
      </c>
      <c r="M394" s="4" t="s">
        <v>476</v>
      </c>
      <c r="N394" s="4" t="s">
        <v>477</v>
      </c>
      <c r="O394" s="11">
        <v>1</v>
      </c>
      <c r="P394" s="4" t="s">
        <v>474</v>
      </c>
      <c r="Q394" s="4" t="s">
        <v>478</v>
      </c>
      <c r="R394" s="4" t="s">
        <v>462</v>
      </c>
      <c r="S394" s="11">
        <v>10</v>
      </c>
      <c r="T394" s="11">
        <v>4</v>
      </c>
    </row>
    <row r="395" spans="1:20" ht="12.75" customHeight="1">
      <c r="A395" s="4" t="s">
        <v>424</v>
      </c>
      <c r="B395" s="14" t="s">
        <v>472</v>
      </c>
      <c r="C395" s="6" t="s">
        <v>493</v>
      </c>
      <c r="D395" s="4">
        <v>24</v>
      </c>
      <c r="E395" s="4">
        <v>30.5</v>
      </c>
      <c r="F395" s="4">
        <v>6.2</v>
      </c>
      <c r="G395" s="4">
        <v>238</v>
      </c>
      <c r="H395" s="4">
        <f t="shared" si="6"/>
        <v>0.23799999999999999</v>
      </c>
      <c r="I395" s="8">
        <v>45245</v>
      </c>
      <c r="K395" s="4" t="s">
        <v>474</v>
      </c>
      <c r="L395" s="4" t="s">
        <v>475</v>
      </c>
      <c r="M395" s="4" t="s">
        <v>476</v>
      </c>
      <c r="N395" s="4" t="s">
        <v>477</v>
      </c>
      <c r="O395" s="11">
        <v>1</v>
      </c>
      <c r="P395" s="4" t="s">
        <v>474</v>
      </c>
      <c r="Q395" s="4" t="s">
        <v>478</v>
      </c>
      <c r="R395" s="4" t="s">
        <v>462</v>
      </c>
      <c r="S395" s="11">
        <v>10</v>
      </c>
      <c r="T395" s="11">
        <v>4</v>
      </c>
    </row>
    <row r="396" spans="1:20" ht="12.75" customHeight="1">
      <c r="A396" s="4" t="s">
        <v>425</v>
      </c>
      <c r="B396" s="14" t="s">
        <v>472</v>
      </c>
      <c r="C396" s="6" t="s">
        <v>493</v>
      </c>
      <c r="D396" s="4">
        <v>21.6</v>
      </c>
      <c r="E396" s="4">
        <v>27</v>
      </c>
      <c r="F396" s="4">
        <v>5.7</v>
      </c>
      <c r="G396" s="4">
        <v>180</v>
      </c>
      <c r="H396" s="13">
        <f t="shared" si="6"/>
        <v>0.18</v>
      </c>
      <c r="I396" s="8">
        <v>45245</v>
      </c>
      <c r="K396" s="4" t="s">
        <v>474</v>
      </c>
      <c r="L396" s="4" t="s">
        <v>475</v>
      </c>
      <c r="M396" s="4" t="s">
        <v>476</v>
      </c>
      <c r="N396" s="4" t="s">
        <v>477</v>
      </c>
      <c r="O396" s="11">
        <v>1</v>
      </c>
      <c r="P396" s="4" t="s">
        <v>474</v>
      </c>
      <c r="Q396" s="4" t="s">
        <v>478</v>
      </c>
      <c r="R396" s="4" t="s">
        <v>462</v>
      </c>
      <c r="S396" s="11">
        <v>10</v>
      </c>
      <c r="T396" s="11">
        <v>4</v>
      </c>
    </row>
    <row r="397" spans="1:20" ht="12.75" customHeight="1">
      <c r="A397" s="4" t="s">
        <v>426</v>
      </c>
      <c r="B397" s="14" t="s">
        <v>472</v>
      </c>
      <c r="C397" s="6" t="s">
        <v>493</v>
      </c>
      <c r="D397" s="4">
        <v>19.100000000000001</v>
      </c>
      <c r="E397" s="4">
        <v>23.8</v>
      </c>
      <c r="F397" s="4">
        <v>4.8</v>
      </c>
      <c r="G397" s="4">
        <v>125</v>
      </c>
      <c r="H397" s="4">
        <f t="shared" si="6"/>
        <v>0.125</v>
      </c>
      <c r="I397" s="8">
        <v>45245</v>
      </c>
      <c r="K397" s="4" t="s">
        <v>474</v>
      </c>
      <c r="L397" s="4" t="s">
        <v>475</v>
      </c>
      <c r="M397" s="4" t="s">
        <v>476</v>
      </c>
      <c r="N397" s="4" t="s">
        <v>477</v>
      </c>
      <c r="O397" s="11">
        <v>1</v>
      </c>
      <c r="P397" s="4" t="s">
        <v>474</v>
      </c>
      <c r="Q397" s="4" t="s">
        <v>478</v>
      </c>
      <c r="R397" s="4" t="s">
        <v>462</v>
      </c>
      <c r="S397" s="11">
        <v>10</v>
      </c>
      <c r="T397" s="11">
        <v>4</v>
      </c>
    </row>
    <row r="398" spans="1:20" ht="12.75" customHeight="1">
      <c r="A398" s="4" t="s">
        <v>427</v>
      </c>
      <c r="B398" s="14" t="s">
        <v>472</v>
      </c>
      <c r="C398" s="6" t="s">
        <v>493</v>
      </c>
      <c r="D398" s="4">
        <v>17.7</v>
      </c>
      <c r="E398" s="4">
        <v>21.4</v>
      </c>
      <c r="F398" s="4">
        <v>4.3</v>
      </c>
      <c r="G398" s="4">
        <v>98</v>
      </c>
      <c r="H398" s="4">
        <f t="shared" si="6"/>
        <v>9.8000000000000004E-2</v>
      </c>
      <c r="I398" s="8">
        <v>45245</v>
      </c>
      <c r="K398" s="4" t="s">
        <v>474</v>
      </c>
      <c r="L398" s="4" t="s">
        <v>475</v>
      </c>
      <c r="M398" s="4" t="s">
        <v>476</v>
      </c>
      <c r="N398" s="4" t="s">
        <v>477</v>
      </c>
      <c r="O398" s="11">
        <v>1</v>
      </c>
      <c r="P398" s="4" t="s">
        <v>474</v>
      </c>
      <c r="Q398" s="4" t="s">
        <v>478</v>
      </c>
      <c r="R398" s="4" t="s">
        <v>462</v>
      </c>
      <c r="S398" s="11">
        <v>10</v>
      </c>
      <c r="T398" s="11">
        <v>4</v>
      </c>
    </row>
    <row r="399" spans="1:20" ht="12.75" customHeight="1">
      <c r="A399" s="4" t="s">
        <v>428</v>
      </c>
      <c r="B399" s="14" t="s">
        <v>472</v>
      </c>
      <c r="C399" s="6" t="s">
        <v>493</v>
      </c>
      <c r="D399" s="4">
        <v>18.2</v>
      </c>
      <c r="E399" s="4">
        <v>22.5</v>
      </c>
      <c r="F399" s="4">
        <v>4.8</v>
      </c>
      <c r="G399" s="4">
        <v>109</v>
      </c>
      <c r="H399" s="4">
        <f t="shared" si="6"/>
        <v>0.109</v>
      </c>
      <c r="I399" s="8">
        <v>45245</v>
      </c>
      <c r="K399" s="4" t="s">
        <v>474</v>
      </c>
      <c r="L399" s="4" t="s">
        <v>475</v>
      </c>
      <c r="M399" s="4" t="s">
        <v>476</v>
      </c>
      <c r="N399" s="4" t="s">
        <v>477</v>
      </c>
      <c r="O399" s="11">
        <v>1</v>
      </c>
      <c r="P399" s="4" t="s">
        <v>474</v>
      </c>
      <c r="Q399" s="4" t="s">
        <v>478</v>
      </c>
      <c r="R399" s="4" t="s">
        <v>462</v>
      </c>
      <c r="S399" s="11">
        <v>10</v>
      </c>
      <c r="T399" s="11">
        <v>4</v>
      </c>
    </row>
    <row r="400" spans="1:20" ht="12.75" customHeight="1">
      <c r="A400" s="4" t="s">
        <v>429</v>
      </c>
      <c r="B400" s="14" t="s">
        <v>472</v>
      </c>
      <c r="C400" s="6" t="s">
        <v>493</v>
      </c>
      <c r="D400" s="4">
        <v>17.5</v>
      </c>
      <c r="E400" s="4">
        <v>20.8</v>
      </c>
      <c r="F400" s="4">
        <v>4.5</v>
      </c>
      <c r="G400" s="4">
        <v>111</v>
      </c>
      <c r="H400" s="4">
        <f t="shared" si="6"/>
        <v>0.111</v>
      </c>
      <c r="I400" s="8">
        <v>45245</v>
      </c>
      <c r="K400" s="4" t="s">
        <v>474</v>
      </c>
      <c r="L400" s="4" t="s">
        <v>475</v>
      </c>
      <c r="M400" s="4" t="s">
        <v>476</v>
      </c>
      <c r="N400" s="4" t="s">
        <v>477</v>
      </c>
      <c r="O400" s="11">
        <v>1</v>
      </c>
      <c r="P400" s="4" t="s">
        <v>474</v>
      </c>
      <c r="Q400" s="4" t="s">
        <v>478</v>
      </c>
      <c r="R400" s="4" t="s">
        <v>462</v>
      </c>
      <c r="S400" s="11">
        <v>10</v>
      </c>
      <c r="T400" s="11">
        <v>4</v>
      </c>
    </row>
    <row r="401" spans="1:20" ht="12.75" customHeight="1">
      <c r="A401" s="4" t="s">
        <v>430</v>
      </c>
      <c r="B401" s="14" t="s">
        <v>472</v>
      </c>
      <c r="C401" s="6" t="s">
        <v>493</v>
      </c>
      <c r="D401" s="4">
        <v>16.5</v>
      </c>
      <c r="E401" s="4">
        <v>20.5</v>
      </c>
      <c r="F401" s="4">
        <v>4.2</v>
      </c>
      <c r="G401" s="4">
        <v>77</v>
      </c>
      <c r="H401" s="4">
        <f t="shared" si="6"/>
        <v>7.6999999999999999E-2</v>
      </c>
      <c r="I401" s="8">
        <v>45245</v>
      </c>
      <c r="K401" s="4" t="s">
        <v>474</v>
      </c>
      <c r="L401" s="4" t="s">
        <v>475</v>
      </c>
      <c r="M401" s="4" t="s">
        <v>476</v>
      </c>
      <c r="N401" s="4" t="s">
        <v>477</v>
      </c>
      <c r="O401" s="11">
        <v>1</v>
      </c>
      <c r="P401" s="4" t="s">
        <v>474</v>
      </c>
      <c r="Q401" s="4" t="s">
        <v>478</v>
      </c>
      <c r="R401" s="4" t="s">
        <v>462</v>
      </c>
      <c r="S401" s="11">
        <v>10</v>
      </c>
      <c r="T401" s="11">
        <v>4</v>
      </c>
    </row>
    <row r="402" spans="1:20" ht="12.75" customHeight="1">
      <c r="A402" s="4" t="s">
        <v>431</v>
      </c>
      <c r="B402" s="14" t="s">
        <v>472</v>
      </c>
      <c r="C402" s="6" t="s">
        <v>493</v>
      </c>
      <c r="D402" s="4">
        <v>17.399999999999999</v>
      </c>
      <c r="E402" s="4">
        <v>20.2</v>
      </c>
      <c r="F402" s="4">
        <v>4.2</v>
      </c>
      <c r="G402" s="4">
        <v>45</v>
      </c>
      <c r="H402" s="4">
        <f t="shared" si="6"/>
        <v>4.4999999999999998E-2</v>
      </c>
      <c r="I402" s="8">
        <v>45245</v>
      </c>
      <c r="K402" s="4" t="s">
        <v>474</v>
      </c>
      <c r="L402" s="4" t="s">
        <v>475</v>
      </c>
      <c r="M402" s="4" t="s">
        <v>476</v>
      </c>
      <c r="N402" s="4" t="s">
        <v>477</v>
      </c>
      <c r="O402" s="11">
        <v>1</v>
      </c>
      <c r="P402" s="4" t="s">
        <v>474</v>
      </c>
      <c r="Q402" s="4" t="s">
        <v>478</v>
      </c>
      <c r="R402" s="4" t="s">
        <v>462</v>
      </c>
      <c r="S402" s="11">
        <v>10</v>
      </c>
      <c r="T402" s="11">
        <v>4</v>
      </c>
    </row>
    <row r="403" spans="1:20" ht="12.75" customHeight="1">
      <c r="A403" s="4" t="s">
        <v>432</v>
      </c>
      <c r="B403" s="14" t="s">
        <v>472</v>
      </c>
      <c r="C403" s="6" t="s">
        <v>493</v>
      </c>
      <c r="D403" s="4">
        <v>21.6</v>
      </c>
      <c r="E403" s="4">
        <v>26.1</v>
      </c>
      <c r="F403" s="4">
        <v>5.7</v>
      </c>
      <c r="G403" s="4">
        <v>196</v>
      </c>
      <c r="H403" s="4">
        <f t="shared" si="6"/>
        <v>0.19600000000000001</v>
      </c>
      <c r="I403" s="8">
        <v>45245</v>
      </c>
      <c r="K403" s="4" t="s">
        <v>474</v>
      </c>
      <c r="L403" s="4" t="s">
        <v>475</v>
      </c>
      <c r="M403" s="4" t="s">
        <v>476</v>
      </c>
      <c r="N403" s="4" t="s">
        <v>477</v>
      </c>
      <c r="O403" s="11">
        <v>1</v>
      </c>
      <c r="P403" s="4" t="s">
        <v>474</v>
      </c>
      <c r="Q403" s="4" t="s">
        <v>478</v>
      </c>
      <c r="R403" s="4" t="s">
        <v>462</v>
      </c>
      <c r="S403" s="11">
        <v>10</v>
      </c>
      <c r="T403" s="11">
        <v>4</v>
      </c>
    </row>
    <row r="404" spans="1:20" ht="12.75" customHeight="1">
      <c r="A404" s="4" t="s">
        <v>433</v>
      </c>
      <c r="B404" s="14" t="s">
        <v>472</v>
      </c>
      <c r="C404" s="6" t="s">
        <v>493</v>
      </c>
      <c r="D404" s="4">
        <v>22.5</v>
      </c>
      <c r="E404" s="4">
        <v>28.2</v>
      </c>
      <c r="F404" s="4">
        <v>6</v>
      </c>
      <c r="G404" s="4">
        <v>189</v>
      </c>
      <c r="H404" s="4">
        <f t="shared" si="6"/>
        <v>0.189</v>
      </c>
      <c r="I404" s="8">
        <v>45245</v>
      </c>
      <c r="K404" s="4" t="s">
        <v>474</v>
      </c>
      <c r="L404" s="4" t="s">
        <v>475</v>
      </c>
      <c r="M404" s="4" t="s">
        <v>476</v>
      </c>
      <c r="N404" s="4" t="s">
        <v>477</v>
      </c>
      <c r="O404" s="11">
        <v>1</v>
      </c>
      <c r="P404" s="4" t="s">
        <v>474</v>
      </c>
      <c r="Q404" s="4" t="s">
        <v>478</v>
      </c>
      <c r="R404" s="4" t="s">
        <v>462</v>
      </c>
      <c r="S404" s="11">
        <v>10</v>
      </c>
      <c r="T404" s="11">
        <v>4</v>
      </c>
    </row>
    <row r="405" spans="1:20" ht="12.75" customHeight="1">
      <c r="A405" s="4" t="s">
        <v>434</v>
      </c>
      <c r="B405" s="14" t="s">
        <v>472</v>
      </c>
      <c r="C405" s="6" t="s">
        <v>493</v>
      </c>
      <c r="D405" s="4">
        <v>18.5</v>
      </c>
      <c r="E405" s="4">
        <v>21.9</v>
      </c>
      <c r="F405" s="4">
        <v>4.9000000000000004</v>
      </c>
      <c r="G405" s="4">
        <v>102</v>
      </c>
      <c r="H405" s="4">
        <f t="shared" si="6"/>
        <v>0.10199999999999999</v>
      </c>
      <c r="I405" s="8">
        <v>45245</v>
      </c>
      <c r="K405" s="4" t="s">
        <v>474</v>
      </c>
      <c r="L405" s="4" t="s">
        <v>475</v>
      </c>
      <c r="M405" s="4" t="s">
        <v>476</v>
      </c>
      <c r="N405" s="4" t="s">
        <v>477</v>
      </c>
      <c r="O405" s="11">
        <v>1</v>
      </c>
      <c r="P405" s="4" t="s">
        <v>474</v>
      </c>
      <c r="Q405" s="4" t="s">
        <v>478</v>
      </c>
      <c r="R405" s="4" t="s">
        <v>462</v>
      </c>
      <c r="S405" s="11">
        <v>10</v>
      </c>
      <c r="T405" s="11">
        <v>4</v>
      </c>
    </row>
    <row r="406" spans="1:20" ht="12.75" customHeight="1">
      <c r="A406" s="4" t="s">
        <v>435</v>
      </c>
      <c r="B406" s="14" t="s">
        <v>472</v>
      </c>
      <c r="C406" s="6" t="s">
        <v>493</v>
      </c>
      <c r="D406" s="4">
        <v>22.8</v>
      </c>
      <c r="E406" s="4">
        <v>29.3</v>
      </c>
      <c r="F406" s="4">
        <v>5.7</v>
      </c>
      <c r="G406" s="4">
        <v>189</v>
      </c>
      <c r="H406" s="4">
        <f t="shared" si="6"/>
        <v>0.189</v>
      </c>
      <c r="I406" s="8">
        <v>45245</v>
      </c>
      <c r="K406" s="4" t="s">
        <v>474</v>
      </c>
      <c r="L406" s="4" t="s">
        <v>475</v>
      </c>
      <c r="M406" s="4" t="s">
        <v>476</v>
      </c>
      <c r="N406" s="4" t="s">
        <v>477</v>
      </c>
      <c r="O406" s="11">
        <v>1</v>
      </c>
      <c r="P406" s="4" t="s">
        <v>474</v>
      </c>
      <c r="Q406" s="4" t="s">
        <v>478</v>
      </c>
      <c r="R406" s="4" t="s">
        <v>462</v>
      </c>
      <c r="S406" s="11">
        <v>10</v>
      </c>
      <c r="T406" s="11">
        <v>4</v>
      </c>
    </row>
    <row r="407" spans="1:20" ht="12.75" customHeight="1">
      <c r="A407" s="4" t="s">
        <v>436</v>
      </c>
      <c r="B407" s="14" t="s">
        <v>472</v>
      </c>
      <c r="C407" s="6" t="s">
        <v>493</v>
      </c>
      <c r="D407" s="4">
        <v>14.8</v>
      </c>
      <c r="E407" s="4">
        <v>18.100000000000001</v>
      </c>
      <c r="F407" s="4">
        <v>3.8</v>
      </c>
      <c r="G407" s="4">
        <v>59</v>
      </c>
      <c r="H407" s="4">
        <f t="shared" si="6"/>
        <v>5.8999999999999997E-2</v>
      </c>
      <c r="I407" s="8">
        <v>45245</v>
      </c>
      <c r="K407" s="4" t="s">
        <v>474</v>
      </c>
      <c r="L407" s="4" t="s">
        <v>475</v>
      </c>
      <c r="M407" s="4" t="s">
        <v>476</v>
      </c>
      <c r="N407" s="4" t="s">
        <v>477</v>
      </c>
      <c r="O407" s="11">
        <v>1</v>
      </c>
      <c r="P407" s="4" t="s">
        <v>474</v>
      </c>
      <c r="Q407" s="4" t="s">
        <v>478</v>
      </c>
      <c r="R407" s="4" t="s">
        <v>462</v>
      </c>
      <c r="S407" s="11">
        <v>10</v>
      </c>
      <c r="T407" s="11">
        <v>4</v>
      </c>
    </row>
    <row r="408" spans="1:20" ht="12.75" customHeight="1">
      <c r="A408" s="4" t="s">
        <v>437</v>
      </c>
      <c r="B408" s="14" t="s">
        <v>472</v>
      </c>
      <c r="C408" s="6" t="s">
        <v>493</v>
      </c>
      <c r="D408" s="4">
        <v>14.5</v>
      </c>
      <c r="E408" s="4">
        <v>17.399999999999999</v>
      </c>
      <c r="F408" s="4">
        <v>4.0999999999999996</v>
      </c>
      <c r="G408" s="4">
        <v>43</v>
      </c>
      <c r="H408" s="4">
        <f t="shared" si="6"/>
        <v>4.2999999999999997E-2</v>
      </c>
      <c r="I408" s="8">
        <v>45245</v>
      </c>
      <c r="K408" s="4" t="s">
        <v>474</v>
      </c>
      <c r="L408" s="4" t="s">
        <v>475</v>
      </c>
      <c r="M408" s="4" t="s">
        <v>476</v>
      </c>
      <c r="N408" s="4" t="s">
        <v>477</v>
      </c>
      <c r="O408" s="11">
        <v>1</v>
      </c>
      <c r="P408" s="4" t="s">
        <v>474</v>
      </c>
      <c r="Q408" s="4" t="s">
        <v>478</v>
      </c>
      <c r="R408" s="4" t="s">
        <v>462</v>
      </c>
      <c r="S408" s="11">
        <v>10</v>
      </c>
      <c r="T408" s="11">
        <v>4</v>
      </c>
    </row>
    <row r="409" spans="1:20" ht="12.75" customHeight="1">
      <c r="A409" s="4" t="s">
        <v>438</v>
      </c>
      <c r="B409" s="14" t="s">
        <v>472</v>
      </c>
      <c r="C409" s="6" t="s">
        <v>493</v>
      </c>
      <c r="D409" s="4">
        <v>17.5</v>
      </c>
      <c r="E409" s="4">
        <v>15.2</v>
      </c>
      <c r="F409" s="4">
        <v>3.3</v>
      </c>
      <c r="G409" s="4">
        <v>44</v>
      </c>
      <c r="H409" s="4">
        <f t="shared" si="6"/>
        <v>4.3999999999999997E-2</v>
      </c>
      <c r="I409" s="8">
        <v>45245</v>
      </c>
      <c r="K409" s="4" t="s">
        <v>474</v>
      </c>
      <c r="L409" s="4" t="s">
        <v>475</v>
      </c>
      <c r="M409" s="4" t="s">
        <v>476</v>
      </c>
      <c r="N409" s="4" t="s">
        <v>477</v>
      </c>
      <c r="O409" s="11">
        <v>1</v>
      </c>
      <c r="P409" s="4" t="s">
        <v>474</v>
      </c>
      <c r="Q409" s="4" t="s">
        <v>478</v>
      </c>
      <c r="R409" s="4" t="s">
        <v>462</v>
      </c>
      <c r="S409" s="11">
        <v>10</v>
      </c>
      <c r="T409" s="11">
        <v>4</v>
      </c>
    </row>
    <row r="410" spans="1:20">
      <c r="A410" s="4" t="s">
        <v>439</v>
      </c>
      <c r="B410" s="9" t="s">
        <v>472</v>
      </c>
      <c r="C410" s="6" t="s">
        <v>479</v>
      </c>
      <c r="D410" s="7">
        <v>21.3</v>
      </c>
      <c r="E410" s="7">
        <v>26.5</v>
      </c>
      <c r="F410" s="7">
        <v>6</v>
      </c>
      <c r="G410" s="4">
        <v>128</v>
      </c>
      <c r="H410" s="4">
        <f t="shared" si="6"/>
        <v>0.128</v>
      </c>
      <c r="I410" s="8">
        <v>45245</v>
      </c>
      <c r="K410" s="5" t="s">
        <v>474</v>
      </c>
      <c r="L410" s="5" t="s">
        <v>475</v>
      </c>
      <c r="M410" s="5" t="s">
        <v>476</v>
      </c>
      <c r="N410" s="10" t="s">
        <v>477</v>
      </c>
      <c r="O410" s="11">
        <v>1</v>
      </c>
      <c r="P410" s="12" t="s">
        <v>474</v>
      </c>
      <c r="Q410" s="12" t="s">
        <v>478</v>
      </c>
      <c r="R410" s="12" t="s">
        <v>462</v>
      </c>
      <c r="S410" s="11">
        <v>10</v>
      </c>
      <c r="T410" s="11">
        <v>4</v>
      </c>
    </row>
    <row r="411" spans="1:20">
      <c r="A411" s="4" t="s">
        <v>440</v>
      </c>
      <c r="B411" s="9" t="s">
        <v>472</v>
      </c>
      <c r="C411" s="6" t="s">
        <v>480</v>
      </c>
      <c r="D411" s="7">
        <v>31.7</v>
      </c>
      <c r="E411" s="7">
        <v>37.9</v>
      </c>
      <c r="F411" s="7">
        <v>10.4</v>
      </c>
      <c r="G411" s="4">
        <v>555</v>
      </c>
      <c r="H411" s="4">
        <f t="shared" si="6"/>
        <v>0.55500000000000005</v>
      </c>
      <c r="I411" s="8">
        <v>45245</v>
      </c>
      <c r="K411" s="5" t="s">
        <v>474</v>
      </c>
      <c r="L411" s="5" t="s">
        <v>475</v>
      </c>
      <c r="M411" s="5" t="s">
        <v>476</v>
      </c>
      <c r="N411" s="10" t="s">
        <v>477</v>
      </c>
      <c r="O411" s="11">
        <v>1</v>
      </c>
      <c r="P411" s="12" t="s">
        <v>474</v>
      </c>
      <c r="Q411" s="12" t="s">
        <v>478</v>
      </c>
      <c r="R411" s="12" t="s">
        <v>462</v>
      </c>
      <c r="S411" s="11">
        <v>10</v>
      </c>
      <c r="T411" s="11">
        <v>4</v>
      </c>
    </row>
    <row r="412" spans="1:20">
      <c r="A412" s="4" t="s">
        <v>441</v>
      </c>
      <c r="B412" s="9" t="s">
        <v>472</v>
      </c>
      <c r="C412" s="6" t="s">
        <v>493</v>
      </c>
      <c r="D412" s="7">
        <v>24.1</v>
      </c>
      <c r="E412" s="7">
        <v>30.2</v>
      </c>
      <c r="F412" s="7">
        <v>7.5</v>
      </c>
      <c r="G412" s="4">
        <v>264</v>
      </c>
      <c r="H412" s="4">
        <f t="shared" si="6"/>
        <v>0.26400000000000001</v>
      </c>
      <c r="I412" s="8">
        <v>45245</v>
      </c>
      <c r="K412" s="5" t="s">
        <v>474</v>
      </c>
      <c r="L412" s="5" t="s">
        <v>475</v>
      </c>
      <c r="M412" s="5" t="s">
        <v>476</v>
      </c>
      <c r="N412" s="10" t="s">
        <v>477</v>
      </c>
      <c r="O412" s="11">
        <v>1</v>
      </c>
      <c r="P412" s="12" t="s">
        <v>474</v>
      </c>
      <c r="Q412" s="12" t="s">
        <v>478</v>
      </c>
      <c r="R412" s="12" t="s">
        <v>462</v>
      </c>
      <c r="S412" s="11">
        <v>10</v>
      </c>
      <c r="T412" s="11">
        <v>4</v>
      </c>
    </row>
    <row r="413" spans="1:20">
      <c r="A413" s="4" t="s">
        <v>442</v>
      </c>
      <c r="B413" s="9" t="s">
        <v>472</v>
      </c>
      <c r="C413" s="6" t="s">
        <v>493</v>
      </c>
      <c r="D413" s="7">
        <v>27.4</v>
      </c>
      <c r="E413" s="7">
        <v>34.1</v>
      </c>
      <c r="F413" s="7">
        <v>7.2</v>
      </c>
      <c r="G413" s="4">
        <v>242</v>
      </c>
      <c r="H413" s="4">
        <f t="shared" si="6"/>
        <v>0.24199999999999999</v>
      </c>
      <c r="I413" s="8">
        <v>45245</v>
      </c>
      <c r="K413" s="5" t="s">
        <v>474</v>
      </c>
      <c r="L413" s="5" t="s">
        <v>475</v>
      </c>
      <c r="M413" s="5" t="s">
        <v>476</v>
      </c>
      <c r="N413" s="10" t="s">
        <v>477</v>
      </c>
      <c r="O413" s="11">
        <v>1</v>
      </c>
      <c r="P413" s="12" t="s">
        <v>474</v>
      </c>
      <c r="Q413" s="12" t="s">
        <v>478</v>
      </c>
      <c r="R413" s="12" t="s">
        <v>462</v>
      </c>
      <c r="S413" s="11">
        <v>10</v>
      </c>
      <c r="T413" s="11">
        <v>4</v>
      </c>
    </row>
    <row r="414" spans="1:20">
      <c r="A414" s="4" t="s">
        <v>443</v>
      </c>
      <c r="B414" s="9" t="s">
        <v>472</v>
      </c>
      <c r="C414" s="6" t="s">
        <v>479</v>
      </c>
      <c r="D414" s="7">
        <v>23.9</v>
      </c>
      <c r="E414" s="7">
        <v>31.3</v>
      </c>
      <c r="F414" s="7">
        <v>6.4</v>
      </c>
      <c r="G414" s="4">
        <v>165</v>
      </c>
      <c r="H414" s="4">
        <f t="shared" si="6"/>
        <v>0.16500000000000001</v>
      </c>
      <c r="I414" s="8">
        <v>45245</v>
      </c>
      <c r="K414" s="5" t="s">
        <v>474</v>
      </c>
      <c r="L414" s="5" t="s">
        <v>475</v>
      </c>
      <c r="M414" s="5" t="s">
        <v>476</v>
      </c>
      <c r="N414" s="10" t="s">
        <v>477</v>
      </c>
      <c r="O414" s="11">
        <v>1</v>
      </c>
      <c r="P414" s="12" t="s">
        <v>474</v>
      </c>
      <c r="Q414" s="12" t="s">
        <v>478</v>
      </c>
      <c r="R414" s="12" t="s">
        <v>462</v>
      </c>
      <c r="S414" s="11">
        <v>10</v>
      </c>
      <c r="T414" s="11">
        <v>4</v>
      </c>
    </row>
    <row r="415" spans="1:20">
      <c r="A415" s="4" t="s">
        <v>444</v>
      </c>
      <c r="B415" s="9" t="s">
        <v>472</v>
      </c>
      <c r="C415" s="6" t="s">
        <v>479</v>
      </c>
      <c r="D415" s="7">
        <v>37.700000000000003</v>
      </c>
      <c r="E415" s="7">
        <v>48</v>
      </c>
      <c r="F415" s="7">
        <v>10.6</v>
      </c>
      <c r="G415" s="4">
        <v>705</v>
      </c>
      <c r="H415" s="4">
        <f t="shared" si="6"/>
        <v>0.70499999999999996</v>
      </c>
      <c r="I415" s="8">
        <v>45245</v>
      </c>
      <c r="K415" s="5" t="s">
        <v>474</v>
      </c>
      <c r="L415" s="5" t="s">
        <v>475</v>
      </c>
      <c r="M415" s="5" t="s">
        <v>476</v>
      </c>
      <c r="N415" s="10" t="s">
        <v>477</v>
      </c>
      <c r="O415" s="11">
        <v>1</v>
      </c>
      <c r="P415" s="12" t="s">
        <v>474</v>
      </c>
      <c r="Q415" s="12" t="s">
        <v>478</v>
      </c>
      <c r="R415" s="12" t="s">
        <v>462</v>
      </c>
      <c r="S415" s="11">
        <v>10</v>
      </c>
      <c r="T415" s="11">
        <v>4</v>
      </c>
    </row>
    <row r="416" spans="1:20">
      <c r="A416" s="4" t="s">
        <v>445</v>
      </c>
      <c r="B416" s="9" t="s">
        <v>472</v>
      </c>
      <c r="C416" s="6" t="s">
        <v>479</v>
      </c>
      <c r="D416" s="7">
        <v>35</v>
      </c>
      <c r="E416" s="7">
        <v>45.2</v>
      </c>
      <c r="F416" s="7">
        <v>10.1</v>
      </c>
      <c r="G416" s="4">
        <v>591</v>
      </c>
      <c r="H416" s="4">
        <f t="shared" si="6"/>
        <v>0.59099999999999997</v>
      </c>
      <c r="I416" s="8">
        <v>45245</v>
      </c>
      <c r="K416" s="5" t="s">
        <v>474</v>
      </c>
      <c r="L416" s="5" t="s">
        <v>475</v>
      </c>
      <c r="M416" s="5" t="s">
        <v>476</v>
      </c>
      <c r="N416" s="10" t="s">
        <v>477</v>
      </c>
      <c r="O416" s="11">
        <v>1</v>
      </c>
      <c r="P416" s="12" t="s">
        <v>474</v>
      </c>
      <c r="Q416" s="12" t="s">
        <v>478</v>
      </c>
      <c r="R416" s="12" t="s">
        <v>462</v>
      </c>
      <c r="S416" s="11">
        <v>10</v>
      </c>
      <c r="T416" s="11">
        <v>4</v>
      </c>
    </row>
    <row r="417" spans="1:20">
      <c r="A417" s="4" t="s">
        <v>446</v>
      </c>
      <c r="B417" s="9" t="s">
        <v>472</v>
      </c>
      <c r="C417" s="6" t="s">
        <v>493</v>
      </c>
      <c r="D417" s="7">
        <v>24.3</v>
      </c>
      <c r="E417" s="7">
        <v>30.7</v>
      </c>
      <c r="F417" s="7">
        <v>6.9</v>
      </c>
      <c r="G417" s="4">
        <v>188</v>
      </c>
      <c r="H417" s="4">
        <f t="shared" si="6"/>
        <v>0.188</v>
      </c>
      <c r="I417" s="8">
        <v>45245</v>
      </c>
      <c r="K417" s="5" t="s">
        <v>474</v>
      </c>
      <c r="L417" s="5" t="s">
        <v>475</v>
      </c>
      <c r="M417" s="5" t="s">
        <v>476</v>
      </c>
      <c r="N417" s="10" t="s">
        <v>477</v>
      </c>
      <c r="O417" s="11">
        <v>1</v>
      </c>
      <c r="P417" s="12" t="s">
        <v>474</v>
      </c>
      <c r="Q417" s="12" t="s">
        <v>478</v>
      </c>
      <c r="R417" s="12" t="s">
        <v>462</v>
      </c>
      <c r="S417" s="11">
        <v>10</v>
      </c>
      <c r="T417" s="11">
        <v>4</v>
      </c>
    </row>
    <row r="418" spans="1:20">
      <c r="A418" s="4" t="s">
        <v>447</v>
      </c>
      <c r="B418" s="9" t="s">
        <v>472</v>
      </c>
      <c r="C418" s="6" t="s">
        <v>479</v>
      </c>
      <c r="D418" s="7">
        <v>33.299999999999997</v>
      </c>
      <c r="E418" s="7">
        <v>41.8</v>
      </c>
      <c r="F418" s="7">
        <v>9.6999999999999993</v>
      </c>
      <c r="G418" s="4">
        <v>500</v>
      </c>
      <c r="H418" s="13">
        <f t="shared" si="6"/>
        <v>0.5</v>
      </c>
      <c r="I418" s="8">
        <v>45245</v>
      </c>
      <c r="K418" s="5" t="s">
        <v>474</v>
      </c>
      <c r="L418" s="5" t="s">
        <v>475</v>
      </c>
      <c r="M418" s="5" t="s">
        <v>476</v>
      </c>
      <c r="N418" s="10" t="s">
        <v>477</v>
      </c>
      <c r="O418" s="11">
        <v>1</v>
      </c>
      <c r="P418" s="12" t="s">
        <v>474</v>
      </c>
      <c r="Q418" s="12" t="s">
        <v>478</v>
      </c>
      <c r="R418" s="12" t="s">
        <v>462</v>
      </c>
      <c r="S418" s="11">
        <v>10</v>
      </c>
      <c r="T418" s="11">
        <v>4</v>
      </c>
    </row>
    <row r="419" spans="1:20">
      <c r="A419" s="4" t="s">
        <v>448</v>
      </c>
      <c r="B419" s="9" t="s">
        <v>472</v>
      </c>
      <c r="C419" s="6" t="s">
        <v>479</v>
      </c>
      <c r="D419" s="7">
        <v>40</v>
      </c>
      <c r="E419" s="7">
        <v>48.9</v>
      </c>
      <c r="F419" s="7">
        <v>10.3</v>
      </c>
      <c r="G419" s="4">
        <v>807</v>
      </c>
      <c r="H419" s="4">
        <f t="shared" si="6"/>
        <v>0.80700000000000005</v>
      </c>
      <c r="I419" s="8">
        <v>45245</v>
      </c>
      <c r="K419" s="5" t="s">
        <v>474</v>
      </c>
      <c r="L419" s="5" t="s">
        <v>475</v>
      </c>
      <c r="M419" s="5" t="s">
        <v>476</v>
      </c>
      <c r="N419" s="10" t="s">
        <v>477</v>
      </c>
      <c r="O419" s="11">
        <v>1</v>
      </c>
      <c r="P419" s="12" t="s">
        <v>474</v>
      </c>
      <c r="Q419" s="12" t="s">
        <v>478</v>
      </c>
      <c r="R419" s="12" t="s">
        <v>462</v>
      </c>
      <c r="S419" s="11">
        <v>10</v>
      </c>
      <c r="T419" s="11">
        <v>4</v>
      </c>
    </row>
    <row r="420" spans="1:20">
      <c r="A420" s="4" t="s">
        <v>449</v>
      </c>
      <c r="B420" s="9" t="s">
        <v>472</v>
      </c>
      <c r="C420" s="6" t="s">
        <v>493</v>
      </c>
      <c r="D420" s="7">
        <v>20.2</v>
      </c>
      <c r="E420" s="7">
        <v>25.7</v>
      </c>
      <c r="F420" s="7">
        <v>6.1</v>
      </c>
      <c r="G420" s="4">
        <v>111</v>
      </c>
      <c r="H420" s="4">
        <f t="shared" si="6"/>
        <v>0.111</v>
      </c>
      <c r="I420" s="8">
        <v>45245</v>
      </c>
      <c r="K420" s="5" t="s">
        <v>474</v>
      </c>
      <c r="L420" s="5" t="s">
        <v>475</v>
      </c>
      <c r="M420" s="5" t="s">
        <v>476</v>
      </c>
      <c r="N420" s="10" t="s">
        <v>477</v>
      </c>
      <c r="O420" s="11">
        <v>1</v>
      </c>
      <c r="P420" s="12" t="s">
        <v>474</v>
      </c>
      <c r="Q420" s="12" t="s">
        <v>478</v>
      </c>
      <c r="R420" s="12" t="s">
        <v>462</v>
      </c>
      <c r="S420" s="11">
        <v>10</v>
      </c>
      <c r="T420" s="11">
        <v>4</v>
      </c>
    </row>
    <row r="421" spans="1:20">
      <c r="A421" s="4" t="s">
        <v>450</v>
      </c>
      <c r="B421" s="9" t="s">
        <v>472</v>
      </c>
      <c r="C421" s="6" t="s">
        <v>493</v>
      </c>
      <c r="D421" s="7">
        <v>22.1</v>
      </c>
      <c r="E421" s="7">
        <v>28.9</v>
      </c>
      <c r="F421" s="7">
        <v>6.5</v>
      </c>
      <c r="G421" s="4">
        <v>176</v>
      </c>
      <c r="H421" s="4">
        <f t="shared" si="6"/>
        <v>0.17599999999999999</v>
      </c>
      <c r="I421" s="8">
        <v>45245</v>
      </c>
      <c r="K421" s="5" t="s">
        <v>474</v>
      </c>
      <c r="L421" s="5" t="s">
        <v>475</v>
      </c>
      <c r="M421" s="5" t="s">
        <v>476</v>
      </c>
      <c r="N421" s="10" t="s">
        <v>477</v>
      </c>
      <c r="O421" s="11">
        <v>1</v>
      </c>
      <c r="P421" s="12" t="s">
        <v>474</v>
      </c>
      <c r="Q421" s="12" t="s">
        <v>478</v>
      </c>
      <c r="R421" s="12" t="s">
        <v>462</v>
      </c>
      <c r="S421" s="11">
        <v>10</v>
      </c>
      <c r="T421" s="11">
        <v>4</v>
      </c>
    </row>
    <row r="422" spans="1:20">
      <c r="A422" s="4" t="s">
        <v>451</v>
      </c>
      <c r="B422" s="17" t="s">
        <v>472</v>
      </c>
      <c r="C422" s="6" t="s">
        <v>493</v>
      </c>
      <c r="D422" s="4">
        <v>23.8</v>
      </c>
      <c r="E422" s="4">
        <v>29.9</v>
      </c>
      <c r="F422" s="7">
        <v>6.5</v>
      </c>
      <c r="G422" s="15">
        <v>218</v>
      </c>
      <c r="H422" s="13">
        <v>0.218</v>
      </c>
      <c r="I422" s="16">
        <v>45245</v>
      </c>
      <c r="K422" s="4" t="s">
        <v>474</v>
      </c>
      <c r="L422" s="5" t="s">
        <v>475</v>
      </c>
      <c r="M422" s="5" t="s">
        <v>476</v>
      </c>
      <c r="N422" s="10" t="s">
        <v>477</v>
      </c>
      <c r="O422" s="11">
        <v>1</v>
      </c>
      <c r="P422" s="10" t="s">
        <v>474</v>
      </c>
      <c r="Q422" s="11" t="s">
        <v>478</v>
      </c>
      <c r="R422" s="12" t="s">
        <v>462</v>
      </c>
      <c r="S422" s="11">
        <v>10</v>
      </c>
      <c r="T422" s="11">
        <v>4</v>
      </c>
    </row>
    <row r="423" spans="1:20">
      <c r="A423" s="4" t="s">
        <v>452</v>
      </c>
      <c r="B423" s="17" t="s">
        <v>472</v>
      </c>
      <c r="C423" s="6" t="s">
        <v>493</v>
      </c>
      <c r="D423" s="4">
        <v>23.2</v>
      </c>
      <c r="E423" s="4">
        <v>29.3</v>
      </c>
      <c r="F423" s="7">
        <v>6.3</v>
      </c>
      <c r="G423" s="15">
        <v>200</v>
      </c>
      <c r="H423" s="13">
        <v>0.2</v>
      </c>
      <c r="I423" s="16">
        <v>45245</v>
      </c>
      <c r="K423" s="4" t="s">
        <v>474</v>
      </c>
      <c r="L423" s="5" t="s">
        <v>475</v>
      </c>
      <c r="M423" s="5" t="s">
        <v>476</v>
      </c>
      <c r="N423" s="10" t="s">
        <v>477</v>
      </c>
      <c r="O423" s="11">
        <v>1</v>
      </c>
      <c r="P423" s="10" t="s">
        <v>474</v>
      </c>
      <c r="Q423" s="11" t="s">
        <v>478</v>
      </c>
      <c r="R423" s="12" t="s">
        <v>462</v>
      </c>
      <c r="S423" s="11">
        <v>10</v>
      </c>
      <c r="T423" s="11">
        <v>4</v>
      </c>
    </row>
    <row r="424" spans="1:20">
      <c r="A424" s="4" t="s">
        <v>453</v>
      </c>
      <c r="B424" s="17" t="s">
        <v>472</v>
      </c>
      <c r="C424" s="6" t="s">
        <v>479</v>
      </c>
      <c r="D424" s="4">
        <v>32.6</v>
      </c>
      <c r="E424" s="4">
        <v>42.1</v>
      </c>
      <c r="F424" s="7">
        <v>8.6999999999999993</v>
      </c>
      <c r="G424" s="15">
        <v>578</v>
      </c>
      <c r="H424" s="13">
        <v>0.57799999999999996</v>
      </c>
      <c r="I424" s="16">
        <v>45245</v>
      </c>
      <c r="K424" s="4" t="s">
        <v>474</v>
      </c>
      <c r="L424" s="5" t="s">
        <v>475</v>
      </c>
      <c r="M424" s="5" t="s">
        <v>476</v>
      </c>
      <c r="N424" s="10" t="s">
        <v>477</v>
      </c>
      <c r="O424" s="11">
        <v>1</v>
      </c>
      <c r="P424" s="10" t="s">
        <v>474</v>
      </c>
      <c r="Q424" s="11" t="s">
        <v>478</v>
      </c>
      <c r="R424" s="12" t="s">
        <v>462</v>
      </c>
      <c r="S424" s="11">
        <v>10</v>
      </c>
      <c r="T424" s="11">
        <v>4</v>
      </c>
    </row>
    <row r="425" spans="1:20">
      <c r="A425" s="4" t="s">
        <v>454</v>
      </c>
      <c r="B425" s="17" t="s">
        <v>472</v>
      </c>
      <c r="C425" s="6" t="s">
        <v>493</v>
      </c>
      <c r="D425" s="4">
        <v>21.9</v>
      </c>
      <c r="E425" s="4">
        <v>25.8</v>
      </c>
      <c r="F425" s="7">
        <v>6.3</v>
      </c>
      <c r="G425" s="15">
        <v>186</v>
      </c>
      <c r="H425" s="13">
        <v>0.186</v>
      </c>
      <c r="I425" s="16">
        <v>45245</v>
      </c>
      <c r="K425" s="4" t="s">
        <v>474</v>
      </c>
      <c r="L425" s="5" t="s">
        <v>475</v>
      </c>
      <c r="M425" s="5" t="s">
        <v>476</v>
      </c>
      <c r="N425" s="10" t="s">
        <v>477</v>
      </c>
      <c r="O425" s="11">
        <v>1</v>
      </c>
      <c r="P425" s="10" t="s">
        <v>474</v>
      </c>
      <c r="Q425" s="11" t="s">
        <v>478</v>
      </c>
      <c r="R425" s="12" t="s">
        <v>462</v>
      </c>
      <c r="S425" s="11">
        <v>10</v>
      </c>
      <c r="T425" s="11">
        <v>4</v>
      </c>
    </row>
    <row r="427" spans="1:20">
      <c r="I427" s="16"/>
      <c r="N427" s="16"/>
    </row>
  </sheetData>
  <phoneticPr fontId="10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CB55-F095-4A86-8F68-981067F098C0}">
  <dimension ref="A1:AZ427"/>
  <sheetViews>
    <sheetView tabSelected="1" topLeftCell="AJ24" zoomScale="80" zoomScaleNormal="80" workbookViewId="0">
      <selection activeCell="BJ58" sqref="BJ58"/>
    </sheetView>
  </sheetViews>
  <sheetFormatPr defaultColWidth="10.28515625" defaultRowHeight="12.75"/>
  <cols>
    <col min="1" max="8" width="10.28515625" style="4"/>
    <col min="9" max="10" width="12" style="4" customWidth="1"/>
    <col min="11" max="13" width="10.28515625" style="4"/>
    <col min="14" max="14" width="25" style="4" customWidth="1"/>
    <col min="15" max="27" width="10.28515625" style="4"/>
    <col min="28" max="50" width="13.140625" style="4" customWidth="1"/>
    <col min="51" max="16384" width="10.28515625" style="4"/>
  </cols>
  <sheetData>
    <row r="1" spans="1:52" ht="12.75" customHeight="1">
      <c r="A1" s="4" t="s">
        <v>0</v>
      </c>
      <c r="B1" s="5" t="s">
        <v>455</v>
      </c>
      <c r="C1" s="5" t="s">
        <v>462</v>
      </c>
      <c r="D1" s="5" t="s">
        <v>463</v>
      </c>
      <c r="E1" s="5" t="s">
        <v>464</v>
      </c>
      <c r="F1" s="5" t="s">
        <v>467</v>
      </c>
      <c r="G1" s="5" t="s">
        <v>468</v>
      </c>
      <c r="H1" s="5" t="s">
        <v>469</v>
      </c>
      <c r="I1" s="4" t="s">
        <v>501</v>
      </c>
      <c r="J1" s="31" t="s">
        <v>465</v>
      </c>
      <c r="K1" s="31" t="s">
        <v>466</v>
      </c>
      <c r="L1" s="5" t="s">
        <v>470</v>
      </c>
      <c r="M1" s="5" t="s">
        <v>471</v>
      </c>
      <c r="N1" s="4" t="s">
        <v>456</v>
      </c>
      <c r="O1" s="4" t="s">
        <v>458</v>
      </c>
      <c r="P1" s="4" t="s">
        <v>729</v>
      </c>
      <c r="Q1" s="4" t="s">
        <v>459</v>
      </c>
      <c r="R1" s="4" t="s">
        <v>460</v>
      </c>
      <c r="S1" s="4" t="s">
        <v>461</v>
      </c>
      <c r="T1" s="4" t="s">
        <v>502</v>
      </c>
      <c r="U1" s="4" t="s">
        <v>7</v>
      </c>
      <c r="V1" s="12" t="s">
        <v>503</v>
      </c>
      <c r="W1" s="4" t="s">
        <v>504</v>
      </c>
      <c r="X1" s="4" t="s">
        <v>505</v>
      </c>
      <c r="Y1" s="4" t="s">
        <v>506</v>
      </c>
      <c r="Z1" s="4" t="s">
        <v>507</v>
      </c>
      <c r="AA1" s="4" t="s">
        <v>508</v>
      </c>
      <c r="AB1" s="4" t="s">
        <v>509</v>
      </c>
      <c r="AC1" s="4" t="s">
        <v>510</v>
      </c>
      <c r="AD1" s="4" t="s">
        <v>511</v>
      </c>
      <c r="AE1" s="4" t="s">
        <v>512</v>
      </c>
      <c r="AF1" s="4" t="s">
        <v>513</v>
      </c>
      <c r="AG1" s="4" t="s">
        <v>514</v>
      </c>
      <c r="AH1" s="4" t="s">
        <v>515</v>
      </c>
      <c r="AI1" s="4" t="s">
        <v>516</v>
      </c>
      <c r="AJ1" s="4" t="s">
        <v>517</v>
      </c>
      <c r="AK1" s="4" t="s">
        <v>518</v>
      </c>
      <c r="AL1" s="4" t="s">
        <v>519</v>
      </c>
      <c r="AM1" s="4" t="s">
        <v>520</v>
      </c>
      <c r="AN1" s="4" t="s">
        <v>521</v>
      </c>
      <c r="AO1" s="4" t="s">
        <v>728</v>
      </c>
      <c r="AP1" s="4" t="s">
        <v>727</v>
      </c>
      <c r="AQ1" s="4" t="s">
        <v>522</v>
      </c>
      <c r="AR1" s="4" t="s">
        <v>523</v>
      </c>
      <c r="AS1" s="4" t="s">
        <v>524</v>
      </c>
      <c r="AT1" s="4" t="s">
        <v>525</v>
      </c>
      <c r="AU1" s="4" t="s">
        <v>526</v>
      </c>
      <c r="AV1" s="4" t="s">
        <v>724</v>
      </c>
      <c r="AW1" s="4" t="s">
        <v>725</v>
      </c>
      <c r="AX1" s="4" t="s">
        <v>726</v>
      </c>
      <c r="AY1" s="23"/>
      <c r="AZ1" s="23"/>
    </row>
    <row r="2" spans="1:52" ht="12.75" customHeight="1">
      <c r="A2" s="4" t="s">
        <v>8</v>
      </c>
      <c r="B2" s="9" t="s">
        <v>472</v>
      </c>
      <c r="C2" s="5" t="s">
        <v>474</v>
      </c>
      <c r="D2" s="5" t="s">
        <v>475</v>
      </c>
      <c r="E2" s="5" t="s">
        <v>476</v>
      </c>
      <c r="F2" s="12" t="s">
        <v>474</v>
      </c>
      <c r="G2" s="12" t="s">
        <v>478</v>
      </c>
      <c r="H2" s="12" t="s">
        <v>462</v>
      </c>
      <c r="I2" s="8">
        <v>45168</v>
      </c>
      <c r="J2" s="34" t="s">
        <v>477</v>
      </c>
      <c r="K2" s="11">
        <v>1</v>
      </c>
      <c r="L2" s="11">
        <v>10</v>
      </c>
      <c r="M2" s="11">
        <v>4</v>
      </c>
      <c r="N2" s="6" t="s">
        <v>473</v>
      </c>
      <c r="O2" s="7">
        <v>30.3</v>
      </c>
      <c r="P2" s="7">
        <v>22.2</v>
      </c>
      <c r="Q2" s="7">
        <v>6.4</v>
      </c>
      <c r="R2" s="4">
        <v>218</v>
      </c>
      <c r="S2" s="4">
        <f t="shared" ref="S2:S65" si="0">R2/1000</f>
        <v>0.218</v>
      </c>
      <c r="T2" s="4">
        <f>S2/O2*3</f>
        <v>2.1584158415841583E-2</v>
      </c>
      <c r="V2" s="4" t="s">
        <v>527</v>
      </c>
      <c r="W2" s="4" t="s">
        <v>8</v>
      </c>
      <c r="X2" s="4" t="s">
        <v>8</v>
      </c>
      <c r="Y2" s="4" t="s">
        <v>528</v>
      </c>
      <c r="Z2" s="4" t="s">
        <v>8</v>
      </c>
      <c r="AA2" s="4" t="s">
        <v>528</v>
      </c>
      <c r="AB2" s="4">
        <v>0.91139999999999999</v>
      </c>
      <c r="AC2" s="4">
        <v>0.93179999999999996</v>
      </c>
      <c r="AD2" s="19">
        <v>20.399999999999999</v>
      </c>
      <c r="AE2" s="19">
        <v>1509372</v>
      </c>
      <c r="AF2" s="19">
        <v>1302144</v>
      </c>
      <c r="AH2" s="19">
        <f t="shared" ref="AH2:AH117" si="1">AVERAGE(AE2:AG2)</f>
        <v>1405758</v>
      </c>
      <c r="AI2" s="19">
        <f t="shared" ref="AI2:AI117" si="2">(AVERAGE(AE2:AG2))/AD2</f>
        <v>68909.705882352951</v>
      </c>
      <c r="AU2" s="23"/>
      <c r="AW2" s="13">
        <f>COUNTA(AW5:AW677)</f>
        <v>75</v>
      </c>
      <c r="AX2" s="23"/>
      <c r="AY2" s="23"/>
      <c r="AZ2" s="23"/>
    </row>
    <row r="3" spans="1:52" ht="12.75" customHeight="1">
      <c r="A3" s="4" t="s">
        <v>9</v>
      </c>
      <c r="B3" s="9" t="s">
        <v>472</v>
      </c>
      <c r="C3" s="5" t="s">
        <v>474</v>
      </c>
      <c r="D3" s="5" t="s">
        <v>475</v>
      </c>
      <c r="E3" s="5" t="s">
        <v>476</v>
      </c>
      <c r="F3" s="12" t="s">
        <v>474</v>
      </c>
      <c r="G3" s="12" t="s">
        <v>478</v>
      </c>
      <c r="H3" s="12" t="s">
        <v>462</v>
      </c>
      <c r="I3" s="8">
        <v>45168</v>
      </c>
      <c r="J3" s="34" t="s">
        <v>477</v>
      </c>
      <c r="K3" s="11">
        <v>1</v>
      </c>
      <c r="L3" s="11">
        <v>10</v>
      </c>
      <c r="M3" s="11">
        <v>4</v>
      </c>
      <c r="N3" s="6" t="s">
        <v>473</v>
      </c>
      <c r="O3" s="7">
        <v>24.4</v>
      </c>
      <c r="P3" s="7">
        <v>19</v>
      </c>
      <c r="Q3" s="7">
        <v>4.8</v>
      </c>
      <c r="R3" s="4">
        <v>142</v>
      </c>
      <c r="S3" s="4">
        <f t="shared" si="0"/>
        <v>0.14199999999999999</v>
      </c>
      <c r="T3" s="4">
        <f t="shared" ref="T3:T66" si="3">S3/O3*3</f>
        <v>1.745901639344262E-2</v>
      </c>
      <c r="V3" s="4" t="s">
        <v>527</v>
      </c>
      <c r="W3" s="4" t="s">
        <v>9</v>
      </c>
      <c r="X3" s="4" t="s">
        <v>9</v>
      </c>
      <c r="Y3" s="4" t="s">
        <v>529</v>
      </c>
      <c r="Z3" s="4" t="s">
        <v>9</v>
      </c>
      <c r="AA3" s="4" t="s">
        <v>529</v>
      </c>
      <c r="AB3" s="4">
        <v>1.1044</v>
      </c>
      <c r="AC3" s="4">
        <v>1.1176999999999999</v>
      </c>
      <c r="AD3" s="19">
        <v>13.3</v>
      </c>
      <c r="AE3" s="19">
        <v>1155805</v>
      </c>
      <c r="AF3" s="19">
        <v>1113224</v>
      </c>
      <c r="AH3" s="19">
        <f t="shared" si="1"/>
        <v>1134514.5</v>
      </c>
      <c r="AI3" s="19">
        <f t="shared" si="2"/>
        <v>85301.84210526316</v>
      </c>
      <c r="AU3" s="23"/>
      <c r="AW3" s="13"/>
      <c r="AX3" s="23"/>
      <c r="AY3" s="23"/>
      <c r="AZ3" s="23"/>
    </row>
    <row r="4" spans="1:52" ht="12.75" customHeight="1">
      <c r="A4" s="4" t="s">
        <v>10</v>
      </c>
      <c r="B4" s="9" t="s">
        <v>472</v>
      </c>
      <c r="C4" s="5" t="s">
        <v>474</v>
      </c>
      <c r="D4" s="5" t="s">
        <v>475</v>
      </c>
      <c r="E4" s="5" t="s">
        <v>476</v>
      </c>
      <c r="F4" s="12" t="s">
        <v>474</v>
      </c>
      <c r="G4" s="12" t="s">
        <v>478</v>
      </c>
      <c r="H4" s="12" t="s">
        <v>462</v>
      </c>
      <c r="I4" s="8">
        <v>45168</v>
      </c>
      <c r="J4" s="34" t="s">
        <v>477</v>
      </c>
      <c r="K4" s="11">
        <v>1</v>
      </c>
      <c r="L4" s="11">
        <v>10</v>
      </c>
      <c r="M4" s="11">
        <v>4</v>
      </c>
      <c r="N4" s="6" t="s">
        <v>473</v>
      </c>
      <c r="O4" s="7">
        <v>29.1</v>
      </c>
      <c r="P4" s="7">
        <v>24.4</v>
      </c>
      <c r="Q4" s="7">
        <v>6.9</v>
      </c>
      <c r="R4" s="4">
        <v>299</v>
      </c>
      <c r="S4" s="4">
        <f t="shared" si="0"/>
        <v>0.29899999999999999</v>
      </c>
      <c r="T4" s="4">
        <f t="shared" si="3"/>
        <v>3.0824742268041234E-2</v>
      </c>
      <c r="V4" s="4" t="s">
        <v>527</v>
      </c>
      <c r="W4" s="4" t="s">
        <v>10</v>
      </c>
      <c r="X4" s="4" t="s">
        <v>10</v>
      </c>
      <c r="Y4" s="4" t="s">
        <v>530</v>
      </c>
      <c r="Z4" s="4" t="s">
        <v>10</v>
      </c>
      <c r="AA4" s="4" t="s">
        <v>530</v>
      </c>
      <c r="AB4" s="4">
        <v>0.90820000000000001</v>
      </c>
      <c r="AC4" s="4">
        <v>0.94350000000000001</v>
      </c>
      <c r="AD4" s="19">
        <v>35.299999999999997</v>
      </c>
      <c r="AE4" s="19">
        <v>2211777</v>
      </c>
      <c r="AF4" s="19">
        <v>2737778</v>
      </c>
      <c r="AH4" s="19">
        <f t="shared" si="1"/>
        <v>2474777.5</v>
      </c>
      <c r="AI4" s="19">
        <f t="shared" si="2"/>
        <v>70107.011331444766</v>
      </c>
      <c r="AU4" s="23"/>
      <c r="AW4" s="13"/>
      <c r="AX4" s="23"/>
      <c r="AY4" s="23"/>
      <c r="AZ4" s="23"/>
    </row>
    <row r="5" spans="1:52" ht="12.75" customHeight="1">
      <c r="A5" s="4" t="s">
        <v>11</v>
      </c>
      <c r="B5" s="9" t="s">
        <v>472</v>
      </c>
      <c r="C5" s="5" t="s">
        <v>474</v>
      </c>
      <c r="D5" s="5" t="s">
        <v>475</v>
      </c>
      <c r="E5" s="5" t="s">
        <v>476</v>
      </c>
      <c r="F5" s="12" t="s">
        <v>474</v>
      </c>
      <c r="G5" s="12" t="s">
        <v>478</v>
      </c>
      <c r="H5" s="12" t="s">
        <v>462</v>
      </c>
      <c r="I5" s="8">
        <v>45168</v>
      </c>
      <c r="J5" s="34" t="s">
        <v>477</v>
      </c>
      <c r="K5" s="11">
        <v>1</v>
      </c>
      <c r="L5" s="11">
        <v>10</v>
      </c>
      <c r="M5" s="11">
        <v>4</v>
      </c>
      <c r="N5" s="6" t="s">
        <v>473</v>
      </c>
      <c r="O5" s="7">
        <v>27.5</v>
      </c>
      <c r="P5" s="7">
        <v>22.5</v>
      </c>
      <c r="Q5" s="7">
        <v>6.6</v>
      </c>
      <c r="R5" s="4">
        <v>255</v>
      </c>
      <c r="S5" s="4">
        <f t="shared" si="0"/>
        <v>0.255</v>
      </c>
      <c r="T5" s="4">
        <f t="shared" si="3"/>
        <v>2.7818181818181818E-2</v>
      </c>
      <c r="V5" s="4" t="s">
        <v>527</v>
      </c>
      <c r="W5" s="4" t="s">
        <v>11</v>
      </c>
      <c r="X5" s="4" t="s">
        <v>11</v>
      </c>
      <c r="Y5" s="4" t="s">
        <v>531</v>
      </c>
      <c r="Z5" s="4" t="s">
        <v>11</v>
      </c>
      <c r="AA5" s="4" t="s">
        <v>531</v>
      </c>
      <c r="AB5" s="4">
        <v>0.9365</v>
      </c>
      <c r="AC5" s="4">
        <v>0.93920000000000003</v>
      </c>
      <c r="AD5" s="19">
        <v>2.7</v>
      </c>
      <c r="AE5" s="19">
        <v>2373390</v>
      </c>
      <c r="AF5" s="19">
        <v>2289160</v>
      </c>
      <c r="AH5" s="19">
        <f t="shared" si="1"/>
        <v>2331275</v>
      </c>
      <c r="AI5" s="19">
        <f t="shared" si="2"/>
        <v>863435.18518518517</v>
      </c>
      <c r="AU5" s="23"/>
      <c r="AW5" s="13"/>
      <c r="AX5" s="23"/>
      <c r="AY5" s="23"/>
      <c r="AZ5" s="23"/>
    </row>
    <row r="6" spans="1:52" ht="12.75" customHeight="1">
      <c r="A6" s="4" t="s">
        <v>12</v>
      </c>
      <c r="B6" s="9" t="s">
        <v>472</v>
      </c>
      <c r="C6" s="5" t="s">
        <v>474</v>
      </c>
      <c r="D6" s="5" t="s">
        <v>475</v>
      </c>
      <c r="E6" s="5" t="s">
        <v>476</v>
      </c>
      <c r="F6" s="12" t="s">
        <v>474</v>
      </c>
      <c r="G6" s="12" t="s">
        <v>478</v>
      </c>
      <c r="H6" s="12" t="s">
        <v>462</v>
      </c>
      <c r="I6" s="8">
        <v>45168</v>
      </c>
      <c r="J6" s="34" t="s">
        <v>477</v>
      </c>
      <c r="K6" s="11">
        <v>1</v>
      </c>
      <c r="L6" s="11">
        <v>10</v>
      </c>
      <c r="M6" s="11">
        <v>4</v>
      </c>
      <c r="N6" s="6" t="s">
        <v>479</v>
      </c>
      <c r="O6" s="7">
        <v>20.9</v>
      </c>
      <c r="P6" s="7">
        <v>17.8</v>
      </c>
      <c r="Q6" s="7">
        <v>4.7</v>
      </c>
      <c r="R6" s="4">
        <v>119</v>
      </c>
      <c r="S6" s="4">
        <f t="shared" si="0"/>
        <v>0.11899999999999999</v>
      </c>
      <c r="T6" s="4">
        <f t="shared" si="3"/>
        <v>1.7081339712918663E-2</v>
      </c>
      <c r="V6" s="4" t="s">
        <v>527</v>
      </c>
      <c r="W6" s="4" t="s">
        <v>12</v>
      </c>
      <c r="X6" s="4" t="s">
        <v>12</v>
      </c>
      <c r="Y6" s="4" t="s">
        <v>532</v>
      </c>
      <c r="Z6" s="4" t="s">
        <v>12</v>
      </c>
      <c r="AA6" s="4" t="s">
        <v>532</v>
      </c>
      <c r="AB6" s="4">
        <v>0.92979999999999996</v>
      </c>
      <c r="AC6" s="4">
        <v>0.93049999999999999</v>
      </c>
      <c r="AD6" s="19">
        <v>0.7</v>
      </c>
      <c r="AE6" s="19">
        <v>1016550</v>
      </c>
      <c r="AF6" s="19">
        <v>1016550</v>
      </c>
      <c r="AH6" s="19">
        <f t="shared" si="1"/>
        <v>1016550</v>
      </c>
      <c r="AI6" s="19">
        <f t="shared" si="2"/>
        <v>1452214.2857142859</v>
      </c>
      <c r="AU6" s="23"/>
      <c r="AW6" s="13"/>
      <c r="AX6" s="23"/>
      <c r="AY6" s="23"/>
      <c r="AZ6" s="23"/>
    </row>
    <row r="7" spans="1:52" ht="12.75" customHeight="1">
      <c r="A7" s="4" t="s">
        <v>13</v>
      </c>
      <c r="B7" s="9" t="s">
        <v>472</v>
      </c>
      <c r="C7" s="5" t="s">
        <v>474</v>
      </c>
      <c r="D7" s="5" t="s">
        <v>475</v>
      </c>
      <c r="E7" s="5" t="s">
        <v>476</v>
      </c>
      <c r="F7" s="12" t="s">
        <v>474</v>
      </c>
      <c r="G7" s="12" t="s">
        <v>478</v>
      </c>
      <c r="H7" s="12" t="s">
        <v>462</v>
      </c>
      <c r="I7" s="8">
        <v>45168</v>
      </c>
      <c r="J7" s="34" t="s">
        <v>477</v>
      </c>
      <c r="K7" s="11">
        <v>1</v>
      </c>
      <c r="L7" s="11">
        <v>10</v>
      </c>
      <c r="M7" s="11">
        <v>4</v>
      </c>
      <c r="N7" s="6" t="s">
        <v>479</v>
      </c>
      <c r="O7" s="7">
        <v>23.3</v>
      </c>
      <c r="P7" s="7">
        <v>19.8</v>
      </c>
      <c r="Q7" s="7">
        <v>5</v>
      </c>
      <c r="R7" s="4">
        <v>168</v>
      </c>
      <c r="S7" s="4">
        <f t="shared" si="0"/>
        <v>0.16800000000000001</v>
      </c>
      <c r="T7" s="4">
        <f t="shared" si="3"/>
        <v>2.1630901287553649E-2</v>
      </c>
      <c r="V7" s="4" t="s">
        <v>533</v>
      </c>
      <c r="W7" s="32" t="s">
        <v>13</v>
      </c>
      <c r="AD7" s="19"/>
      <c r="AE7" s="19"/>
      <c r="AF7" s="19"/>
      <c r="AH7" s="19"/>
      <c r="AI7" s="19"/>
      <c r="AU7" s="23"/>
      <c r="AW7" s="13"/>
      <c r="AX7" s="23"/>
      <c r="AY7" s="23"/>
      <c r="AZ7" s="23"/>
    </row>
    <row r="8" spans="1:52" ht="12.75" customHeight="1">
      <c r="A8" s="4" t="s">
        <v>14</v>
      </c>
      <c r="B8" s="9" t="s">
        <v>472</v>
      </c>
      <c r="C8" s="5" t="s">
        <v>474</v>
      </c>
      <c r="D8" s="5" t="s">
        <v>475</v>
      </c>
      <c r="E8" s="5" t="s">
        <v>476</v>
      </c>
      <c r="F8" s="12" t="s">
        <v>474</v>
      </c>
      <c r="G8" s="12" t="s">
        <v>478</v>
      </c>
      <c r="H8" s="12" t="s">
        <v>462</v>
      </c>
      <c r="I8" s="8">
        <v>45168</v>
      </c>
      <c r="J8" s="34" t="s">
        <v>477</v>
      </c>
      <c r="K8" s="11">
        <v>1</v>
      </c>
      <c r="L8" s="11">
        <v>10</v>
      </c>
      <c r="M8" s="11">
        <v>4</v>
      </c>
      <c r="N8" s="6" t="s">
        <v>480</v>
      </c>
      <c r="O8" s="33">
        <v>60</v>
      </c>
      <c r="P8" s="7">
        <v>52.7</v>
      </c>
      <c r="Q8" s="7">
        <v>24.1</v>
      </c>
      <c r="R8" s="4">
        <v>5865</v>
      </c>
      <c r="S8" s="4">
        <f t="shared" si="0"/>
        <v>5.8650000000000002</v>
      </c>
      <c r="T8" s="4">
        <f t="shared" si="3"/>
        <v>0.29325000000000001</v>
      </c>
      <c r="U8" s="4" t="s">
        <v>16</v>
      </c>
      <c r="V8" s="4" t="s">
        <v>533</v>
      </c>
      <c r="W8" s="32" t="s">
        <v>14</v>
      </c>
      <c r="AD8" s="19"/>
      <c r="AE8" s="19"/>
      <c r="AF8" s="19"/>
      <c r="AH8" s="19"/>
      <c r="AI8" s="19"/>
      <c r="AU8" s="23"/>
      <c r="AW8" s="13"/>
      <c r="AX8" s="23"/>
      <c r="AY8" s="23"/>
      <c r="AZ8" s="23"/>
    </row>
    <row r="9" spans="1:52" ht="12.75" customHeight="1">
      <c r="A9" s="4" t="s">
        <v>17</v>
      </c>
      <c r="B9" s="9" t="s">
        <v>481</v>
      </c>
      <c r="C9" s="5" t="s">
        <v>474</v>
      </c>
      <c r="D9" s="5" t="s">
        <v>483</v>
      </c>
      <c r="E9" s="5" t="s">
        <v>484</v>
      </c>
      <c r="F9" s="12" t="s">
        <v>474</v>
      </c>
      <c r="G9" s="12" t="s">
        <v>486</v>
      </c>
      <c r="H9" s="12" t="s">
        <v>462</v>
      </c>
      <c r="I9" s="8">
        <v>45210</v>
      </c>
      <c r="J9" s="10" t="s">
        <v>485</v>
      </c>
      <c r="K9" s="11">
        <v>2</v>
      </c>
      <c r="L9" s="11">
        <v>6</v>
      </c>
      <c r="M9" s="11">
        <v>1</v>
      </c>
      <c r="N9" s="6" t="s">
        <v>482</v>
      </c>
      <c r="O9" s="7">
        <v>35.4</v>
      </c>
      <c r="P9" s="7">
        <v>25.4</v>
      </c>
      <c r="Q9" s="7">
        <v>9.3000000000000007</v>
      </c>
      <c r="R9" s="4">
        <v>363</v>
      </c>
      <c r="S9" s="4">
        <f t="shared" si="0"/>
        <v>0.36299999999999999</v>
      </c>
      <c r="T9" s="4">
        <f t="shared" si="3"/>
        <v>3.076271186440678E-2</v>
      </c>
      <c r="V9" s="4" t="s">
        <v>527</v>
      </c>
      <c r="W9" s="4" t="s">
        <v>17</v>
      </c>
      <c r="X9" s="4" t="s">
        <v>17</v>
      </c>
      <c r="Y9" s="4" t="s">
        <v>534</v>
      </c>
      <c r="Z9" s="4" t="s">
        <v>17</v>
      </c>
      <c r="AA9" s="4" t="s">
        <v>534</v>
      </c>
      <c r="AB9" s="20">
        <v>0.94830000000000003</v>
      </c>
      <c r="AC9" s="20">
        <v>0.97199999999999998</v>
      </c>
      <c r="AD9" s="19">
        <f t="shared" ref="AD9:AD122" si="4">(AC9-AB9)*1000</f>
        <v>23.699999999999942</v>
      </c>
      <c r="AE9" s="19">
        <v>257542</v>
      </c>
      <c r="AF9" s="19">
        <v>292409</v>
      </c>
      <c r="AG9" s="19">
        <v>267521</v>
      </c>
      <c r="AH9" s="19">
        <f t="shared" si="1"/>
        <v>272490.66666666669</v>
      </c>
      <c r="AI9" s="19">
        <f t="shared" si="2"/>
        <v>11497.496483825627</v>
      </c>
      <c r="AU9" s="23"/>
      <c r="AW9" s="13"/>
      <c r="AX9" s="23"/>
      <c r="AY9" s="23"/>
      <c r="AZ9" s="23"/>
    </row>
    <row r="10" spans="1:52" ht="12.75" customHeight="1">
      <c r="A10" s="4" t="s">
        <v>19</v>
      </c>
      <c r="B10" s="9" t="s">
        <v>481</v>
      </c>
      <c r="C10" s="5" t="s">
        <v>474</v>
      </c>
      <c r="D10" s="5" t="s">
        <v>483</v>
      </c>
      <c r="E10" s="5" t="s">
        <v>484</v>
      </c>
      <c r="F10" s="12" t="s">
        <v>474</v>
      </c>
      <c r="G10" s="12" t="s">
        <v>486</v>
      </c>
      <c r="H10" s="12" t="s">
        <v>462</v>
      </c>
      <c r="I10" s="8">
        <v>45210</v>
      </c>
      <c r="J10" s="10" t="s">
        <v>485</v>
      </c>
      <c r="K10" s="11">
        <v>2</v>
      </c>
      <c r="L10" s="11">
        <v>6</v>
      </c>
      <c r="M10" s="11">
        <v>1</v>
      </c>
      <c r="N10" s="6" t="s">
        <v>482</v>
      </c>
      <c r="O10" s="7">
        <v>31.8</v>
      </c>
      <c r="P10" s="7">
        <v>23.1</v>
      </c>
      <c r="Q10" s="7">
        <v>8.1999999999999993</v>
      </c>
      <c r="R10" s="4">
        <v>236</v>
      </c>
      <c r="S10" s="4">
        <f t="shared" si="0"/>
        <v>0.23599999999999999</v>
      </c>
      <c r="T10" s="4">
        <f t="shared" si="3"/>
        <v>2.2264150943396226E-2</v>
      </c>
      <c r="V10" s="4" t="s">
        <v>527</v>
      </c>
      <c r="W10" s="4" t="s">
        <v>19</v>
      </c>
      <c r="X10" s="4" t="s">
        <v>19</v>
      </c>
      <c r="Y10" s="4" t="s">
        <v>535</v>
      </c>
      <c r="Z10" s="4" t="s">
        <v>19</v>
      </c>
      <c r="AA10" s="4" t="s">
        <v>535</v>
      </c>
      <c r="AB10" s="20">
        <v>0.94489999999999996</v>
      </c>
      <c r="AC10" s="20">
        <v>0.97</v>
      </c>
      <c r="AD10" s="19">
        <f t="shared" si="4"/>
        <v>25.100000000000012</v>
      </c>
      <c r="AE10" s="19">
        <v>251446</v>
      </c>
      <c r="AF10" s="19">
        <v>269553</v>
      </c>
      <c r="AG10" s="19">
        <v>293736</v>
      </c>
      <c r="AH10" s="19">
        <f t="shared" si="1"/>
        <v>271578.33333333331</v>
      </c>
      <c r="AI10" s="19">
        <f t="shared" si="2"/>
        <v>10819.853917662676</v>
      </c>
      <c r="AU10" s="23"/>
      <c r="AW10" s="13"/>
      <c r="AX10" s="23"/>
      <c r="AY10" s="23"/>
      <c r="AZ10" s="23"/>
    </row>
    <row r="11" spans="1:52" ht="12.75" customHeight="1">
      <c r="A11" s="4" t="s">
        <v>20</v>
      </c>
      <c r="B11" s="9" t="s">
        <v>481</v>
      </c>
      <c r="C11" s="5" t="s">
        <v>474</v>
      </c>
      <c r="D11" s="5" t="s">
        <v>483</v>
      </c>
      <c r="E11" s="5" t="s">
        <v>484</v>
      </c>
      <c r="F11" s="12" t="s">
        <v>474</v>
      </c>
      <c r="G11" s="12" t="s">
        <v>486</v>
      </c>
      <c r="H11" s="12" t="s">
        <v>462</v>
      </c>
      <c r="I11" s="8">
        <v>45210</v>
      </c>
      <c r="J11" s="10" t="s">
        <v>485</v>
      </c>
      <c r="K11" s="11">
        <v>2</v>
      </c>
      <c r="L11" s="11">
        <v>6</v>
      </c>
      <c r="M11" s="11">
        <v>1</v>
      </c>
      <c r="N11" s="6" t="s">
        <v>482</v>
      </c>
      <c r="O11" s="7">
        <v>31.5</v>
      </c>
      <c r="P11" s="7">
        <v>24.2</v>
      </c>
      <c r="Q11" s="7">
        <v>8.6</v>
      </c>
      <c r="R11" s="4">
        <v>277</v>
      </c>
      <c r="S11" s="4">
        <f t="shared" si="0"/>
        <v>0.27700000000000002</v>
      </c>
      <c r="T11" s="4">
        <f t="shared" si="3"/>
        <v>2.6380952380952383E-2</v>
      </c>
      <c r="V11" s="4" t="s">
        <v>527</v>
      </c>
      <c r="W11" s="4" t="s">
        <v>20</v>
      </c>
      <c r="X11" s="4" t="s">
        <v>20</v>
      </c>
      <c r="Y11" s="4" t="s">
        <v>536</v>
      </c>
      <c r="Z11" s="4" t="s">
        <v>20</v>
      </c>
      <c r="AA11" s="4" t="s">
        <v>536</v>
      </c>
      <c r="AB11" s="20">
        <v>0.93830000000000002</v>
      </c>
      <c r="AC11" s="20">
        <v>0.96519999999999995</v>
      </c>
      <c r="AD11" s="19">
        <f t="shared" si="4"/>
        <v>26.899999999999924</v>
      </c>
      <c r="AE11" s="19">
        <v>213094</v>
      </c>
      <c r="AF11" s="19">
        <v>190903</v>
      </c>
      <c r="AG11" s="19">
        <v>212401</v>
      </c>
      <c r="AH11" s="19">
        <f t="shared" si="1"/>
        <v>205466</v>
      </c>
      <c r="AI11" s="19">
        <f t="shared" si="2"/>
        <v>7638.1412639405416</v>
      </c>
      <c r="AU11" s="23"/>
      <c r="AW11" s="13"/>
      <c r="AX11" s="23"/>
      <c r="AY11" s="23"/>
      <c r="AZ11" s="23"/>
    </row>
    <row r="12" spans="1:52" ht="12.75" customHeight="1">
      <c r="A12" s="4" t="s">
        <v>21</v>
      </c>
      <c r="B12" s="9" t="s">
        <v>481</v>
      </c>
      <c r="C12" s="5" t="s">
        <v>474</v>
      </c>
      <c r="D12" s="5" t="s">
        <v>483</v>
      </c>
      <c r="E12" s="5" t="s">
        <v>484</v>
      </c>
      <c r="F12" s="12" t="s">
        <v>474</v>
      </c>
      <c r="G12" s="12" t="s">
        <v>486</v>
      </c>
      <c r="H12" s="12" t="s">
        <v>462</v>
      </c>
      <c r="I12" s="8">
        <v>45210</v>
      </c>
      <c r="J12" s="10" t="s">
        <v>485</v>
      </c>
      <c r="K12" s="11">
        <v>2</v>
      </c>
      <c r="L12" s="11">
        <v>6</v>
      </c>
      <c r="M12" s="11">
        <v>1</v>
      </c>
      <c r="N12" s="6" t="s">
        <v>482</v>
      </c>
      <c r="O12" s="7">
        <v>32</v>
      </c>
      <c r="P12" s="7">
        <v>24.2</v>
      </c>
      <c r="Q12" s="7">
        <v>9.1</v>
      </c>
      <c r="R12" s="4">
        <v>297</v>
      </c>
      <c r="S12" s="4">
        <f t="shared" si="0"/>
        <v>0.29699999999999999</v>
      </c>
      <c r="T12" s="4">
        <f t="shared" si="3"/>
        <v>2.784375E-2</v>
      </c>
      <c r="V12" s="4" t="s">
        <v>527</v>
      </c>
      <c r="W12" s="4" t="s">
        <v>21</v>
      </c>
      <c r="X12" s="4" t="s">
        <v>21</v>
      </c>
      <c r="Y12" s="4" t="s">
        <v>537</v>
      </c>
      <c r="Z12" s="4" t="s">
        <v>21</v>
      </c>
      <c r="AA12" s="4" t="s">
        <v>537</v>
      </c>
      <c r="AB12" s="20">
        <v>0.94040000000000001</v>
      </c>
      <c r="AC12" s="20">
        <v>0.97709999999999997</v>
      </c>
      <c r="AD12" s="19">
        <f t="shared" si="4"/>
        <v>36.699999999999953</v>
      </c>
      <c r="AE12" s="19">
        <v>264832</v>
      </c>
      <c r="AF12" s="19">
        <v>316609</v>
      </c>
      <c r="AG12" s="19">
        <v>337429</v>
      </c>
      <c r="AH12" s="19">
        <f t="shared" si="1"/>
        <v>306290</v>
      </c>
      <c r="AI12" s="19">
        <f t="shared" si="2"/>
        <v>8345.776566757504</v>
      </c>
      <c r="AU12" s="23"/>
      <c r="AW12" s="13"/>
      <c r="AX12" s="23"/>
      <c r="AY12" s="23"/>
      <c r="AZ12" s="23"/>
    </row>
    <row r="13" spans="1:52" ht="12.75" customHeight="1">
      <c r="A13" s="4" t="s">
        <v>22</v>
      </c>
      <c r="B13" s="9" t="s">
        <v>481</v>
      </c>
      <c r="C13" s="5" t="s">
        <v>474</v>
      </c>
      <c r="D13" s="5" t="s">
        <v>483</v>
      </c>
      <c r="E13" s="5" t="s">
        <v>484</v>
      </c>
      <c r="F13" s="12" t="s">
        <v>474</v>
      </c>
      <c r="G13" s="12" t="s">
        <v>486</v>
      </c>
      <c r="H13" s="12" t="s">
        <v>462</v>
      </c>
      <c r="I13" s="8">
        <v>45210</v>
      </c>
      <c r="J13" s="10" t="s">
        <v>485</v>
      </c>
      <c r="K13" s="11">
        <v>2</v>
      </c>
      <c r="L13" s="11">
        <v>6</v>
      </c>
      <c r="M13" s="11">
        <v>1</v>
      </c>
      <c r="N13" s="6" t="s">
        <v>482</v>
      </c>
      <c r="O13" s="7">
        <v>32.1</v>
      </c>
      <c r="P13" s="7">
        <v>27.4</v>
      </c>
      <c r="Q13" s="7">
        <v>10.1</v>
      </c>
      <c r="R13" s="4">
        <v>459</v>
      </c>
      <c r="S13" s="4">
        <f t="shared" si="0"/>
        <v>0.45900000000000002</v>
      </c>
      <c r="T13" s="4">
        <f t="shared" si="3"/>
        <v>4.2897196261682244E-2</v>
      </c>
      <c r="V13" s="4" t="s">
        <v>527</v>
      </c>
      <c r="W13" s="4" t="s">
        <v>22</v>
      </c>
      <c r="X13" s="4" t="s">
        <v>22</v>
      </c>
      <c r="Y13" s="4" t="s">
        <v>538</v>
      </c>
      <c r="Z13" s="4" t="s">
        <v>22</v>
      </c>
      <c r="AA13" s="4" t="s">
        <v>538</v>
      </c>
      <c r="AB13" s="20">
        <v>0.96160000000000001</v>
      </c>
      <c r="AC13" s="20">
        <v>0.98939999999999995</v>
      </c>
      <c r="AD13" s="19">
        <f t="shared" si="4"/>
        <v>27.799999999999937</v>
      </c>
      <c r="AE13" s="19">
        <v>470638</v>
      </c>
      <c r="AF13" s="19">
        <v>503585</v>
      </c>
      <c r="AG13" s="19">
        <v>537909</v>
      </c>
      <c r="AH13" s="19">
        <f t="shared" si="1"/>
        <v>504044</v>
      </c>
      <c r="AI13" s="19">
        <f t="shared" si="2"/>
        <v>18131.079136690689</v>
      </c>
      <c r="AU13" s="23"/>
      <c r="AW13" s="13"/>
      <c r="AX13" s="23"/>
      <c r="AY13" s="23"/>
      <c r="AZ13" s="23"/>
    </row>
    <row r="14" spans="1:52" ht="12.75" customHeight="1">
      <c r="A14" s="4" t="s">
        <v>23</v>
      </c>
      <c r="B14" s="9" t="s">
        <v>481</v>
      </c>
      <c r="C14" s="5" t="s">
        <v>474</v>
      </c>
      <c r="D14" s="5" t="s">
        <v>483</v>
      </c>
      <c r="E14" s="5" t="s">
        <v>484</v>
      </c>
      <c r="F14" s="12" t="s">
        <v>474</v>
      </c>
      <c r="G14" s="12" t="s">
        <v>486</v>
      </c>
      <c r="H14" s="12" t="s">
        <v>462</v>
      </c>
      <c r="I14" s="8">
        <v>45210</v>
      </c>
      <c r="J14" s="10" t="s">
        <v>485</v>
      </c>
      <c r="K14" s="11">
        <v>2</v>
      </c>
      <c r="L14" s="11">
        <v>6</v>
      </c>
      <c r="M14" s="11">
        <v>1</v>
      </c>
      <c r="N14" s="6" t="s">
        <v>482</v>
      </c>
      <c r="O14" s="7">
        <v>34.700000000000003</v>
      </c>
      <c r="P14" s="7">
        <v>26.2</v>
      </c>
      <c r="Q14" s="7">
        <v>9.3000000000000007</v>
      </c>
      <c r="R14" s="4">
        <v>434</v>
      </c>
      <c r="S14" s="4">
        <f t="shared" si="0"/>
        <v>0.434</v>
      </c>
      <c r="T14" s="4">
        <f t="shared" si="3"/>
        <v>3.7521613832853025E-2</v>
      </c>
      <c r="V14" s="4" t="s">
        <v>527</v>
      </c>
      <c r="W14" s="4" t="s">
        <v>23</v>
      </c>
      <c r="X14" s="4" t="s">
        <v>23</v>
      </c>
      <c r="Y14" s="4" t="s">
        <v>539</v>
      </c>
      <c r="Z14" s="4" t="s">
        <v>23</v>
      </c>
      <c r="AA14" s="4" t="s">
        <v>539</v>
      </c>
      <c r="AB14" s="20">
        <v>0.95240000000000002</v>
      </c>
      <c r="AC14" s="20">
        <v>0.97660000000000002</v>
      </c>
      <c r="AD14" s="19">
        <f t="shared" si="4"/>
        <v>24.2</v>
      </c>
      <c r="AE14" s="19">
        <v>211754</v>
      </c>
      <c r="AF14" s="19">
        <v>256153</v>
      </c>
      <c r="AG14" s="19">
        <v>216485</v>
      </c>
      <c r="AH14" s="19">
        <f t="shared" si="1"/>
        <v>228130.66666666666</v>
      </c>
      <c r="AI14" s="19">
        <f t="shared" si="2"/>
        <v>9426.8870523415972</v>
      </c>
      <c r="AU14" s="23"/>
      <c r="AW14" s="13"/>
      <c r="AX14" s="23"/>
      <c r="AY14" s="23"/>
      <c r="AZ14" s="23"/>
    </row>
    <row r="15" spans="1:52" ht="12.75" customHeight="1">
      <c r="A15" s="4" t="s">
        <v>637</v>
      </c>
      <c r="B15" s="9" t="s">
        <v>481</v>
      </c>
      <c r="C15" s="5" t="s">
        <v>474</v>
      </c>
      <c r="D15" s="5" t="s">
        <v>483</v>
      </c>
      <c r="E15" s="5" t="s">
        <v>484</v>
      </c>
      <c r="F15" s="12" t="s">
        <v>474</v>
      </c>
      <c r="G15" s="12" t="s">
        <v>486</v>
      </c>
      <c r="H15" s="12" t="s">
        <v>462</v>
      </c>
      <c r="I15" s="8">
        <v>45210</v>
      </c>
      <c r="J15" s="10" t="s">
        <v>485</v>
      </c>
      <c r="K15" s="11">
        <v>2</v>
      </c>
      <c r="L15" s="11">
        <v>6</v>
      </c>
      <c r="M15" s="11">
        <v>1</v>
      </c>
      <c r="N15" s="6" t="s">
        <v>482</v>
      </c>
      <c r="O15" s="7">
        <v>32.200000000000003</v>
      </c>
      <c r="P15" s="7">
        <v>24.6</v>
      </c>
      <c r="Q15" s="7">
        <v>9.6</v>
      </c>
      <c r="R15" s="4">
        <v>320</v>
      </c>
      <c r="S15" s="13">
        <f t="shared" si="0"/>
        <v>0.32</v>
      </c>
      <c r="T15" s="4">
        <f t="shared" si="3"/>
        <v>2.9813664596273288E-2</v>
      </c>
      <c r="V15" s="4" t="s">
        <v>540</v>
      </c>
      <c r="W15" s="4" t="s">
        <v>637</v>
      </c>
      <c r="X15" s="4" t="s">
        <v>637</v>
      </c>
      <c r="Y15" s="27">
        <v>1</v>
      </c>
      <c r="Z15" s="24"/>
      <c r="AA15" s="27">
        <v>1</v>
      </c>
      <c r="AB15" s="25"/>
      <c r="AC15" s="26"/>
      <c r="AD15" s="24"/>
      <c r="AE15" s="25"/>
      <c r="AF15" s="25"/>
      <c r="AJ15" s="4">
        <v>1.1568000000000001</v>
      </c>
      <c r="AK15" s="4">
        <v>1.1677</v>
      </c>
      <c r="AL15" s="4">
        <v>1.1577</v>
      </c>
      <c r="AM15" s="4">
        <v>1.09E-2</v>
      </c>
      <c r="AN15" s="4">
        <v>8.9999999999999998E-4</v>
      </c>
      <c r="AO15" s="4">
        <v>0.91743119269999995</v>
      </c>
      <c r="AP15" s="4">
        <v>91.743119269999994</v>
      </c>
      <c r="AQ15" s="4">
        <v>1.149</v>
      </c>
      <c r="AR15" s="4">
        <v>1.1952</v>
      </c>
      <c r="AS15" s="4">
        <v>1.1572</v>
      </c>
      <c r="AT15" s="4">
        <v>4.6199999999999998E-2</v>
      </c>
      <c r="AU15" s="4">
        <v>8.2000000000000007E-3</v>
      </c>
      <c r="AV15" s="4">
        <v>0.82251082249999996</v>
      </c>
      <c r="AW15" s="4">
        <v>82.251082249999996</v>
      </c>
      <c r="AX15" s="4">
        <v>29.934999999999999</v>
      </c>
    </row>
    <row r="16" spans="1:52" ht="12.75" customHeight="1">
      <c r="A16" s="4" t="s">
        <v>638</v>
      </c>
      <c r="B16" s="9" t="s">
        <v>481</v>
      </c>
      <c r="C16" s="5" t="s">
        <v>474</v>
      </c>
      <c r="D16" s="5" t="s">
        <v>483</v>
      </c>
      <c r="E16" s="5" t="s">
        <v>484</v>
      </c>
      <c r="F16" s="12" t="s">
        <v>474</v>
      </c>
      <c r="G16" s="12" t="s">
        <v>486</v>
      </c>
      <c r="H16" s="12" t="s">
        <v>462</v>
      </c>
      <c r="I16" s="8">
        <v>45210</v>
      </c>
      <c r="J16" s="10" t="s">
        <v>485</v>
      </c>
      <c r="K16" s="11">
        <v>2</v>
      </c>
      <c r="L16" s="11">
        <v>6</v>
      </c>
      <c r="M16" s="11">
        <v>1</v>
      </c>
      <c r="N16" s="6" t="s">
        <v>482</v>
      </c>
      <c r="O16" s="7">
        <v>35.4</v>
      </c>
      <c r="P16" s="7">
        <v>33.200000000000003</v>
      </c>
      <c r="Q16" s="7">
        <v>9.1999999999999993</v>
      </c>
      <c r="R16" s="4">
        <v>244</v>
      </c>
      <c r="S16" s="4">
        <f t="shared" si="0"/>
        <v>0.24399999999999999</v>
      </c>
      <c r="T16" s="4">
        <f t="shared" si="3"/>
        <v>2.0677966101694915E-2</v>
      </c>
      <c r="V16" s="4" t="s">
        <v>540</v>
      </c>
      <c r="W16" s="4" t="s">
        <v>638</v>
      </c>
      <c r="X16" s="4" t="s">
        <v>638</v>
      </c>
      <c r="Y16" s="27">
        <v>2</v>
      </c>
      <c r="Z16" s="24"/>
      <c r="AA16" s="27">
        <v>2</v>
      </c>
      <c r="AB16" s="25"/>
      <c r="AC16" s="26"/>
      <c r="AD16" s="24"/>
      <c r="AE16" s="25"/>
      <c r="AF16" s="25"/>
      <c r="AJ16" s="4">
        <v>0.9486</v>
      </c>
      <c r="AK16" s="4">
        <v>0.9718</v>
      </c>
      <c r="AL16" s="4">
        <v>0.95209999999999995</v>
      </c>
      <c r="AM16" s="4">
        <v>2.3199999999999998E-2</v>
      </c>
      <c r="AN16" s="4">
        <v>3.5000000000000001E-3</v>
      </c>
      <c r="AO16" s="4">
        <v>0.84913793100000001</v>
      </c>
      <c r="AP16" s="4">
        <v>84.913793100000007</v>
      </c>
      <c r="AQ16" s="4">
        <v>0.91700000000000004</v>
      </c>
      <c r="AR16" s="4">
        <v>0.93579999999999997</v>
      </c>
      <c r="AS16" s="4">
        <v>0.92020000000000002</v>
      </c>
      <c r="AT16" s="4">
        <v>1.8800000000000001E-2</v>
      </c>
      <c r="AU16" s="4">
        <v>3.2000000000000002E-3</v>
      </c>
      <c r="AV16" s="4">
        <v>0.82978723399999998</v>
      </c>
      <c r="AW16" s="4">
        <v>82.978723400000007</v>
      </c>
      <c r="AX16" s="4">
        <v>32.380000000000003</v>
      </c>
    </row>
    <row r="17" spans="1:50" ht="12.75" customHeight="1">
      <c r="A17" s="4" t="s">
        <v>639</v>
      </c>
      <c r="B17" s="9" t="s">
        <v>481</v>
      </c>
      <c r="C17" s="5" t="s">
        <v>474</v>
      </c>
      <c r="D17" s="5" t="s">
        <v>483</v>
      </c>
      <c r="E17" s="5" t="s">
        <v>484</v>
      </c>
      <c r="F17" s="12" t="s">
        <v>474</v>
      </c>
      <c r="G17" s="12" t="s">
        <v>486</v>
      </c>
      <c r="H17" s="12" t="s">
        <v>462</v>
      </c>
      <c r="I17" s="8">
        <v>45210</v>
      </c>
      <c r="J17" s="10" t="s">
        <v>485</v>
      </c>
      <c r="K17" s="11">
        <v>2</v>
      </c>
      <c r="L17" s="11">
        <v>6</v>
      </c>
      <c r="M17" s="11">
        <v>1</v>
      </c>
      <c r="N17" s="6" t="s">
        <v>482</v>
      </c>
      <c r="O17" s="7">
        <v>49.1</v>
      </c>
      <c r="P17" s="7">
        <v>29.2</v>
      </c>
      <c r="Q17" s="7">
        <v>11</v>
      </c>
      <c r="R17" s="4">
        <v>476</v>
      </c>
      <c r="S17" s="4">
        <f t="shared" si="0"/>
        <v>0.47599999999999998</v>
      </c>
      <c r="T17" s="4">
        <f t="shared" si="3"/>
        <v>2.9083503054989815E-2</v>
      </c>
      <c r="V17" s="4" t="s">
        <v>540</v>
      </c>
      <c r="W17" s="4" t="s">
        <v>639</v>
      </c>
      <c r="X17" s="4" t="s">
        <v>639</v>
      </c>
      <c r="Y17" s="27">
        <v>3</v>
      </c>
      <c r="Z17" s="24"/>
      <c r="AA17" s="27">
        <v>3</v>
      </c>
      <c r="AB17" s="25"/>
      <c r="AC17" s="26"/>
      <c r="AD17" s="24"/>
      <c r="AE17" s="25"/>
      <c r="AF17" s="25"/>
      <c r="AJ17" s="4">
        <v>0.9526</v>
      </c>
      <c r="AK17" s="4">
        <v>0.96109999999999995</v>
      </c>
      <c r="AL17" s="4">
        <v>0.95340000000000003</v>
      </c>
      <c r="AM17" s="4">
        <v>8.5000000000000006E-3</v>
      </c>
      <c r="AN17" s="4">
        <v>8.0000000000000004E-4</v>
      </c>
      <c r="AO17" s="4">
        <v>0.90588235289999997</v>
      </c>
      <c r="AP17" s="4">
        <v>90.58823529</v>
      </c>
      <c r="AQ17" s="4">
        <v>0.95650000000000002</v>
      </c>
      <c r="AR17" s="4">
        <v>0.98509999999999998</v>
      </c>
      <c r="AS17" s="4">
        <v>0.9607</v>
      </c>
      <c r="AT17" s="4">
        <v>2.86E-2</v>
      </c>
      <c r="AU17" s="4">
        <v>4.1999999999999997E-3</v>
      </c>
      <c r="AV17" s="4">
        <v>0.85314685310000005</v>
      </c>
      <c r="AW17" s="4">
        <v>85.314685310000002</v>
      </c>
      <c r="AX17" s="4">
        <v>32.734999999999999</v>
      </c>
    </row>
    <row r="18" spans="1:50" ht="12.75" customHeight="1">
      <c r="A18" s="4" t="s">
        <v>640</v>
      </c>
      <c r="B18" s="9" t="s">
        <v>481</v>
      </c>
      <c r="C18" s="5" t="s">
        <v>474</v>
      </c>
      <c r="D18" s="5" t="s">
        <v>483</v>
      </c>
      <c r="E18" s="5" t="s">
        <v>484</v>
      </c>
      <c r="F18" s="12" t="s">
        <v>474</v>
      </c>
      <c r="G18" s="12" t="s">
        <v>486</v>
      </c>
      <c r="H18" s="12" t="s">
        <v>462</v>
      </c>
      <c r="I18" s="8">
        <v>45210</v>
      </c>
      <c r="J18" s="10" t="s">
        <v>485</v>
      </c>
      <c r="K18" s="11">
        <v>2</v>
      </c>
      <c r="L18" s="11">
        <v>6</v>
      </c>
      <c r="M18" s="11">
        <v>1</v>
      </c>
      <c r="N18" s="6" t="s">
        <v>482</v>
      </c>
      <c r="O18" s="7">
        <v>33.299999999999997</v>
      </c>
      <c r="P18" s="7">
        <v>25</v>
      </c>
      <c r="Q18" s="7">
        <v>8.5</v>
      </c>
      <c r="R18" s="4">
        <v>258</v>
      </c>
      <c r="S18" s="4">
        <f t="shared" si="0"/>
        <v>0.25800000000000001</v>
      </c>
      <c r="T18" s="4">
        <f t="shared" si="3"/>
        <v>2.3243243243243245E-2</v>
      </c>
      <c r="V18" s="4" t="s">
        <v>540</v>
      </c>
      <c r="W18" s="4" t="s">
        <v>640</v>
      </c>
      <c r="X18" s="4" t="s">
        <v>640</v>
      </c>
      <c r="Y18" s="27">
        <v>4</v>
      </c>
      <c r="Z18" s="24"/>
      <c r="AA18" s="27">
        <v>4</v>
      </c>
      <c r="AB18" s="25"/>
      <c r="AC18" s="26"/>
      <c r="AD18" s="24"/>
      <c r="AE18" s="25"/>
      <c r="AF18" s="25"/>
      <c r="AJ18" s="4">
        <v>0.9446</v>
      </c>
      <c r="AK18" s="4">
        <v>0.95520000000000005</v>
      </c>
      <c r="AL18" s="4">
        <v>0.94520000000000004</v>
      </c>
      <c r="AM18" s="4">
        <v>1.06E-2</v>
      </c>
      <c r="AN18" s="4">
        <v>5.9999999999999995E-4</v>
      </c>
      <c r="AO18" s="4">
        <v>0.94339622639999998</v>
      </c>
      <c r="AP18" s="4">
        <v>94.339622640000002</v>
      </c>
      <c r="AQ18" s="4">
        <v>0.95479999999999998</v>
      </c>
      <c r="AR18" s="4">
        <v>1.0118</v>
      </c>
      <c r="AS18" s="4">
        <v>0.96499999999999997</v>
      </c>
      <c r="AT18" s="4">
        <v>5.7000000000000002E-2</v>
      </c>
      <c r="AU18" s="4">
        <v>1.0200000000000001E-2</v>
      </c>
      <c r="AV18" s="4">
        <v>0.82105263159999997</v>
      </c>
      <c r="AW18" s="4">
        <v>82.105263160000007</v>
      </c>
      <c r="AX18" s="4">
        <v>32.784999999999997</v>
      </c>
    </row>
    <row r="19" spans="1:50" ht="12.75" customHeight="1">
      <c r="A19" s="4" t="s">
        <v>641</v>
      </c>
      <c r="B19" s="9" t="s">
        <v>481</v>
      </c>
      <c r="C19" s="5" t="s">
        <v>474</v>
      </c>
      <c r="D19" s="5" t="s">
        <v>483</v>
      </c>
      <c r="E19" s="5" t="s">
        <v>484</v>
      </c>
      <c r="F19" s="12" t="s">
        <v>474</v>
      </c>
      <c r="G19" s="12" t="s">
        <v>486</v>
      </c>
      <c r="H19" s="12" t="s">
        <v>462</v>
      </c>
      <c r="I19" s="8">
        <v>45210</v>
      </c>
      <c r="J19" s="10" t="s">
        <v>485</v>
      </c>
      <c r="K19" s="11">
        <v>2</v>
      </c>
      <c r="L19" s="11">
        <v>6</v>
      </c>
      <c r="M19" s="11">
        <v>1</v>
      </c>
      <c r="N19" s="6" t="s">
        <v>482</v>
      </c>
      <c r="O19" s="7">
        <v>35.4</v>
      </c>
      <c r="P19" s="7">
        <v>27.2</v>
      </c>
      <c r="Q19" s="7">
        <v>9.4</v>
      </c>
      <c r="R19" s="4">
        <v>288</v>
      </c>
      <c r="S19" s="4">
        <f t="shared" si="0"/>
        <v>0.28799999999999998</v>
      </c>
      <c r="T19" s="4">
        <f t="shared" si="3"/>
        <v>2.4406779661016949E-2</v>
      </c>
      <c r="V19" s="4" t="s">
        <v>540</v>
      </c>
      <c r="W19" s="4" t="s">
        <v>641</v>
      </c>
      <c r="X19" s="4" t="s">
        <v>641</v>
      </c>
      <c r="Y19" s="27">
        <v>5</v>
      </c>
      <c r="Z19" s="24"/>
      <c r="AA19" s="27">
        <v>5</v>
      </c>
      <c r="AB19" s="25"/>
      <c r="AC19" s="26"/>
      <c r="AD19" s="24"/>
      <c r="AE19" s="25"/>
      <c r="AF19" s="25"/>
      <c r="AJ19" s="4">
        <v>0.94930000000000003</v>
      </c>
      <c r="AK19" s="4">
        <v>0.95809999999999995</v>
      </c>
      <c r="AL19" s="4">
        <v>0.95020000000000004</v>
      </c>
      <c r="AM19" s="4">
        <v>8.8000000000000005E-3</v>
      </c>
      <c r="AN19" s="4">
        <v>8.9999999999999998E-4</v>
      </c>
      <c r="AO19" s="4">
        <v>0.89772727269999997</v>
      </c>
      <c r="AP19" s="4">
        <v>89.772727270000004</v>
      </c>
      <c r="AQ19" s="4">
        <v>0.96199999999999997</v>
      </c>
      <c r="AR19" s="4">
        <v>1.0048999999999999</v>
      </c>
      <c r="AS19" s="4">
        <v>0.96970000000000001</v>
      </c>
      <c r="AT19" s="4">
        <v>4.2900000000000001E-2</v>
      </c>
      <c r="AU19" s="4">
        <v>7.7000000000000002E-3</v>
      </c>
      <c r="AV19" s="4">
        <v>0.82051282049999996</v>
      </c>
      <c r="AW19" s="4">
        <v>82.051282049999998</v>
      </c>
      <c r="AX19" s="4">
        <v>21.184999999999999</v>
      </c>
    </row>
    <row r="20" spans="1:50" ht="12.75" customHeight="1">
      <c r="A20" s="4" t="s">
        <v>642</v>
      </c>
      <c r="B20" s="9" t="s">
        <v>481</v>
      </c>
      <c r="C20" s="5" t="s">
        <v>474</v>
      </c>
      <c r="D20" s="5" t="s">
        <v>483</v>
      </c>
      <c r="E20" s="5" t="s">
        <v>484</v>
      </c>
      <c r="F20" s="12" t="s">
        <v>474</v>
      </c>
      <c r="G20" s="12" t="s">
        <v>486</v>
      </c>
      <c r="H20" s="12" t="s">
        <v>462</v>
      </c>
      <c r="I20" s="8">
        <v>45210</v>
      </c>
      <c r="J20" s="10" t="s">
        <v>485</v>
      </c>
      <c r="K20" s="11">
        <v>2</v>
      </c>
      <c r="L20" s="11">
        <v>6</v>
      </c>
      <c r="M20" s="11">
        <v>1</v>
      </c>
      <c r="N20" s="6" t="s">
        <v>482</v>
      </c>
      <c r="O20" s="7">
        <v>33.299999999999997</v>
      </c>
      <c r="P20" s="7">
        <v>25.2</v>
      </c>
      <c r="Q20" s="7">
        <v>10.199999999999999</v>
      </c>
      <c r="R20" s="4">
        <v>393</v>
      </c>
      <c r="S20" s="4">
        <f t="shared" si="0"/>
        <v>0.39300000000000002</v>
      </c>
      <c r="T20" s="4">
        <f t="shared" si="3"/>
        <v>3.5405405405405405E-2</v>
      </c>
      <c r="V20" s="4" t="s">
        <v>540</v>
      </c>
      <c r="W20" s="4" t="s">
        <v>642</v>
      </c>
      <c r="X20" s="4" t="s">
        <v>642</v>
      </c>
      <c r="Y20" s="27">
        <v>6</v>
      </c>
      <c r="Z20" s="24"/>
      <c r="AA20" s="27">
        <v>6</v>
      </c>
      <c r="AB20" s="25"/>
      <c r="AC20" s="26"/>
      <c r="AD20" s="24"/>
      <c r="AE20" s="25"/>
      <c r="AF20" s="25"/>
      <c r="AJ20" s="4">
        <v>0.96719999999999995</v>
      </c>
      <c r="AK20" s="4">
        <v>0.98180000000000001</v>
      </c>
      <c r="AL20" s="4">
        <v>0.96909999999999996</v>
      </c>
      <c r="AM20" s="4">
        <v>1.46E-2</v>
      </c>
      <c r="AN20" s="4">
        <v>1.9E-3</v>
      </c>
      <c r="AO20" s="4">
        <v>0.86986301369999997</v>
      </c>
      <c r="AP20" s="4">
        <v>86.986301370000007</v>
      </c>
      <c r="AQ20" s="4">
        <v>0.93940000000000001</v>
      </c>
      <c r="AR20" s="4">
        <v>1.0052000000000001</v>
      </c>
      <c r="AS20" s="4">
        <v>0.95550000000000002</v>
      </c>
      <c r="AT20" s="4">
        <v>6.5799999999999997E-2</v>
      </c>
      <c r="AU20" s="4">
        <v>1.61E-2</v>
      </c>
      <c r="AV20" s="4">
        <v>0.75531914889999996</v>
      </c>
      <c r="AW20" s="4">
        <v>75.531914889999996</v>
      </c>
      <c r="AX20" s="4">
        <v>17.984999999999999</v>
      </c>
    </row>
    <row r="21" spans="1:50" ht="12.75" customHeight="1">
      <c r="A21" s="4" t="s">
        <v>30</v>
      </c>
      <c r="B21" s="9" t="s">
        <v>487</v>
      </c>
      <c r="C21" s="5" t="s">
        <v>474</v>
      </c>
      <c r="D21" s="5" t="s">
        <v>483</v>
      </c>
      <c r="E21" s="5" t="s">
        <v>488</v>
      </c>
      <c r="F21" s="12" t="s">
        <v>474</v>
      </c>
      <c r="G21" s="12" t="s">
        <v>486</v>
      </c>
      <c r="H21" s="12" t="s">
        <v>462</v>
      </c>
      <c r="I21" s="8">
        <v>45210</v>
      </c>
      <c r="J21" s="10" t="s">
        <v>485</v>
      </c>
      <c r="K21" s="11">
        <v>2</v>
      </c>
      <c r="L21" s="11">
        <v>7</v>
      </c>
      <c r="M21" s="11">
        <v>1</v>
      </c>
      <c r="N21" s="6" t="s">
        <v>482</v>
      </c>
      <c r="O21" s="7">
        <v>32</v>
      </c>
      <c r="P21" s="7">
        <v>24.5</v>
      </c>
      <c r="Q21" s="7">
        <v>8.3000000000000007</v>
      </c>
      <c r="R21" s="4">
        <v>274</v>
      </c>
      <c r="S21" s="4">
        <f t="shared" si="0"/>
        <v>0.27400000000000002</v>
      </c>
      <c r="T21" s="4">
        <f t="shared" si="3"/>
        <v>2.5687500000000002E-2</v>
      </c>
      <c r="V21" s="4" t="s">
        <v>527</v>
      </c>
      <c r="W21" s="4" t="s">
        <v>30</v>
      </c>
      <c r="X21" s="4" t="s">
        <v>30</v>
      </c>
      <c r="Y21" s="4" t="s">
        <v>534</v>
      </c>
      <c r="Z21" s="4" t="s">
        <v>30</v>
      </c>
      <c r="AA21" s="4" t="s">
        <v>534</v>
      </c>
      <c r="AB21" s="20">
        <v>0.93169999999999997</v>
      </c>
      <c r="AC21" s="20">
        <v>0.96970000000000001</v>
      </c>
      <c r="AD21" s="19">
        <f t="shared" si="4"/>
        <v>38.000000000000036</v>
      </c>
      <c r="AE21" s="19">
        <v>227070</v>
      </c>
      <c r="AF21" s="19">
        <v>247155</v>
      </c>
      <c r="AG21" s="19">
        <v>259172</v>
      </c>
      <c r="AH21" s="19">
        <f t="shared" si="1"/>
        <v>244465.66666666666</v>
      </c>
      <c r="AI21" s="19">
        <f t="shared" si="2"/>
        <v>6433.3070175438534</v>
      </c>
    </row>
    <row r="22" spans="1:50" ht="12.75" customHeight="1">
      <c r="A22" s="4" t="s">
        <v>31</v>
      </c>
      <c r="B22" s="9" t="s">
        <v>487</v>
      </c>
      <c r="C22" s="5" t="s">
        <v>474</v>
      </c>
      <c r="D22" s="5" t="s">
        <v>483</v>
      </c>
      <c r="E22" s="5" t="s">
        <v>488</v>
      </c>
      <c r="F22" s="12" t="s">
        <v>474</v>
      </c>
      <c r="G22" s="12" t="s">
        <v>486</v>
      </c>
      <c r="H22" s="12" t="s">
        <v>462</v>
      </c>
      <c r="I22" s="8">
        <v>45210</v>
      </c>
      <c r="J22" s="10" t="s">
        <v>485</v>
      </c>
      <c r="K22" s="11">
        <v>2</v>
      </c>
      <c r="L22" s="11">
        <v>7</v>
      </c>
      <c r="M22" s="11">
        <v>1</v>
      </c>
      <c r="N22" s="6" t="s">
        <v>482</v>
      </c>
      <c r="O22" s="7">
        <v>26.9</v>
      </c>
      <c r="P22" s="7">
        <v>21.7</v>
      </c>
      <c r="Q22" s="7">
        <v>6.8</v>
      </c>
      <c r="R22" s="4">
        <v>159</v>
      </c>
      <c r="S22" s="4">
        <f t="shared" si="0"/>
        <v>0.159</v>
      </c>
      <c r="T22" s="4">
        <f t="shared" si="3"/>
        <v>1.7732342007434947E-2</v>
      </c>
      <c r="V22" s="4" t="s">
        <v>527</v>
      </c>
      <c r="W22" s="4" t="s">
        <v>31</v>
      </c>
      <c r="X22" s="4" t="s">
        <v>31</v>
      </c>
      <c r="Y22" s="4" t="s">
        <v>535</v>
      </c>
      <c r="Z22" s="4" t="s">
        <v>31</v>
      </c>
      <c r="AA22" s="4" t="s">
        <v>535</v>
      </c>
      <c r="AB22" s="20">
        <v>0.92849999999999999</v>
      </c>
      <c r="AC22" s="20">
        <v>0.9506</v>
      </c>
      <c r="AD22" s="19">
        <f t="shared" si="4"/>
        <v>22.100000000000009</v>
      </c>
      <c r="AE22" s="19">
        <v>163503</v>
      </c>
      <c r="AF22" s="19">
        <v>169539</v>
      </c>
      <c r="AG22" s="19">
        <v>198424</v>
      </c>
      <c r="AH22" s="19">
        <f t="shared" si="1"/>
        <v>177155.33333333334</v>
      </c>
      <c r="AI22" s="19">
        <f t="shared" si="2"/>
        <v>8016.0784313725462</v>
      </c>
    </row>
    <row r="23" spans="1:50" ht="12.75" customHeight="1">
      <c r="A23" s="4" t="s">
        <v>32</v>
      </c>
      <c r="B23" s="9" t="s">
        <v>487</v>
      </c>
      <c r="C23" s="5" t="s">
        <v>474</v>
      </c>
      <c r="D23" s="5" t="s">
        <v>483</v>
      </c>
      <c r="E23" s="5" t="s">
        <v>488</v>
      </c>
      <c r="F23" s="12" t="s">
        <v>474</v>
      </c>
      <c r="G23" s="12" t="s">
        <v>486</v>
      </c>
      <c r="H23" s="12" t="s">
        <v>462</v>
      </c>
      <c r="I23" s="8">
        <v>45210</v>
      </c>
      <c r="J23" s="10" t="s">
        <v>485</v>
      </c>
      <c r="K23" s="11">
        <v>2</v>
      </c>
      <c r="L23" s="11">
        <v>7</v>
      </c>
      <c r="M23" s="11">
        <v>1</v>
      </c>
      <c r="N23" s="6" t="s">
        <v>482</v>
      </c>
      <c r="O23" s="7">
        <v>30</v>
      </c>
      <c r="P23" s="7">
        <v>27.5</v>
      </c>
      <c r="Q23" s="7">
        <v>9.1</v>
      </c>
      <c r="R23" s="4">
        <v>355</v>
      </c>
      <c r="S23" s="4">
        <f t="shared" si="0"/>
        <v>0.35499999999999998</v>
      </c>
      <c r="T23" s="4">
        <f t="shared" si="3"/>
        <v>3.5499999999999997E-2</v>
      </c>
      <c r="V23" s="4" t="s">
        <v>527</v>
      </c>
      <c r="W23" s="4" t="s">
        <v>32</v>
      </c>
      <c r="X23" s="4" t="s">
        <v>32</v>
      </c>
      <c r="Y23" s="4" t="s">
        <v>536</v>
      </c>
      <c r="Z23" s="4" t="s">
        <v>32</v>
      </c>
      <c r="AA23" s="4" t="s">
        <v>536</v>
      </c>
      <c r="AB23" s="20">
        <v>0.93820000000000003</v>
      </c>
      <c r="AC23" s="20">
        <v>0.96450000000000002</v>
      </c>
      <c r="AD23" s="19">
        <f t="shared" si="4"/>
        <v>26.29999999999999</v>
      </c>
      <c r="AE23" s="19">
        <v>410772</v>
      </c>
      <c r="AF23" s="19">
        <v>410076</v>
      </c>
      <c r="AG23" s="19">
        <v>359675</v>
      </c>
      <c r="AH23" s="19">
        <f t="shared" si="1"/>
        <v>393507.66666666669</v>
      </c>
      <c r="AI23" s="19">
        <f t="shared" si="2"/>
        <v>14962.26869455007</v>
      </c>
    </row>
    <row r="24" spans="1:50" ht="12.75" customHeight="1">
      <c r="A24" s="4" t="s">
        <v>643</v>
      </c>
      <c r="B24" s="9" t="s">
        <v>487</v>
      </c>
      <c r="C24" s="5" t="s">
        <v>474</v>
      </c>
      <c r="D24" s="5" t="s">
        <v>483</v>
      </c>
      <c r="E24" s="5" t="s">
        <v>488</v>
      </c>
      <c r="F24" s="12" t="s">
        <v>474</v>
      </c>
      <c r="G24" s="12" t="s">
        <v>486</v>
      </c>
      <c r="H24" s="12" t="s">
        <v>462</v>
      </c>
      <c r="I24" s="8">
        <v>45210</v>
      </c>
      <c r="J24" s="10" t="s">
        <v>485</v>
      </c>
      <c r="K24" s="11">
        <v>2</v>
      </c>
      <c r="L24" s="11">
        <v>7</v>
      </c>
      <c r="M24" s="11">
        <v>1</v>
      </c>
      <c r="N24" s="6" t="s">
        <v>482</v>
      </c>
      <c r="O24" s="7">
        <v>34.200000000000003</v>
      </c>
      <c r="P24" s="7">
        <v>29.5</v>
      </c>
      <c r="Q24" s="7">
        <v>11.8</v>
      </c>
      <c r="R24" s="4">
        <v>523</v>
      </c>
      <c r="S24" s="4">
        <f t="shared" si="0"/>
        <v>0.52300000000000002</v>
      </c>
      <c r="T24" s="4">
        <f t="shared" si="3"/>
        <v>4.5877192982456141E-2</v>
      </c>
      <c r="V24" s="4" t="s">
        <v>540</v>
      </c>
      <c r="W24" s="4" t="s">
        <v>643</v>
      </c>
      <c r="X24" s="4" t="s">
        <v>643</v>
      </c>
      <c r="Y24" s="4">
        <v>1</v>
      </c>
      <c r="Z24" s="8"/>
      <c r="AA24" s="4">
        <v>1</v>
      </c>
      <c r="AB24" s="24"/>
      <c r="AC24" s="24"/>
      <c r="AD24" s="25"/>
      <c r="AE24" s="26"/>
      <c r="AF24" s="24"/>
      <c r="AG24" s="25"/>
      <c r="AH24" s="25"/>
      <c r="AQ24" s="4">
        <v>0.93979999999999997</v>
      </c>
      <c r="AR24" s="4">
        <v>0.95199999999999996</v>
      </c>
      <c r="AS24" s="4">
        <v>0.94169999999999998</v>
      </c>
      <c r="AT24" s="4">
        <v>1.2200000000000001E-2</v>
      </c>
      <c r="AU24" s="4">
        <v>1.9E-3</v>
      </c>
      <c r="AV24" s="4">
        <v>0.84426229509999995</v>
      </c>
      <c r="AW24" s="4">
        <v>84.426229509999999</v>
      </c>
      <c r="AX24" s="4">
        <v>33.18</v>
      </c>
    </row>
    <row r="25" spans="1:50" ht="12.75" customHeight="1">
      <c r="A25" s="4" t="s">
        <v>644</v>
      </c>
      <c r="B25" s="9" t="s">
        <v>487</v>
      </c>
      <c r="C25" s="5" t="s">
        <v>474</v>
      </c>
      <c r="D25" s="5" t="s">
        <v>483</v>
      </c>
      <c r="E25" s="5" t="s">
        <v>488</v>
      </c>
      <c r="F25" s="12" t="s">
        <v>474</v>
      </c>
      <c r="G25" s="12" t="s">
        <v>486</v>
      </c>
      <c r="H25" s="12" t="s">
        <v>462</v>
      </c>
      <c r="I25" s="8">
        <v>45210</v>
      </c>
      <c r="J25" s="10" t="s">
        <v>485</v>
      </c>
      <c r="K25" s="11">
        <v>2</v>
      </c>
      <c r="L25" s="11">
        <v>7</v>
      </c>
      <c r="M25" s="11">
        <v>1</v>
      </c>
      <c r="N25" s="6" t="s">
        <v>482</v>
      </c>
      <c r="O25" s="7">
        <v>37.6</v>
      </c>
      <c r="P25" s="7">
        <v>30.4</v>
      </c>
      <c r="Q25" s="7">
        <v>10.6</v>
      </c>
      <c r="R25" s="4">
        <v>520</v>
      </c>
      <c r="S25" s="13">
        <f t="shared" si="0"/>
        <v>0.52</v>
      </c>
      <c r="T25" s="4">
        <f t="shared" si="3"/>
        <v>4.1489361702127657E-2</v>
      </c>
      <c r="V25" s="4" t="s">
        <v>540</v>
      </c>
      <c r="W25" s="4" t="s">
        <v>644</v>
      </c>
      <c r="X25" s="4" t="s">
        <v>644</v>
      </c>
      <c r="Y25" s="4">
        <v>2</v>
      </c>
      <c r="Z25" s="8"/>
      <c r="AA25" s="4">
        <v>2</v>
      </c>
      <c r="AB25" s="24"/>
      <c r="AC25" s="24"/>
      <c r="AD25" s="25"/>
      <c r="AE25" s="26"/>
      <c r="AF25" s="24"/>
      <c r="AG25" s="25"/>
      <c r="AH25" s="25"/>
      <c r="AJ25" s="4">
        <v>0.95940000000000003</v>
      </c>
      <c r="AK25" s="4">
        <v>0.97599999999999998</v>
      </c>
      <c r="AL25" s="4">
        <v>0.96199999999999997</v>
      </c>
      <c r="AM25" s="4">
        <v>1.66E-2</v>
      </c>
      <c r="AN25" s="4">
        <v>2.5999999999999999E-3</v>
      </c>
      <c r="AO25" s="4">
        <v>0.84337349399999995</v>
      </c>
      <c r="AP25" s="4">
        <v>84.337349399999994</v>
      </c>
      <c r="AQ25" s="4">
        <v>0.95040000000000002</v>
      </c>
      <c r="AR25" s="4">
        <v>0.96909999999999996</v>
      </c>
      <c r="AS25" s="4">
        <v>0.95389999999999997</v>
      </c>
      <c r="AT25" s="4">
        <v>1.8700000000000001E-2</v>
      </c>
      <c r="AU25" s="4">
        <v>3.5000000000000001E-3</v>
      </c>
      <c r="AV25" s="4">
        <v>0.81283422459999999</v>
      </c>
      <c r="AW25" s="4">
        <v>81.283422459999997</v>
      </c>
      <c r="AX25" s="4">
        <v>34.314999999999998</v>
      </c>
    </row>
    <row r="26" spans="1:50" ht="12.75" customHeight="1">
      <c r="A26" s="4" t="s">
        <v>645</v>
      </c>
      <c r="B26" s="9" t="s">
        <v>487</v>
      </c>
      <c r="C26" s="5" t="s">
        <v>474</v>
      </c>
      <c r="D26" s="5" t="s">
        <v>483</v>
      </c>
      <c r="E26" s="5" t="s">
        <v>488</v>
      </c>
      <c r="F26" s="12" t="s">
        <v>474</v>
      </c>
      <c r="G26" s="12" t="s">
        <v>486</v>
      </c>
      <c r="H26" s="12" t="s">
        <v>462</v>
      </c>
      <c r="I26" s="8">
        <v>45210</v>
      </c>
      <c r="J26" s="10" t="s">
        <v>485</v>
      </c>
      <c r="K26" s="11">
        <v>2</v>
      </c>
      <c r="L26" s="11">
        <v>7</v>
      </c>
      <c r="M26" s="11">
        <v>1</v>
      </c>
      <c r="N26" s="6" t="s">
        <v>482</v>
      </c>
      <c r="O26" s="7">
        <v>33.700000000000003</v>
      </c>
      <c r="P26" s="7">
        <v>23.8</v>
      </c>
      <c r="Q26" s="7">
        <v>8.6</v>
      </c>
      <c r="R26" s="4">
        <v>289</v>
      </c>
      <c r="S26" s="4">
        <f t="shared" si="0"/>
        <v>0.28899999999999998</v>
      </c>
      <c r="T26" s="4">
        <f t="shared" si="3"/>
        <v>2.5727002967359046E-2</v>
      </c>
      <c r="V26" s="4" t="s">
        <v>540</v>
      </c>
      <c r="W26" s="4" t="s">
        <v>645</v>
      </c>
      <c r="X26" s="4" t="s">
        <v>645</v>
      </c>
      <c r="Y26" s="4">
        <v>3</v>
      </c>
      <c r="Z26" s="8"/>
      <c r="AA26" s="4">
        <v>3</v>
      </c>
      <c r="AB26" s="24"/>
      <c r="AC26" s="24"/>
      <c r="AD26" s="25"/>
      <c r="AE26" s="26"/>
      <c r="AF26" s="24"/>
      <c r="AG26" s="25"/>
      <c r="AH26" s="25"/>
      <c r="AJ26" s="4">
        <v>0.95909999999999995</v>
      </c>
      <c r="AK26" s="4">
        <v>0.96750000000000003</v>
      </c>
      <c r="AL26" s="4">
        <v>0.95940000000000003</v>
      </c>
      <c r="AM26" s="4">
        <v>8.3999999999999995E-3</v>
      </c>
      <c r="AN26" s="4">
        <v>2.9999999999999997E-4</v>
      </c>
      <c r="AO26" s="4">
        <v>0.96428571429999999</v>
      </c>
      <c r="AP26" s="4">
        <v>96.428571430000005</v>
      </c>
      <c r="AQ26" s="4">
        <v>0.95289999999999997</v>
      </c>
      <c r="AR26" s="4">
        <v>0.97950000000000004</v>
      </c>
      <c r="AS26" s="4">
        <v>0.95750000000000002</v>
      </c>
      <c r="AT26" s="4">
        <v>2.6599999999999999E-2</v>
      </c>
      <c r="AU26" s="4">
        <v>4.5999999999999999E-3</v>
      </c>
      <c r="AV26" s="4">
        <v>0.82706766919999997</v>
      </c>
      <c r="AW26" s="4">
        <v>82.706766920000007</v>
      </c>
      <c r="AX26" s="4">
        <v>35.634999999999998</v>
      </c>
    </row>
    <row r="27" spans="1:50" ht="12.75" customHeight="1">
      <c r="A27" s="4" t="s">
        <v>36</v>
      </c>
      <c r="B27" s="9" t="s">
        <v>489</v>
      </c>
      <c r="C27" s="5" t="s">
        <v>474</v>
      </c>
      <c r="D27" s="5" t="s">
        <v>483</v>
      </c>
      <c r="E27" s="5" t="s">
        <v>490</v>
      </c>
      <c r="F27" s="12" t="s">
        <v>474</v>
      </c>
      <c r="G27" s="12" t="s">
        <v>486</v>
      </c>
      <c r="H27" s="12" t="s">
        <v>462</v>
      </c>
      <c r="I27" s="8">
        <v>45231</v>
      </c>
      <c r="J27" s="10" t="s">
        <v>485</v>
      </c>
      <c r="K27" s="11">
        <v>2</v>
      </c>
      <c r="L27" s="11">
        <v>5</v>
      </c>
      <c r="M27" s="11">
        <v>1</v>
      </c>
      <c r="N27" s="6" t="s">
        <v>482</v>
      </c>
      <c r="O27" s="7">
        <v>23.3</v>
      </c>
      <c r="P27" s="7">
        <v>20.5</v>
      </c>
      <c r="Q27" s="7">
        <v>7.7</v>
      </c>
      <c r="R27" s="4">
        <v>168</v>
      </c>
      <c r="S27" s="4">
        <f t="shared" si="0"/>
        <v>0.16800000000000001</v>
      </c>
      <c r="T27" s="4">
        <f t="shared" si="3"/>
        <v>2.1630901287553649E-2</v>
      </c>
      <c r="V27" s="4" t="s">
        <v>527</v>
      </c>
      <c r="W27" s="4" t="s">
        <v>36</v>
      </c>
      <c r="X27" s="4" t="s">
        <v>36</v>
      </c>
      <c r="Y27" s="4" t="s">
        <v>534</v>
      </c>
      <c r="Z27" s="4" t="s">
        <v>36</v>
      </c>
      <c r="AA27" s="4" t="s">
        <v>534</v>
      </c>
      <c r="AB27" s="20">
        <v>0.90069999999999995</v>
      </c>
      <c r="AC27" s="20">
        <v>0.90349999999999997</v>
      </c>
      <c r="AD27" s="19">
        <f t="shared" si="4"/>
        <v>2.8000000000000247</v>
      </c>
      <c r="AE27" s="19">
        <v>250474</v>
      </c>
      <c r="AF27" s="19">
        <v>261958</v>
      </c>
      <c r="AG27" s="19">
        <v>299509</v>
      </c>
      <c r="AH27" s="19">
        <f t="shared" si="1"/>
        <v>270647</v>
      </c>
      <c r="AI27" s="19">
        <f t="shared" si="2"/>
        <v>96659.642857142011</v>
      </c>
    </row>
    <row r="28" spans="1:50" ht="12.75" customHeight="1">
      <c r="A28" s="4" t="s">
        <v>37</v>
      </c>
      <c r="B28" s="9" t="s">
        <v>489</v>
      </c>
      <c r="C28" s="5" t="s">
        <v>474</v>
      </c>
      <c r="D28" s="5" t="s">
        <v>483</v>
      </c>
      <c r="E28" s="5" t="s">
        <v>490</v>
      </c>
      <c r="F28" s="12" t="s">
        <v>474</v>
      </c>
      <c r="G28" s="12" t="s">
        <v>486</v>
      </c>
      <c r="H28" s="12" t="s">
        <v>462</v>
      </c>
      <c r="I28" s="8">
        <v>45231</v>
      </c>
      <c r="J28" s="10" t="s">
        <v>485</v>
      </c>
      <c r="K28" s="11">
        <v>2</v>
      </c>
      <c r="L28" s="11">
        <v>5</v>
      </c>
      <c r="M28" s="11">
        <v>1</v>
      </c>
      <c r="N28" s="6" t="s">
        <v>482</v>
      </c>
      <c r="O28" s="7">
        <v>27.7</v>
      </c>
      <c r="P28" s="7">
        <v>22</v>
      </c>
      <c r="Q28" s="7">
        <v>8.1</v>
      </c>
      <c r="R28" s="4">
        <v>213</v>
      </c>
      <c r="S28" s="4">
        <f t="shared" si="0"/>
        <v>0.21299999999999999</v>
      </c>
      <c r="T28" s="4">
        <f t="shared" si="3"/>
        <v>2.3068592057761732E-2</v>
      </c>
      <c r="V28" s="4" t="s">
        <v>527</v>
      </c>
      <c r="W28" s="4" t="s">
        <v>37</v>
      </c>
      <c r="X28" s="4" t="s">
        <v>37</v>
      </c>
      <c r="Y28" s="4" t="s">
        <v>535</v>
      </c>
      <c r="Z28" s="4" t="s">
        <v>37</v>
      </c>
      <c r="AA28" s="4" t="s">
        <v>535</v>
      </c>
      <c r="AB28" s="20">
        <v>0.90590000000000004</v>
      </c>
      <c r="AC28" s="20">
        <v>0.90969999999999995</v>
      </c>
      <c r="AD28" s="19">
        <f t="shared" si="4"/>
        <v>3.7999999999999146</v>
      </c>
      <c r="AE28" s="19">
        <v>244377</v>
      </c>
      <c r="AF28" s="19">
        <v>254353</v>
      </c>
      <c r="AG28" s="19">
        <v>242049</v>
      </c>
      <c r="AH28" s="19">
        <f t="shared" si="1"/>
        <v>246926.33333333334</v>
      </c>
      <c r="AI28" s="19">
        <f t="shared" si="2"/>
        <v>64980.61403508918</v>
      </c>
    </row>
    <row r="29" spans="1:50" ht="12.75" customHeight="1">
      <c r="A29" s="4" t="s">
        <v>38</v>
      </c>
      <c r="B29" s="9" t="s">
        <v>489</v>
      </c>
      <c r="C29" s="5" t="s">
        <v>474</v>
      </c>
      <c r="D29" s="5" t="s">
        <v>483</v>
      </c>
      <c r="E29" s="5" t="s">
        <v>490</v>
      </c>
      <c r="F29" s="12" t="s">
        <v>474</v>
      </c>
      <c r="G29" s="12" t="s">
        <v>486</v>
      </c>
      <c r="H29" s="12" t="s">
        <v>462</v>
      </c>
      <c r="I29" s="8">
        <v>45231</v>
      </c>
      <c r="J29" s="10" t="s">
        <v>485</v>
      </c>
      <c r="K29" s="11">
        <v>2</v>
      </c>
      <c r="L29" s="11">
        <v>5</v>
      </c>
      <c r="M29" s="11">
        <v>1</v>
      </c>
      <c r="N29" s="6" t="s">
        <v>482</v>
      </c>
      <c r="O29" s="7">
        <v>23.3</v>
      </c>
      <c r="P29" s="7">
        <v>18.5</v>
      </c>
      <c r="Q29" s="7">
        <v>6.8</v>
      </c>
      <c r="R29" s="4">
        <v>112</v>
      </c>
      <c r="S29" s="4">
        <f t="shared" si="0"/>
        <v>0.112</v>
      </c>
      <c r="T29" s="4">
        <f t="shared" si="3"/>
        <v>1.4420600858369098E-2</v>
      </c>
      <c r="V29" s="4" t="s">
        <v>527</v>
      </c>
      <c r="W29" s="4" t="s">
        <v>38</v>
      </c>
      <c r="X29" s="4" t="s">
        <v>38</v>
      </c>
      <c r="Y29" s="4" t="s">
        <v>536</v>
      </c>
      <c r="Z29" s="4" t="s">
        <v>38</v>
      </c>
      <c r="AA29" s="4" t="s">
        <v>536</v>
      </c>
      <c r="AB29" s="20">
        <v>0.91449999999999998</v>
      </c>
      <c r="AC29" s="20">
        <v>0.92449999999999999</v>
      </c>
      <c r="AD29" s="19">
        <f t="shared" si="4"/>
        <v>10.000000000000009</v>
      </c>
      <c r="AE29" s="19">
        <v>345739</v>
      </c>
      <c r="AF29" s="19">
        <v>392535</v>
      </c>
      <c r="AG29" s="19">
        <v>389696</v>
      </c>
      <c r="AH29" s="19">
        <f t="shared" si="1"/>
        <v>375990</v>
      </c>
      <c r="AI29" s="19">
        <f t="shared" si="2"/>
        <v>37598.999999999964</v>
      </c>
    </row>
    <row r="30" spans="1:50" ht="12.75" customHeight="1">
      <c r="A30" s="4" t="s">
        <v>39</v>
      </c>
      <c r="B30" s="9" t="s">
        <v>489</v>
      </c>
      <c r="C30" s="5" t="s">
        <v>474</v>
      </c>
      <c r="D30" s="5" t="s">
        <v>483</v>
      </c>
      <c r="E30" s="5" t="s">
        <v>490</v>
      </c>
      <c r="F30" s="12" t="s">
        <v>474</v>
      </c>
      <c r="G30" s="12" t="s">
        <v>486</v>
      </c>
      <c r="H30" s="12" t="s">
        <v>462</v>
      </c>
      <c r="I30" s="8">
        <v>45231</v>
      </c>
      <c r="J30" s="10" t="s">
        <v>485</v>
      </c>
      <c r="K30" s="11">
        <v>2</v>
      </c>
      <c r="L30" s="11">
        <v>5</v>
      </c>
      <c r="M30" s="11">
        <v>1</v>
      </c>
      <c r="N30" s="6" t="s">
        <v>482</v>
      </c>
      <c r="O30" s="7">
        <v>32.200000000000003</v>
      </c>
      <c r="P30" s="7">
        <v>27.1</v>
      </c>
      <c r="Q30" s="7">
        <v>9.5</v>
      </c>
      <c r="R30" s="4">
        <v>348</v>
      </c>
      <c r="S30" s="4">
        <f t="shared" si="0"/>
        <v>0.34799999999999998</v>
      </c>
      <c r="T30" s="4">
        <f t="shared" si="3"/>
        <v>3.2422360248447198E-2</v>
      </c>
      <c r="V30" s="4" t="s">
        <v>527</v>
      </c>
      <c r="W30" s="4" t="s">
        <v>39</v>
      </c>
      <c r="X30" s="4" t="s">
        <v>39</v>
      </c>
      <c r="Y30" s="4" t="s">
        <v>537</v>
      </c>
      <c r="Z30" s="4" t="s">
        <v>39</v>
      </c>
      <c r="AA30" s="4" t="s">
        <v>537</v>
      </c>
      <c r="AB30" s="20">
        <v>0.92249999999999999</v>
      </c>
      <c r="AC30" s="20">
        <v>0.93230000000000002</v>
      </c>
      <c r="AD30" s="19">
        <f t="shared" si="4"/>
        <v>9.8000000000000309</v>
      </c>
      <c r="AE30" s="19">
        <v>268091</v>
      </c>
      <c r="AF30" s="19">
        <v>272079</v>
      </c>
      <c r="AG30" s="19">
        <v>268572</v>
      </c>
      <c r="AH30" s="19">
        <f t="shared" si="1"/>
        <v>269580.66666666669</v>
      </c>
      <c r="AI30" s="19">
        <f t="shared" si="2"/>
        <v>27508.231292516921</v>
      </c>
    </row>
    <row r="31" spans="1:50" ht="12.75" customHeight="1">
      <c r="A31" s="4" t="s">
        <v>40</v>
      </c>
      <c r="B31" s="9" t="s">
        <v>489</v>
      </c>
      <c r="C31" s="5" t="s">
        <v>474</v>
      </c>
      <c r="D31" s="5" t="s">
        <v>483</v>
      </c>
      <c r="E31" s="5" t="s">
        <v>490</v>
      </c>
      <c r="F31" s="12" t="s">
        <v>474</v>
      </c>
      <c r="G31" s="12" t="s">
        <v>486</v>
      </c>
      <c r="H31" s="12" t="s">
        <v>462</v>
      </c>
      <c r="I31" s="8">
        <v>45231</v>
      </c>
      <c r="J31" s="10" t="s">
        <v>485</v>
      </c>
      <c r="K31" s="11">
        <v>2</v>
      </c>
      <c r="L31" s="11">
        <v>5</v>
      </c>
      <c r="M31" s="11">
        <v>1</v>
      </c>
      <c r="N31" s="6" t="s">
        <v>482</v>
      </c>
      <c r="O31" s="7">
        <v>30.5</v>
      </c>
      <c r="P31" s="7">
        <v>25.6</v>
      </c>
      <c r="Q31" s="7">
        <v>10</v>
      </c>
      <c r="R31" s="4">
        <v>370</v>
      </c>
      <c r="S31" s="13">
        <f t="shared" si="0"/>
        <v>0.37</v>
      </c>
      <c r="T31" s="4">
        <f t="shared" si="3"/>
        <v>3.6393442622950821E-2</v>
      </c>
      <c r="V31" s="4" t="s">
        <v>527</v>
      </c>
      <c r="W31" s="4" t="s">
        <v>40</v>
      </c>
      <c r="X31" s="4" t="s">
        <v>40</v>
      </c>
      <c r="Y31" s="4" t="s">
        <v>538</v>
      </c>
      <c r="Z31" s="4" t="s">
        <v>40</v>
      </c>
      <c r="AA31" s="4" t="s">
        <v>538</v>
      </c>
      <c r="AB31" s="20">
        <v>0.91339999999999999</v>
      </c>
      <c r="AC31" s="20">
        <v>0.93669999999999998</v>
      </c>
      <c r="AD31" s="19">
        <f t="shared" si="4"/>
        <v>23.299999999999986</v>
      </c>
      <c r="AE31" s="19">
        <v>441968</v>
      </c>
      <c r="AF31" s="19">
        <v>488506</v>
      </c>
      <c r="AG31" s="19">
        <v>464912</v>
      </c>
      <c r="AH31" s="19">
        <f t="shared" si="1"/>
        <v>465128.66666666669</v>
      </c>
      <c r="AI31" s="19">
        <f t="shared" si="2"/>
        <v>19962.60371959944</v>
      </c>
    </row>
    <row r="32" spans="1:50" ht="12.75" customHeight="1">
      <c r="A32" s="4" t="s">
        <v>41</v>
      </c>
      <c r="B32" s="9" t="s">
        <v>489</v>
      </c>
      <c r="C32" s="5" t="s">
        <v>474</v>
      </c>
      <c r="D32" s="5" t="s">
        <v>483</v>
      </c>
      <c r="E32" s="5" t="s">
        <v>490</v>
      </c>
      <c r="F32" s="12" t="s">
        <v>474</v>
      </c>
      <c r="G32" s="12" t="s">
        <v>486</v>
      </c>
      <c r="H32" s="12" t="s">
        <v>462</v>
      </c>
      <c r="I32" s="8">
        <v>45231</v>
      </c>
      <c r="J32" s="10" t="s">
        <v>485</v>
      </c>
      <c r="K32" s="11">
        <v>2</v>
      </c>
      <c r="L32" s="11">
        <v>5</v>
      </c>
      <c r="M32" s="11">
        <v>1</v>
      </c>
      <c r="N32" s="6" t="s">
        <v>482</v>
      </c>
      <c r="O32" s="7">
        <v>18</v>
      </c>
      <c r="P32" s="7">
        <v>16.600000000000001</v>
      </c>
      <c r="Q32" s="7">
        <v>6.1</v>
      </c>
      <c r="R32" s="4">
        <v>110</v>
      </c>
      <c r="S32" s="13">
        <f t="shared" si="0"/>
        <v>0.11</v>
      </c>
      <c r="T32" s="4">
        <f t="shared" si="3"/>
        <v>1.8333333333333333E-2</v>
      </c>
      <c r="V32" s="4" t="s">
        <v>527</v>
      </c>
      <c r="W32" s="4" t="s">
        <v>41</v>
      </c>
      <c r="X32" s="4" t="s">
        <v>41</v>
      </c>
      <c r="Y32" s="4" t="s">
        <v>539</v>
      </c>
      <c r="Z32" s="4" t="s">
        <v>41</v>
      </c>
      <c r="AA32" s="4" t="s">
        <v>539</v>
      </c>
      <c r="AB32" s="20">
        <v>0.92220000000000002</v>
      </c>
      <c r="AC32" s="20">
        <v>0.9264</v>
      </c>
      <c r="AD32" s="19">
        <f t="shared" si="4"/>
        <v>4.1999999999999815</v>
      </c>
      <c r="AE32" s="19">
        <v>295265</v>
      </c>
      <c r="AF32" s="19">
        <v>280709</v>
      </c>
      <c r="AG32" s="19">
        <v>285799</v>
      </c>
      <c r="AH32" s="19">
        <f t="shared" si="1"/>
        <v>287257.66666666669</v>
      </c>
      <c r="AI32" s="19">
        <f t="shared" si="2"/>
        <v>68394.68253968285</v>
      </c>
    </row>
    <row r="33" spans="1:50" ht="12.75" customHeight="1">
      <c r="A33" s="4" t="s">
        <v>42</v>
      </c>
      <c r="B33" s="9" t="s">
        <v>489</v>
      </c>
      <c r="C33" s="5" t="s">
        <v>474</v>
      </c>
      <c r="D33" s="5" t="s">
        <v>483</v>
      </c>
      <c r="E33" s="5" t="s">
        <v>490</v>
      </c>
      <c r="F33" s="12" t="s">
        <v>474</v>
      </c>
      <c r="G33" s="12" t="s">
        <v>486</v>
      </c>
      <c r="H33" s="12" t="s">
        <v>462</v>
      </c>
      <c r="I33" s="8">
        <v>45231</v>
      </c>
      <c r="J33" s="10" t="s">
        <v>485</v>
      </c>
      <c r="K33" s="11">
        <v>2</v>
      </c>
      <c r="L33" s="11">
        <v>5</v>
      </c>
      <c r="M33" s="11">
        <v>1</v>
      </c>
      <c r="N33" s="6" t="s">
        <v>482</v>
      </c>
      <c r="O33" s="7">
        <v>19.8</v>
      </c>
      <c r="P33" s="7">
        <v>17.7</v>
      </c>
      <c r="Q33" s="7">
        <v>6</v>
      </c>
      <c r="R33" s="4">
        <v>95</v>
      </c>
      <c r="S33" s="13">
        <f t="shared" si="0"/>
        <v>9.5000000000000001E-2</v>
      </c>
      <c r="T33" s="4">
        <f t="shared" si="3"/>
        <v>1.4393939393939393E-2</v>
      </c>
      <c r="V33" s="4" t="s">
        <v>527</v>
      </c>
      <c r="W33" s="4" t="s">
        <v>42</v>
      </c>
      <c r="X33" s="4" t="s">
        <v>42</v>
      </c>
      <c r="Y33" s="4" t="s">
        <v>541</v>
      </c>
      <c r="Z33" s="4" t="s">
        <v>42</v>
      </c>
      <c r="AA33" s="4" t="s">
        <v>541</v>
      </c>
      <c r="AB33" s="20">
        <v>0.93430000000000002</v>
      </c>
      <c r="AC33" s="20">
        <v>0.93879999999999997</v>
      </c>
      <c r="AD33" s="19">
        <f t="shared" si="4"/>
        <v>4.4999999999999485</v>
      </c>
      <c r="AE33" s="19">
        <v>276034</v>
      </c>
      <c r="AF33" s="19">
        <v>328860</v>
      </c>
      <c r="AG33" s="19">
        <v>289566</v>
      </c>
      <c r="AH33" s="19">
        <f t="shared" si="1"/>
        <v>298153.33333333331</v>
      </c>
      <c r="AI33" s="19">
        <f t="shared" si="2"/>
        <v>66256.296296297049</v>
      </c>
    </row>
    <row r="34" spans="1:50" ht="12.75" customHeight="1">
      <c r="A34" s="4" t="s">
        <v>43</v>
      </c>
      <c r="B34" s="9" t="s">
        <v>489</v>
      </c>
      <c r="C34" s="5" t="s">
        <v>474</v>
      </c>
      <c r="D34" s="5" t="s">
        <v>483</v>
      </c>
      <c r="E34" s="5" t="s">
        <v>490</v>
      </c>
      <c r="F34" s="12" t="s">
        <v>474</v>
      </c>
      <c r="G34" s="12" t="s">
        <v>486</v>
      </c>
      <c r="H34" s="12" t="s">
        <v>462</v>
      </c>
      <c r="I34" s="8">
        <v>45231</v>
      </c>
      <c r="J34" s="10" t="s">
        <v>485</v>
      </c>
      <c r="K34" s="11">
        <v>2</v>
      </c>
      <c r="L34" s="11">
        <v>5</v>
      </c>
      <c r="M34" s="11">
        <v>1</v>
      </c>
      <c r="N34" s="6" t="s">
        <v>482</v>
      </c>
      <c r="O34" s="7">
        <v>26.6</v>
      </c>
      <c r="P34" s="7">
        <v>22.2</v>
      </c>
      <c r="Q34" s="7">
        <v>8.3000000000000007</v>
      </c>
      <c r="R34" s="4">
        <v>220</v>
      </c>
      <c r="S34" s="13">
        <f t="shared" si="0"/>
        <v>0.22</v>
      </c>
      <c r="T34" s="4">
        <f t="shared" si="3"/>
        <v>2.4812030075187966E-2</v>
      </c>
      <c r="V34" s="4" t="s">
        <v>527</v>
      </c>
      <c r="W34" s="4" t="s">
        <v>43</v>
      </c>
      <c r="X34" s="4" t="s">
        <v>43</v>
      </c>
      <c r="Y34" s="4" t="s">
        <v>542</v>
      </c>
      <c r="Z34" s="4" t="s">
        <v>43</v>
      </c>
      <c r="AA34" s="4" t="s">
        <v>542</v>
      </c>
      <c r="AB34" s="20">
        <v>0.90969999999999995</v>
      </c>
      <c r="AC34" s="20">
        <v>0.91749999999999998</v>
      </c>
      <c r="AD34" s="19">
        <f t="shared" si="4"/>
        <v>7.8000000000000291</v>
      </c>
      <c r="AE34" s="19">
        <v>273350</v>
      </c>
      <c r="AF34" s="19">
        <v>263885</v>
      </c>
      <c r="AG34" s="19">
        <v>254570</v>
      </c>
      <c r="AH34" s="19">
        <f t="shared" si="1"/>
        <v>263935</v>
      </c>
      <c r="AI34" s="19">
        <f t="shared" si="2"/>
        <v>33837.820512820384</v>
      </c>
    </row>
    <row r="35" spans="1:50" ht="12.75" customHeight="1">
      <c r="A35" s="4" t="s">
        <v>44</v>
      </c>
      <c r="B35" s="9" t="s">
        <v>489</v>
      </c>
      <c r="C35" s="5" t="s">
        <v>474</v>
      </c>
      <c r="D35" s="5" t="s">
        <v>483</v>
      </c>
      <c r="E35" s="5" t="s">
        <v>490</v>
      </c>
      <c r="F35" s="12" t="s">
        <v>474</v>
      </c>
      <c r="G35" s="12" t="s">
        <v>486</v>
      </c>
      <c r="H35" s="12" t="s">
        <v>462</v>
      </c>
      <c r="I35" s="8">
        <v>45231</v>
      </c>
      <c r="J35" s="10" t="s">
        <v>485</v>
      </c>
      <c r="K35" s="11">
        <v>2</v>
      </c>
      <c r="L35" s="11">
        <v>5</v>
      </c>
      <c r="M35" s="11">
        <v>1</v>
      </c>
      <c r="N35" s="6" t="s">
        <v>482</v>
      </c>
      <c r="O35" s="7">
        <v>26.1</v>
      </c>
      <c r="P35" s="7">
        <v>22.2</v>
      </c>
      <c r="Q35" s="7">
        <v>7.2</v>
      </c>
      <c r="R35" s="4">
        <v>192</v>
      </c>
      <c r="S35" s="4">
        <f t="shared" si="0"/>
        <v>0.192</v>
      </c>
      <c r="T35" s="4">
        <f t="shared" si="3"/>
        <v>2.2068965517241378E-2</v>
      </c>
      <c r="V35" s="4" t="s">
        <v>527</v>
      </c>
      <c r="W35" s="4" t="s">
        <v>44</v>
      </c>
      <c r="X35" s="4" t="s">
        <v>44</v>
      </c>
      <c r="Y35" s="4" t="s">
        <v>543</v>
      </c>
      <c r="Z35" s="4" t="s">
        <v>44</v>
      </c>
      <c r="AA35" s="4" t="s">
        <v>543</v>
      </c>
      <c r="AB35" s="20">
        <v>0.91190000000000004</v>
      </c>
      <c r="AC35" s="20">
        <v>0.91859999999999997</v>
      </c>
      <c r="AD35" s="19">
        <f t="shared" si="4"/>
        <v>6.6999999999999282</v>
      </c>
      <c r="AE35" s="19">
        <v>286191</v>
      </c>
      <c r="AF35" s="19">
        <v>280612</v>
      </c>
      <c r="AG35" s="19">
        <v>288015</v>
      </c>
      <c r="AH35" s="19">
        <f t="shared" si="1"/>
        <v>284939.33333333331</v>
      </c>
      <c r="AI35" s="19">
        <f t="shared" si="2"/>
        <v>42528.258706468114</v>
      </c>
    </row>
    <row r="36" spans="1:50" ht="12.75" customHeight="1">
      <c r="A36" s="4" t="s">
        <v>45</v>
      </c>
      <c r="B36" s="9" t="s">
        <v>489</v>
      </c>
      <c r="C36" s="5" t="s">
        <v>474</v>
      </c>
      <c r="D36" s="5" t="s">
        <v>483</v>
      </c>
      <c r="E36" s="5" t="s">
        <v>490</v>
      </c>
      <c r="F36" s="12" t="s">
        <v>474</v>
      </c>
      <c r="G36" s="12" t="s">
        <v>486</v>
      </c>
      <c r="H36" s="12" t="s">
        <v>462</v>
      </c>
      <c r="I36" s="8">
        <v>45231</v>
      </c>
      <c r="J36" s="10" t="s">
        <v>485</v>
      </c>
      <c r="K36" s="11">
        <v>2</v>
      </c>
      <c r="L36" s="11">
        <v>5</v>
      </c>
      <c r="M36" s="11">
        <v>1</v>
      </c>
      <c r="N36" s="6" t="s">
        <v>482</v>
      </c>
      <c r="O36" s="7">
        <v>26.1</v>
      </c>
      <c r="P36" s="7">
        <v>22.2</v>
      </c>
      <c r="Q36" s="7">
        <v>8</v>
      </c>
      <c r="R36" s="4">
        <v>197</v>
      </c>
      <c r="S36" s="4">
        <f t="shared" si="0"/>
        <v>0.19700000000000001</v>
      </c>
      <c r="T36" s="4">
        <f t="shared" si="3"/>
        <v>2.2643678160919542E-2</v>
      </c>
      <c r="V36" s="4" t="s">
        <v>527</v>
      </c>
      <c r="W36" s="4" t="s">
        <v>45</v>
      </c>
      <c r="X36" s="4" t="s">
        <v>45</v>
      </c>
      <c r="Y36" s="4" t="s">
        <v>544</v>
      </c>
      <c r="Z36" s="4" t="s">
        <v>45</v>
      </c>
      <c r="AA36" s="4" t="s">
        <v>544</v>
      </c>
      <c r="AB36" s="20">
        <v>0.9204</v>
      </c>
      <c r="AC36" s="20">
        <v>0.92730000000000001</v>
      </c>
      <c r="AD36" s="19">
        <f t="shared" si="4"/>
        <v>6.9000000000000172</v>
      </c>
      <c r="AE36" s="19">
        <v>344717</v>
      </c>
      <c r="AF36" s="19">
        <v>354754</v>
      </c>
      <c r="AG36" s="19">
        <v>335233</v>
      </c>
      <c r="AH36" s="19">
        <f t="shared" si="1"/>
        <v>344901.33333333331</v>
      </c>
      <c r="AI36" s="19">
        <f t="shared" si="2"/>
        <v>49985.700483091663</v>
      </c>
    </row>
    <row r="37" spans="1:50" ht="12.75" customHeight="1">
      <c r="A37" s="4" t="s">
        <v>46</v>
      </c>
      <c r="B37" s="9" t="s">
        <v>489</v>
      </c>
      <c r="C37" s="5" t="s">
        <v>474</v>
      </c>
      <c r="D37" s="5" t="s">
        <v>483</v>
      </c>
      <c r="E37" s="5" t="s">
        <v>490</v>
      </c>
      <c r="F37" s="12" t="s">
        <v>474</v>
      </c>
      <c r="G37" s="12" t="s">
        <v>486</v>
      </c>
      <c r="H37" s="12" t="s">
        <v>462</v>
      </c>
      <c r="I37" s="8">
        <v>45231</v>
      </c>
      <c r="J37" s="10" t="s">
        <v>485</v>
      </c>
      <c r="K37" s="11">
        <v>2</v>
      </c>
      <c r="L37" s="11">
        <v>5</v>
      </c>
      <c r="M37" s="11">
        <v>1</v>
      </c>
      <c r="N37" s="6" t="s">
        <v>482</v>
      </c>
      <c r="O37" s="7">
        <v>25.2</v>
      </c>
      <c r="P37" s="7">
        <v>21.6</v>
      </c>
      <c r="Q37" s="7">
        <v>8.1999999999999993</v>
      </c>
      <c r="R37" s="4">
        <v>211</v>
      </c>
      <c r="S37" s="4">
        <f t="shared" si="0"/>
        <v>0.21099999999999999</v>
      </c>
      <c r="T37" s="4">
        <f t="shared" si="3"/>
        <v>2.5119047619047617E-2</v>
      </c>
      <c r="V37" s="4" t="s">
        <v>527</v>
      </c>
      <c r="W37" s="4" t="s">
        <v>46</v>
      </c>
      <c r="X37" s="4" t="s">
        <v>46</v>
      </c>
      <c r="Y37" s="4" t="s">
        <v>545</v>
      </c>
      <c r="Z37" s="4" t="s">
        <v>46</v>
      </c>
      <c r="AA37" s="4" t="s">
        <v>545</v>
      </c>
      <c r="AB37" s="20">
        <v>0.91310000000000002</v>
      </c>
      <c r="AC37" s="20">
        <v>0.92159999999999997</v>
      </c>
      <c r="AD37" s="19">
        <f t="shared" si="4"/>
        <v>8.499999999999952</v>
      </c>
      <c r="AE37" s="19">
        <v>285992</v>
      </c>
      <c r="AF37" s="19">
        <v>301265</v>
      </c>
      <c r="AG37" s="19">
        <v>304861</v>
      </c>
      <c r="AH37" s="19">
        <f t="shared" si="1"/>
        <v>297372.66666666669</v>
      </c>
      <c r="AI37" s="19">
        <f t="shared" si="2"/>
        <v>34985.019607843336</v>
      </c>
    </row>
    <row r="38" spans="1:50" ht="12.75" customHeight="1">
      <c r="A38" s="4" t="s">
        <v>47</v>
      </c>
      <c r="B38" s="9" t="s">
        <v>489</v>
      </c>
      <c r="C38" s="5" t="s">
        <v>474</v>
      </c>
      <c r="D38" s="5" t="s">
        <v>483</v>
      </c>
      <c r="E38" s="5" t="s">
        <v>490</v>
      </c>
      <c r="F38" s="12" t="s">
        <v>474</v>
      </c>
      <c r="G38" s="12" t="s">
        <v>486</v>
      </c>
      <c r="H38" s="12" t="s">
        <v>462</v>
      </c>
      <c r="I38" s="8">
        <v>45231</v>
      </c>
      <c r="J38" s="10" t="s">
        <v>485</v>
      </c>
      <c r="K38" s="11">
        <v>2</v>
      </c>
      <c r="L38" s="11">
        <v>5</v>
      </c>
      <c r="M38" s="11">
        <v>1</v>
      </c>
      <c r="N38" s="6" t="s">
        <v>482</v>
      </c>
      <c r="O38" s="7">
        <v>25.4</v>
      </c>
      <c r="P38" s="7">
        <v>23.3</v>
      </c>
      <c r="Q38" s="7">
        <v>8.4</v>
      </c>
      <c r="R38" s="4">
        <v>248</v>
      </c>
      <c r="S38" s="4">
        <f t="shared" si="0"/>
        <v>0.248</v>
      </c>
      <c r="T38" s="4">
        <f t="shared" si="3"/>
        <v>2.9291338582677167E-2</v>
      </c>
      <c r="V38" s="4" t="s">
        <v>527</v>
      </c>
      <c r="W38" s="4" t="s">
        <v>47</v>
      </c>
      <c r="X38" s="4" t="s">
        <v>47</v>
      </c>
      <c r="Y38" s="4" t="s">
        <v>546</v>
      </c>
      <c r="Z38" s="4" t="s">
        <v>47</v>
      </c>
      <c r="AA38" s="4" t="s">
        <v>546</v>
      </c>
      <c r="AB38" s="20">
        <v>0.91590000000000005</v>
      </c>
      <c r="AC38" s="20">
        <v>0.92520000000000002</v>
      </c>
      <c r="AD38" s="19">
        <f t="shared" si="4"/>
        <v>9.2999999999999758</v>
      </c>
      <c r="AE38" s="19">
        <v>371616</v>
      </c>
      <c r="AF38" s="19">
        <v>381711</v>
      </c>
      <c r="AG38" s="19">
        <v>372312</v>
      </c>
      <c r="AH38" s="19">
        <f t="shared" si="1"/>
        <v>375213</v>
      </c>
      <c r="AI38" s="19">
        <f t="shared" si="2"/>
        <v>40345.483870967844</v>
      </c>
    </row>
    <row r="39" spans="1:50" ht="12.75" customHeight="1">
      <c r="A39" s="4" t="s">
        <v>48</v>
      </c>
      <c r="B39" s="9" t="s">
        <v>489</v>
      </c>
      <c r="C39" s="5" t="s">
        <v>474</v>
      </c>
      <c r="D39" s="5" t="s">
        <v>483</v>
      </c>
      <c r="E39" s="5" t="s">
        <v>490</v>
      </c>
      <c r="F39" s="12" t="s">
        <v>474</v>
      </c>
      <c r="G39" s="12" t="s">
        <v>486</v>
      </c>
      <c r="H39" s="12" t="s">
        <v>462</v>
      </c>
      <c r="I39" s="8">
        <v>45231</v>
      </c>
      <c r="J39" s="10" t="s">
        <v>485</v>
      </c>
      <c r="K39" s="11">
        <v>2</v>
      </c>
      <c r="L39" s="11">
        <v>5</v>
      </c>
      <c r="M39" s="11">
        <v>1</v>
      </c>
      <c r="N39" s="6" t="s">
        <v>482</v>
      </c>
      <c r="O39" s="7">
        <v>29.1</v>
      </c>
      <c r="P39" s="7">
        <v>22.7</v>
      </c>
      <c r="Q39" s="7">
        <v>8.3000000000000007</v>
      </c>
      <c r="R39" s="4">
        <v>233</v>
      </c>
      <c r="S39" s="4">
        <f t="shared" si="0"/>
        <v>0.23300000000000001</v>
      </c>
      <c r="T39" s="4">
        <f t="shared" si="3"/>
        <v>2.4020618556701033E-2</v>
      </c>
      <c r="V39" s="4" t="s">
        <v>527</v>
      </c>
      <c r="W39" s="4" t="s">
        <v>48</v>
      </c>
      <c r="X39" s="4" t="s">
        <v>48</v>
      </c>
      <c r="Y39" s="4" t="s">
        <v>547</v>
      </c>
      <c r="Z39" s="4" t="s">
        <v>48</v>
      </c>
      <c r="AA39" s="4" t="s">
        <v>547</v>
      </c>
      <c r="AB39" s="20">
        <v>0.91200000000000003</v>
      </c>
      <c r="AC39" s="20">
        <v>0.92200000000000004</v>
      </c>
      <c r="AD39" s="19">
        <f t="shared" si="4"/>
        <v>10.000000000000009</v>
      </c>
      <c r="AE39" s="19">
        <v>340551</v>
      </c>
      <c r="AF39" s="19">
        <v>376990</v>
      </c>
      <c r="AG39" s="19">
        <v>383779</v>
      </c>
      <c r="AH39" s="19">
        <f t="shared" si="1"/>
        <v>367106.66666666669</v>
      </c>
      <c r="AI39" s="19">
        <f t="shared" si="2"/>
        <v>36710.666666666635</v>
      </c>
    </row>
    <row r="40" spans="1:50" ht="12.75" customHeight="1">
      <c r="A40" s="4" t="s">
        <v>49</v>
      </c>
      <c r="B40" s="9" t="s">
        <v>489</v>
      </c>
      <c r="C40" s="5" t="s">
        <v>474</v>
      </c>
      <c r="D40" s="5" t="s">
        <v>483</v>
      </c>
      <c r="E40" s="5" t="s">
        <v>490</v>
      </c>
      <c r="F40" s="12" t="s">
        <v>474</v>
      </c>
      <c r="G40" s="12" t="s">
        <v>486</v>
      </c>
      <c r="H40" s="12" t="s">
        <v>462</v>
      </c>
      <c r="I40" s="8">
        <v>45231</v>
      </c>
      <c r="J40" s="10" t="s">
        <v>485</v>
      </c>
      <c r="K40" s="11">
        <v>2</v>
      </c>
      <c r="L40" s="11">
        <v>5</v>
      </c>
      <c r="M40" s="11">
        <v>1</v>
      </c>
      <c r="N40" s="6" t="s">
        <v>482</v>
      </c>
      <c r="O40" s="7">
        <v>24.4</v>
      </c>
      <c r="P40" s="7">
        <v>32.1</v>
      </c>
      <c r="Q40" s="7">
        <v>9.8000000000000007</v>
      </c>
      <c r="R40" s="4">
        <v>269</v>
      </c>
      <c r="S40" s="4">
        <f t="shared" si="0"/>
        <v>0.26900000000000002</v>
      </c>
      <c r="T40" s="4">
        <f t="shared" si="3"/>
        <v>3.3073770491803281E-2</v>
      </c>
      <c r="V40" s="4" t="s">
        <v>527</v>
      </c>
      <c r="W40" s="4" t="s">
        <v>49</v>
      </c>
      <c r="X40" s="4" t="s">
        <v>49</v>
      </c>
      <c r="Y40" s="4" t="s">
        <v>548</v>
      </c>
      <c r="Z40" s="4" t="s">
        <v>49</v>
      </c>
      <c r="AA40" s="4" t="s">
        <v>548</v>
      </c>
      <c r="AB40" s="20">
        <v>1.1086</v>
      </c>
      <c r="AC40" s="20">
        <v>1.1209</v>
      </c>
      <c r="AD40" s="19">
        <f t="shared" si="4"/>
        <v>12.299999999999978</v>
      </c>
      <c r="AE40" s="19">
        <v>297407</v>
      </c>
      <c r="AF40" s="19">
        <v>298116</v>
      </c>
      <c r="AG40" s="19">
        <v>333865</v>
      </c>
      <c r="AH40" s="19">
        <f t="shared" si="1"/>
        <v>309796</v>
      </c>
      <c r="AI40" s="19">
        <f t="shared" si="2"/>
        <v>25186.666666666712</v>
      </c>
    </row>
    <row r="41" spans="1:50" ht="12.75" customHeight="1">
      <c r="A41" s="4" t="s">
        <v>50</v>
      </c>
      <c r="B41" s="9" t="s">
        <v>489</v>
      </c>
      <c r="C41" s="5" t="s">
        <v>474</v>
      </c>
      <c r="D41" s="5" t="s">
        <v>483</v>
      </c>
      <c r="E41" s="5" t="s">
        <v>490</v>
      </c>
      <c r="F41" s="12" t="s">
        <v>474</v>
      </c>
      <c r="G41" s="12" t="s">
        <v>486</v>
      </c>
      <c r="H41" s="12" t="s">
        <v>462</v>
      </c>
      <c r="I41" s="8">
        <v>45231</v>
      </c>
      <c r="J41" s="10" t="s">
        <v>485</v>
      </c>
      <c r="K41" s="11">
        <v>2</v>
      </c>
      <c r="L41" s="11">
        <v>5</v>
      </c>
      <c r="M41" s="11">
        <v>1</v>
      </c>
      <c r="N41" s="6" t="s">
        <v>482</v>
      </c>
      <c r="O41" s="7">
        <v>32.4</v>
      </c>
      <c r="P41" s="7">
        <v>25.2</v>
      </c>
      <c r="Q41" s="7">
        <v>9.1</v>
      </c>
      <c r="R41" s="4">
        <v>340</v>
      </c>
      <c r="S41" s="13">
        <f t="shared" si="0"/>
        <v>0.34</v>
      </c>
      <c r="T41" s="4">
        <f t="shared" si="3"/>
        <v>3.1481481481481485E-2</v>
      </c>
      <c r="V41" s="4" t="s">
        <v>527</v>
      </c>
      <c r="W41" s="4" t="s">
        <v>50</v>
      </c>
      <c r="X41" s="4" t="s">
        <v>50</v>
      </c>
      <c r="Y41" s="4" t="s">
        <v>549</v>
      </c>
      <c r="Z41" s="4" t="s">
        <v>50</v>
      </c>
      <c r="AA41" s="4" t="s">
        <v>549</v>
      </c>
      <c r="AB41" s="20">
        <v>0.9083</v>
      </c>
      <c r="AC41" s="20">
        <v>0.92110000000000003</v>
      </c>
      <c r="AD41" s="19">
        <f t="shared" si="4"/>
        <v>12.800000000000033</v>
      </c>
      <c r="AE41" s="19">
        <v>176708</v>
      </c>
      <c r="AF41" s="19">
        <v>230666</v>
      </c>
      <c r="AG41" s="19">
        <v>215853</v>
      </c>
      <c r="AH41" s="19">
        <f t="shared" si="1"/>
        <v>207742.33333333334</v>
      </c>
      <c r="AI41" s="19">
        <f t="shared" si="2"/>
        <v>16229.869791666626</v>
      </c>
    </row>
    <row r="42" spans="1:50" ht="12.75" customHeight="1">
      <c r="A42" s="4" t="s">
        <v>51</v>
      </c>
      <c r="B42" s="9" t="s">
        <v>489</v>
      </c>
      <c r="C42" s="5" t="s">
        <v>474</v>
      </c>
      <c r="D42" s="5" t="s">
        <v>483</v>
      </c>
      <c r="E42" s="5" t="s">
        <v>490</v>
      </c>
      <c r="F42" s="12" t="s">
        <v>474</v>
      </c>
      <c r="G42" s="12" t="s">
        <v>486</v>
      </c>
      <c r="H42" s="12" t="s">
        <v>462</v>
      </c>
      <c r="I42" s="8">
        <v>45231</v>
      </c>
      <c r="J42" s="10" t="s">
        <v>485</v>
      </c>
      <c r="K42" s="11">
        <v>2</v>
      </c>
      <c r="L42" s="11">
        <v>5</v>
      </c>
      <c r="M42" s="11">
        <v>1</v>
      </c>
      <c r="N42" s="6" t="s">
        <v>482</v>
      </c>
      <c r="O42" s="7">
        <v>31.5</v>
      </c>
      <c r="P42" s="7">
        <v>25</v>
      </c>
      <c r="Q42" s="7">
        <v>9.4</v>
      </c>
      <c r="R42" s="4">
        <v>336</v>
      </c>
      <c r="S42" s="4">
        <f t="shared" si="0"/>
        <v>0.33600000000000002</v>
      </c>
      <c r="T42" s="4">
        <f t="shared" si="3"/>
        <v>3.2000000000000001E-2</v>
      </c>
      <c r="V42" s="4" t="s">
        <v>527</v>
      </c>
      <c r="W42" s="4" t="s">
        <v>51</v>
      </c>
      <c r="X42" s="4" t="s">
        <v>51</v>
      </c>
      <c r="Y42" s="4" t="s">
        <v>550</v>
      </c>
      <c r="Z42" s="4" t="s">
        <v>51</v>
      </c>
      <c r="AA42" s="4" t="s">
        <v>550</v>
      </c>
      <c r="AB42" s="20">
        <v>1.109</v>
      </c>
      <c r="AC42" s="20">
        <v>1.1218999999999999</v>
      </c>
      <c r="AD42" s="19">
        <f t="shared" si="4"/>
        <v>12.899999999999912</v>
      </c>
      <c r="AE42" s="19">
        <v>327158</v>
      </c>
      <c r="AF42" s="19">
        <v>328469</v>
      </c>
      <c r="AG42" s="19">
        <v>330627</v>
      </c>
      <c r="AH42" s="19">
        <f t="shared" si="1"/>
        <v>328751.33333333331</v>
      </c>
      <c r="AI42" s="19">
        <f t="shared" si="2"/>
        <v>25484.599483204307</v>
      </c>
    </row>
    <row r="43" spans="1:50" ht="12.75" customHeight="1">
      <c r="A43" s="4" t="s">
        <v>52</v>
      </c>
      <c r="B43" s="9" t="s">
        <v>489</v>
      </c>
      <c r="C43" s="5" t="s">
        <v>474</v>
      </c>
      <c r="D43" s="5" t="s">
        <v>483</v>
      </c>
      <c r="E43" s="5" t="s">
        <v>490</v>
      </c>
      <c r="F43" s="12" t="s">
        <v>474</v>
      </c>
      <c r="G43" s="12" t="s">
        <v>486</v>
      </c>
      <c r="H43" s="12" t="s">
        <v>462</v>
      </c>
      <c r="I43" s="8">
        <v>45231</v>
      </c>
      <c r="J43" s="10" t="s">
        <v>485</v>
      </c>
      <c r="K43" s="11">
        <v>2</v>
      </c>
      <c r="L43" s="11">
        <v>5</v>
      </c>
      <c r="M43" s="11">
        <v>1</v>
      </c>
      <c r="N43" s="6" t="s">
        <v>482</v>
      </c>
      <c r="O43" s="7">
        <v>34.1</v>
      </c>
      <c r="P43" s="7">
        <v>27.8</v>
      </c>
      <c r="Q43" s="7">
        <v>10.1</v>
      </c>
      <c r="R43" s="4">
        <v>454</v>
      </c>
      <c r="S43" s="4">
        <f t="shared" si="0"/>
        <v>0.45400000000000001</v>
      </c>
      <c r="T43" s="4">
        <f t="shared" si="3"/>
        <v>3.9941348973607037E-2</v>
      </c>
      <c r="V43" s="4" t="s">
        <v>527</v>
      </c>
      <c r="W43" s="4" t="s">
        <v>52</v>
      </c>
      <c r="X43" s="4" t="s">
        <v>52</v>
      </c>
      <c r="Y43" s="4" t="s">
        <v>551</v>
      </c>
      <c r="Z43" s="4" t="s">
        <v>52</v>
      </c>
      <c r="AA43" s="4" t="s">
        <v>551</v>
      </c>
      <c r="AB43" s="20">
        <v>0.91290000000000004</v>
      </c>
      <c r="AC43" s="20">
        <v>0.93049999999999999</v>
      </c>
      <c r="AD43" s="19">
        <f t="shared" si="4"/>
        <v>17.599999999999948</v>
      </c>
      <c r="AE43" s="19">
        <v>348765</v>
      </c>
      <c r="AF43" s="19">
        <v>360740</v>
      </c>
      <c r="AG43" s="19">
        <v>386365</v>
      </c>
      <c r="AH43" s="19">
        <f t="shared" si="1"/>
        <v>365290</v>
      </c>
      <c r="AI43" s="19">
        <f t="shared" si="2"/>
        <v>20755.113636363698</v>
      </c>
    </row>
    <row r="44" spans="1:50" ht="12.75" customHeight="1">
      <c r="A44" s="4" t="s">
        <v>53</v>
      </c>
      <c r="B44" s="9" t="s">
        <v>489</v>
      </c>
      <c r="C44" s="5" t="s">
        <v>474</v>
      </c>
      <c r="D44" s="5" t="s">
        <v>483</v>
      </c>
      <c r="E44" s="5" t="s">
        <v>490</v>
      </c>
      <c r="F44" s="12" t="s">
        <v>474</v>
      </c>
      <c r="G44" s="12" t="s">
        <v>486</v>
      </c>
      <c r="H44" s="12" t="s">
        <v>462</v>
      </c>
      <c r="I44" s="8">
        <v>45231</v>
      </c>
      <c r="J44" s="10" t="s">
        <v>485</v>
      </c>
      <c r="K44" s="11">
        <v>2</v>
      </c>
      <c r="L44" s="11">
        <v>5</v>
      </c>
      <c r="M44" s="11">
        <v>1</v>
      </c>
      <c r="N44" s="6" t="s">
        <v>482</v>
      </c>
      <c r="O44" s="7">
        <v>34.1</v>
      </c>
      <c r="P44" s="7">
        <v>28.3</v>
      </c>
      <c r="Q44" s="7">
        <v>10.3</v>
      </c>
      <c r="R44" s="4">
        <v>414</v>
      </c>
      <c r="S44" s="4">
        <f t="shared" si="0"/>
        <v>0.41399999999999998</v>
      </c>
      <c r="T44" s="4">
        <f t="shared" si="3"/>
        <v>3.6422287390029326E-2</v>
      </c>
      <c r="V44" s="4" t="s">
        <v>527</v>
      </c>
      <c r="W44" s="4" t="s">
        <v>53</v>
      </c>
      <c r="X44" s="4" t="s">
        <v>53</v>
      </c>
      <c r="Y44" s="4" t="s">
        <v>552</v>
      </c>
      <c r="Z44" s="4" t="s">
        <v>53</v>
      </c>
      <c r="AA44" s="4" t="s">
        <v>552</v>
      </c>
      <c r="AB44" s="20">
        <v>0.92030000000000001</v>
      </c>
      <c r="AC44" s="20">
        <v>0.93610000000000004</v>
      </c>
      <c r="AD44" s="19">
        <f t="shared" si="4"/>
        <v>15.800000000000036</v>
      </c>
      <c r="AE44" s="19">
        <v>303477</v>
      </c>
      <c r="AF44" s="19">
        <v>306795</v>
      </c>
      <c r="AG44" s="19">
        <v>299378</v>
      </c>
      <c r="AH44" s="19">
        <f t="shared" si="1"/>
        <v>303216.66666666669</v>
      </c>
      <c r="AI44" s="19">
        <f t="shared" si="2"/>
        <v>19190.92827004215</v>
      </c>
    </row>
    <row r="45" spans="1:50" ht="12.75" customHeight="1">
      <c r="A45" s="4" t="s">
        <v>54</v>
      </c>
      <c r="B45" s="9" t="s">
        <v>489</v>
      </c>
      <c r="C45" s="5" t="s">
        <v>474</v>
      </c>
      <c r="D45" s="5" t="s">
        <v>483</v>
      </c>
      <c r="E45" s="5" t="s">
        <v>490</v>
      </c>
      <c r="F45" s="12" t="s">
        <v>474</v>
      </c>
      <c r="G45" s="12" t="s">
        <v>486</v>
      </c>
      <c r="H45" s="12" t="s">
        <v>462</v>
      </c>
      <c r="I45" s="8">
        <v>45231</v>
      </c>
      <c r="J45" s="10" t="s">
        <v>485</v>
      </c>
      <c r="K45" s="11">
        <v>2</v>
      </c>
      <c r="L45" s="11">
        <v>5</v>
      </c>
      <c r="M45" s="11">
        <v>1</v>
      </c>
      <c r="N45" s="6" t="s">
        <v>482</v>
      </c>
      <c r="O45" s="7">
        <v>38.1</v>
      </c>
      <c r="P45" s="7">
        <v>29</v>
      </c>
      <c r="Q45" s="7">
        <v>11.1</v>
      </c>
      <c r="R45" s="4">
        <v>558</v>
      </c>
      <c r="S45" s="4">
        <f t="shared" si="0"/>
        <v>0.55800000000000005</v>
      </c>
      <c r="T45" s="4">
        <f t="shared" si="3"/>
        <v>4.3937007874015749E-2</v>
      </c>
      <c r="V45" s="4" t="s">
        <v>527</v>
      </c>
      <c r="W45" s="4" t="s">
        <v>54</v>
      </c>
      <c r="X45" s="4" t="s">
        <v>54</v>
      </c>
      <c r="Y45" s="4" t="s">
        <v>553</v>
      </c>
      <c r="Z45" s="4" t="s">
        <v>54</v>
      </c>
      <c r="AA45" s="4" t="s">
        <v>553</v>
      </c>
      <c r="AB45" s="20">
        <v>0.91679999999999995</v>
      </c>
      <c r="AC45" s="20">
        <v>0.93610000000000004</v>
      </c>
      <c r="AD45" s="19">
        <f t="shared" si="4"/>
        <v>19.300000000000097</v>
      </c>
      <c r="AE45" s="19">
        <v>358717</v>
      </c>
      <c r="AF45" s="19">
        <v>376902</v>
      </c>
      <c r="AG45" s="19">
        <v>370898</v>
      </c>
      <c r="AH45" s="19">
        <f t="shared" si="1"/>
        <v>368839</v>
      </c>
      <c r="AI45" s="19">
        <f t="shared" si="2"/>
        <v>19110.829015543946</v>
      </c>
    </row>
    <row r="46" spans="1:50" ht="12.75" customHeight="1">
      <c r="A46" s="4" t="s">
        <v>55</v>
      </c>
      <c r="B46" s="9" t="s">
        <v>489</v>
      </c>
      <c r="C46" s="5" t="s">
        <v>474</v>
      </c>
      <c r="D46" s="5" t="s">
        <v>483</v>
      </c>
      <c r="E46" s="5" t="s">
        <v>490</v>
      </c>
      <c r="F46" s="12" t="s">
        <v>474</v>
      </c>
      <c r="G46" s="12" t="s">
        <v>486</v>
      </c>
      <c r="H46" s="12" t="s">
        <v>462</v>
      </c>
      <c r="I46" s="8">
        <v>45231</v>
      </c>
      <c r="J46" s="10" t="s">
        <v>485</v>
      </c>
      <c r="K46" s="11">
        <v>2</v>
      </c>
      <c r="L46" s="11">
        <v>5</v>
      </c>
      <c r="M46" s="11">
        <v>1</v>
      </c>
      <c r="N46" s="6" t="s">
        <v>482</v>
      </c>
      <c r="O46" s="7">
        <v>42.6</v>
      </c>
      <c r="P46" s="7">
        <v>31.3</v>
      </c>
      <c r="Q46" s="7">
        <v>12.2</v>
      </c>
      <c r="R46" s="4">
        <v>623</v>
      </c>
      <c r="S46" s="4">
        <f t="shared" si="0"/>
        <v>0.623</v>
      </c>
      <c r="T46" s="4">
        <f t="shared" si="3"/>
        <v>4.3873239436619721E-2</v>
      </c>
      <c r="V46" s="4" t="s">
        <v>527</v>
      </c>
      <c r="W46" s="4" t="s">
        <v>55</v>
      </c>
      <c r="X46" s="4" t="s">
        <v>55</v>
      </c>
      <c r="Y46" s="4" t="s">
        <v>554</v>
      </c>
      <c r="Z46" s="4" t="s">
        <v>55</v>
      </c>
      <c r="AA46" s="4" t="s">
        <v>554</v>
      </c>
      <c r="AB46" s="20">
        <v>0.91690000000000005</v>
      </c>
      <c r="AC46" s="20">
        <v>0.9325</v>
      </c>
      <c r="AD46" s="19">
        <f t="shared" si="4"/>
        <v>15.599999999999948</v>
      </c>
      <c r="AE46" s="19">
        <v>339817</v>
      </c>
      <c r="AF46" s="19">
        <v>326293</v>
      </c>
      <c r="AG46" s="19">
        <v>373553</v>
      </c>
      <c r="AH46" s="19">
        <f t="shared" si="1"/>
        <v>346554.33333333331</v>
      </c>
      <c r="AI46" s="19">
        <f t="shared" si="2"/>
        <v>22215.02136752144</v>
      </c>
    </row>
    <row r="47" spans="1:50" ht="12.75" customHeight="1">
      <c r="A47" s="4" t="s">
        <v>646</v>
      </c>
      <c r="B47" s="9" t="s">
        <v>489</v>
      </c>
      <c r="C47" s="5" t="s">
        <v>474</v>
      </c>
      <c r="D47" s="5" t="s">
        <v>483</v>
      </c>
      <c r="E47" s="5" t="s">
        <v>490</v>
      </c>
      <c r="F47" s="12" t="s">
        <v>474</v>
      </c>
      <c r="G47" s="12" t="s">
        <v>486</v>
      </c>
      <c r="H47" s="12" t="s">
        <v>462</v>
      </c>
      <c r="I47" s="8">
        <v>45231</v>
      </c>
      <c r="J47" s="10" t="s">
        <v>485</v>
      </c>
      <c r="K47" s="11">
        <v>2</v>
      </c>
      <c r="L47" s="11">
        <v>5</v>
      </c>
      <c r="M47" s="11">
        <v>1</v>
      </c>
      <c r="N47" s="6" t="s">
        <v>482</v>
      </c>
      <c r="O47" s="7">
        <v>41.7</v>
      </c>
      <c r="P47" s="7">
        <v>30.1</v>
      </c>
      <c r="Q47" s="7">
        <v>12.7</v>
      </c>
      <c r="R47" s="4">
        <v>533</v>
      </c>
      <c r="S47" s="4">
        <f t="shared" si="0"/>
        <v>0.53300000000000003</v>
      </c>
      <c r="T47" s="4">
        <f t="shared" si="3"/>
        <v>3.8345323741007194E-2</v>
      </c>
      <c r="V47" s="4" t="s">
        <v>540</v>
      </c>
      <c r="W47" s="4" t="s">
        <v>646</v>
      </c>
      <c r="X47" s="4" t="s">
        <v>646</v>
      </c>
      <c r="Y47" s="4">
        <v>1</v>
      </c>
      <c r="Z47" s="4" t="s">
        <v>646</v>
      </c>
      <c r="AA47" s="4">
        <v>1</v>
      </c>
      <c r="AB47" s="24"/>
      <c r="AC47" s="24"/>
      <c r="AD47" s="25"/>
      <c r="AE47" s="26"/>
      <c r="AF47" s="24"/>
      <c r="AG47" s="25"/>
      <c r="AH47" s="25"/>
      <c r="AJ47" s="4">
        <v>0.9073</v>
      </c>
      <c r="AK47" s="4">
        <v>0.92559999999999998</v>
      </c>
      <c r="AL47" s="4">
        <v>0.91120000000000001</v>
      </c>
      <c r="AM47" s="4">
        <v>1.83E-2</v>
      </c>
      <c r="AN47" s="4">
        <v>3.8999999999999998E-3</v>
      </c>
      <c r="AO47" s="4">
        <v>0.78688524589999997</v>
      </c>
      <c r="AP47" s="4">
        <v>78.68852459</v>
      </c>
      <c r="AQ47" s="4">
        <v>0.92859999999999998</v>
      </c>
      <c r="AR47" s="4">
        <v>0.94320000000000004</v>
      </c>
      <c r="AS47" s="4">
        <v>0.92979999999999996</v>
      </c>
      <c r="AT47" s="4">
        <v>1.46E-2</v>
      </c>
      <c r="AU47" s="4">
        <v>1.1999999999999999E-3</v>
      </c>
      <c r="AV47" s="4">
        <v>0.9178082192</v>
      </c>
      <c r="AW47" s="4">
        <v>91.780821919999994</v>
      </c>
      <c r="AX47" s="27">
        <v>33.784999999999997</v>
      </c>
    </row>
    <row r="48" spans="1:50" ht="12.75" customHeight="1">
      <c r="A48" s="4" t="s">
        <v>647</v>
      </c>
      <c r="B48" s="9" t="s">
        <v>489</v>
      </c>
      <c r="C48" s="5" t="s">
        <v>474</v>
      </c>
      <c r="D48" s="5" t="s">
        <v>483</v>
      </c>
      <c r="E48" s="5" t="s">
        <v>490</v>
      </c>
      <c r="F48" s="12" t="s">
        <v>474</v>
      </c>
      <c r="G48" s="12" t="s">
        <v>486</v>
      </c>
      <c r="H48" s="12" t="s">
        <v>462</v>
      </c>
      <c r="I48" s="8">
        <v>45231</v>
      </c>
      <c r="J48" s="10" t="s">
        <v>485</v>
      </c>
      <c r="K48" s="11">
        <v>2</v>
      </c>
      <c r="L48" s="11">
        <v>5</v>
      </c>
      <c r="M48" s="11">
        <v>1</v>
      </c>
      <c r="N48" s="6" t="s">
        <v>482</v>
      </c>
      <c r="O48" s="7">
        <v>38.799999999999997</v>
      </c>
      <c r="P48" s="7">
        <v>27.4</v>
      </c>
      <c r="Q48" s="7">
        <v>11.6</v>
      </c>
      <c r="R48" s="4">
        <v>440</v>
      </c>
      <c r="S48" s="13">
        <f t="shared" si="0"/>
        <v>0.44</v>
      </c>
      <c r="T48" s="4">
        <f t="shared" si="3"/>
        <v>3.4020618556701035E-2</v>
      </c>
      <c r="V48" s="4" t="s">
        <v>540</v>
      </c>
      <c r="W48" s="4" t="s">
        <v>647</v>
      </c>
      <c r="X48" s="4" t="s">
        <v>647</v>
      </c>
      <c r="Y48" s="4">
        <v>2</v>
      </c>
      <c r="Z48" s="4" t="s">
        <v>647</v>
      </c>
      <c r="AA48" s="4">
        <v>2</v>
      </c>
      <c r="AB48" s="24"/>
      <c r="AC48" s="24"/>
      <c r="AD48" s="25"/>
      <c r="AE48" s="26"/>
      <c r="AF48" s="24"/>
      <c r="AG48" s="25"/>
      <c r="AH48" s="25"/>
      <c r="AJ48" s="4">
        <v>0.91100000000000003</v>
      </c>
      <c r="AK48" s="4">
        <v>0.92369999999999997</v>
      </c>
      <c r="AL48" s="4">
        <v>0.91359999999999997</v>
      </c>
      <c r="AM48" s="4">
        <v>1.2699999999999999E-2</v>
      </c>
      <c r="AN48" s="4">
        <v>2.5999999999999999E-3</v>
      </c>
      <c r="AO48" s="4">
        <v>0.79527559059999997</v>
      </c>
      <c r="AP48" s="4">
        <v>79.527559060000002</v>
      </c>
      <c r="AQ48" s="4">
        <v>1.1000000000000001</v>
      </c>
      <c r="AR48" s="4">
        <v>1.1228</v>
      </c>
      <c r="AS48" s="4">
        <v>1.1053999999999999</v>
      </c>
      <c r="AT48" s="4">
        <v>2.2800000000000001E-2</v>
      </c>
      <c r="AU48" s="4">
        <v>5.4000000000000003E-3</v>
      </c>
      <c r="AV48" s="4">
        <v>0.76315789469999995</v>
      </c>
      <c r="AW48" s="4">
        <v>76.315789469999999</v>
      </c>
    </row>
    <row r="49" spans="1:50" ht="12.75" customHeight="1">
      <c r="A49" s="4" t="s">
        <v>648</v>
      </c>
      <c r="B49" s="9" t="s">
        <v>489</v>
      </c>
      <c r="C49" s="5" t="s">
        <v>474</v>
      </c>
      <c r="D49" s="5" t="s">
        <v>483</v>
      </c>
      <c r="E49" s="5" t="s">
        <v>490</v>
      </c>
      <c r="F49" s="12" t="s">
        <v>474</v>
      </c>
      <c r="G49" s="12" t="s">
        <v>486</v>
      </c>
      <c r="H49" s="12" t="s">
        <v>462</v>
      </c>
      <c r="I49" s="8">
        <v>45231</v>
      </c>
      <c r="J49" s="10" t="s">
        <v>485</v>
      </c>
      <c r="K49" s="11">
        <v>2</v>
      </c>
      <c r="L49" s="11">
        <v>5</v>
      </c>
      <c r="M49" s="11">
        <v>1</v>
      </c>
      <c r="N49" s="6" t="s">
        <v>482</v>
      </c>
      <c r="O49" s="7">
        <v>38.700000000000003</v>
      </c>
      <c r="P49" s="7">
        <v>30.7</v>
      </c>
      <c r="Q49" s="7">
        <v>10.5</v>
      </c>
      <c r="R49" s="4">
        <v>426</v>
      </c>
      <c r="S49" s="4">
        <f t="shared" si="0"/>
        <v>0.42599999999999999</v>
      </c>
      <c r="T49" s="4">
        <f t="shared" si="3"/>
        <v>3.3023255813953489E-2</v>
      </c>
      <c r="V49" s="4" t="s">
        <v>540</v>
      </c>
      <c r="W49" s="4" t="s">
        <v>648</v>
      </c>
      <c r="X49" s="4" t="s">
        <v>648</v>
      </c>
      <c r="Y49" s="4">
        <v>3</v>
      </c>
      <c r="Z49" s="4" t="s">
        <v>648</v>
      </c>
      <c r="AA49" s="4">
        <v>3</v>
      </c>
      <c r="AB49" s="24"/>
      <c r="AC49" s="24"/>
      <c r="AD49" s="25"/>
      <c r="AE49" s="26"/>
      <c r="AF49" s="24"/>
      <c r="AG49" s="25"/>
      <c r="AH49" s="25"/>
      <c r="AJ49" s="4">
        <v>0.92830000000000001</v>
      </c>
      <c r="AK49" s="4">
        <v>0.93520000000000003</v>
      </c>
      <c r="AL49" s="4">
        <v>0.92889999999999995</v>
      </c>
      <c r="AM49" s="4">
        <v>6.8999999999999999E-3</v>
      </c>
      <c r="AN49" s="4">
        <v>5.9999999999999995E-4</v>
      </c>
      <c r="AO49" s="4">
        <v>0.91304347829999999</v>
      </c>
      <c r="AP49" s="4">
        <v>91.304347829999998</v>
      </c>
      <c r="AQ49" s="4">
        <v>0.92830000000000001</v>
      </c>
      <c r="AR49" s="4">
        <v>0.96550000000000002</v>
      </c>
      <c r="AS49" s="4">
        <v>0.93610000000000004</v>
      </c>
      <c r="AT49" s="4">
        <v>3.7199999999999997E-2</v>
      </c>
      <c r="AU49" s="4">
        <v>7.7999999999999996E-3</v>
      </c>
      <c r="AV49" s="4">
        <v>0.79032258060000005</v>
      </c>
      <c r="AW49" s="4">
        <v>79.032258060000004</v>
      </c>
      <c r="AX49" s="27">
        <v>33.905000000000001</v>
      </c>
    </row>
    <row r="50" spans="1:50" ht="12.75" customHeight="1">
      <c r="A50" s="4" t="s">
        <v>649</v>
      </c>
      <c r="B50" s="9" t="s">
        <v>489</v>
      </c>
      <c r="C50" s="5" t="s">
        <v>474</v>
      </c>
      <c r="D50" s="5" t="s">
        <v>483</v>
      </c>
      <c r="E50" s="5" t="s">
        <v>490</v>
      </c>
      <c r="F50" s="12" t="s">
        <v>474</v>
      </c>
      <c r="G50" s="12" t="s">
        <v>486</v>
      </c>
      <c r="H50" s="12" t="s">
        <v>462</v>
      </c>
      <c r="I50" s="8">
        <v>45231</v>
      </c>
      <c r="J50" s="10" t="s">
        <v>485</v>
      </c>
      <c r="K50" s="11">
        <v>2</v>
      </c>
      <c r="L50" s="11">
        <v>5</v>
      </c>
      <c r="M50" s="11">
        <v>1</v>
      </c>
      <c r="N50" s="6" t="s">
        <v>482</v>
      </c>
      <c r="O50" s="7">
        <v>34.5</v>
      </c>
      <c r="P50" s="7">
        <v>26.3</v>
      </c>
      <c r="Q50" s="7">
        <v>10.1</v>
      </c>
      <c r="R50" s="4">
        <v>366</v>
      </c>
      <c r="S50" s="4">
        <f t="shared" si="0"/>
        <v>0.36599999999999999</v>
      </c>
      <c r="T50" s="4">
        <f t="shared" si="3"/>
        <v>3.182608695652174E-2</v>
      </c>
      <c r="V50" s="4" t="s">
        <v>540</v>
      </c>
      <c r="W50" s="4" t="s">
        <v>649</v>
      </c>
      <c r="X50" s="4" t="s">
        <v>649</v>
      </c>
      <c r="Y50" s="4">
        <v>4</v>
      </c>
      <c r="Z50" s="4" t="s">
        <v>649</v>
      </c>
      <c r="AA50" s="4">
        <v>4</v>
      </c>
      <c r="AB50" s="24"/>
      <c r="AC50" s="24"/>
      <c r="AD50" s="25"/>
      <c r="AE50" s="26"/>
      <c r="AF50" s="24"/>
      <c r="AG50" s="25"/>
      <c r="AH50" s="25"/>
      <c r="AQ50" s="4">
        <v>1.1026</v>
      </c>
      <c r="AR50" s="4">
        <v>1.1337999999999999</v>
      </c>
      <c r="AS50" s="4">
        <v>1.1091</v>
      </c>
      <c r="AT50" s="4">
        <v>3.1199999999999999E-2</v>
      </c>
      <c r="AU50" s="4">
        <v>6.4999999999999997E-3</v>
      </c>
      <c r="AV50" s="4">
        <v>0.79166666669999997</v>
      </c>
      <c r="AW50" s="4">
        <v>79.166666669999998</v>
      </c>
    </row>
    <row r="51" spans="1:50" ht="12.75" customHeight="1">
      <c r="A51" s="4" t="s">
        <v>650</v>
      </c>
      <c r="B51" s="9" t="s">
        <v>489</v>
      </c>
      <c r="C51" s="5" t="s">
        <v>474</v>
      </c>
      <c r="D51" s="5" t="s">
        <v>483</v>
      </c>
      <c r="E51" s="5" t="s">
        <v>490</v>
      </c>
      <c r="F51" s="12" t="s">
        <v>474</v>
      </c>
      <c r="G51" s="12" t="s">
        <v>486</v>
      </c>
      <c r="H51" s="12" t="s">
        <v>462</v>
      </c>
      <c r="I51" s="8">
        <v>45231</v>
      </c>
      <c r="J51" s="10" t="s">
        <v>485</v>
      </c>
      <c r="K51" s="11">
        <v>2</v>
      </c>
      <c r="L51" s="11">
        <v>5</v>
      </c>
      <c r="M51" s="11">
        <v>1</v>
      </c>
      <c r="N51" s="6" t="s">
        <v>482</v>
      </c>
      <c r="O51" s="7">
        <v>28.5</v>
      </c>
      <c r="P51" s="7">
        <v>20.6</v>
      </c>
      <c r="Q51" s="7">
        <v>7.6</v>
      </c>
      <c r="R51" s="4">
        <v>157</v>
      </c>
      <c r="S51" s="4">
        <f t="shared" si="0"/>
        <v>0.157</v>
      </c>
      <c r="T51" s="4">
        <f t="shared" si="3"/>
        <v>1.6526315789473684E-2</v>
      </c>
      <c r="V51" s="4" t="s">
        <v>540</v>
      </c>
      <c r="W51" s="4" t="s">
        <v>650</v>
      </c>
      <c r="X51" s="4" t="s">
        <v>650</v>
      </c>
      <c r="Y51" s="4">
        <v>5</v>
      </c>
      <c r="Z51" s="4" t="s">
        <v>650</v>
      </c>
      <c r="AA51" s="4">
        <v>5</v>
      </c>
      <c r="AB51" s="24"/>
      <c r="AC51" s="24"/>
      <c r="AD51" s="25"/>
      <c r="AE51" s="26"/>
      <c r="AF51" s="24"/>
      <c r="AG51" s="25"/>
      <c r="AH51" s="25"/>
      <c r="AJ51" s="4">
        <v>0.91549999999999998</v>
      </c>
      <c r="AK51" s="4">
        <v>0.91869999999999996</v>
      </c>
      <c r="AL51" s="4">
        <v>0.91610000000000003</v>
      </c>
      <c r="AM51" s="4">
        <v>3.2000000000000002E-3</v>
      </c>
      <c r="AN51" s="4">
        <v>5.9999999999999995E-4</v>
      </c>
      <c r="AO51" s="4">
        <v>0.8125</v>
      </c>
      <c r="AP51" s="4">
        <v>81.25</v>
      </c>
      <c r="AQ51" s="4">
        <v>0.91139999999999999</v>
      </c>
      <c r="AR51" s="4">
        <v>0.92500000000000004</v>
      </c>
      <c r="AS51" s="4">
        <v>0.91420000000000001</v>
      </c>
      <c r="AT51" s="4">
        <v>1.3599999999999999E-2</v>
      </c>
      <c r="AU51" s="4">
        <v>2.8E-3</v>
      </c>
      <c r="AV51" s="4">
        <v>0.79411764709999999</v>
      </c>
      <c r="AW51" s="4">
        <v>79.41176471</v>
      </c>
    </row>
    <row r="52" spans="1:50" ht="12.75" customHeight="1">
      <c r="A52" s="4" t="s">
        <v>651</v>
      </c>
      <c r="B52" s="9" t="s">
        <v>489</v>
      </c>
      <c r="C52" s="5" t="s">
        <v>474</v>
      </c>
      <c r="D52" s="5" t="s">
        <v>483</v>
      </c>
      <c r="E52" s="5" t="s">
        <v>490</v>
      </c>
      <c r="F52" s="12" t="s">
        <v>474</v>
      </c>
      <c r="G52" s="12" t="s">
        <v>486</v>
      </c>
      <c r="H52" s="12" t="s">
        <v>462</v>
      </c>
      <c r="I52" s="8">
        <v>45231</v>
      </c>
      <c r="J52" s="10" t="s">
        <v>485</v>
      </c>
      <c r="K52" s="11">
        <v>2</v>
      </c>
      <c r="L52" s="11">
        <v>5</v>
      </c>
      <c r="M52" s="11">
        <v>1</v>
      </c>
      <c r="N52" s="6" t="s">
        <v>482</v>
      </c>
      <c r="O52" s="7">
        <v>37.5</v>
      </c>
      <c r="P52" s="7">
        <v>28.6</v>
      </c>
      <c r="Q52" s="7">
        <v>10.3</v>
      </c>
      <c r="R52" s="4">
        <v>422</v>
      </c>
      <c r="S52" s="4">
        <f t="shared" si="0"/>
        <v>0.42199999999999999</v>
      </c>
      <c r="T52" s="4">
        <f t="shared" si="3"/>
        <v>3.3759999999999998E-2</v>
      </c>
      <c r="V52" s="4" t="s">
        <v>540</v>
      </c>
      <c r="W52" s="4" t="s">
        <v>651</v>
      </c>
      <c r="X52" s="4" t="s">
        <v>651</v>
      </c>
      <c r="Y52" s="4">
        <v>6</v>
      </c>
      <c r="Z52" s="4" t="s">
        <v>651</v>
      </c>
      <c r="AA52" s="4">
        <v>6</v>
      </c>
      <c r="AB52" s="24"/>
      <c r="AC52" s="24"/>
      <c r="AD52" s="25"/>
      <c r="AE52" s="26"/>
      <c r="AF52" s="24"/>
      <c r="AG52" s="25"/>
      <c r="AH52" s="25"/>
      <c r="AJ52" s="4">
        <v>0.89890000000000003</v>
      </c>
      <c r="AK52" s="4">
        <v>0.91259999999999997</v>
      </c>
      <c r="AL52" s="4">
        <v>0.90149999999999997</v>
      </c>
      <c r="AM52" s="4">
        <v>1.37E-2</v>
      </c>
      <c r="AN52" s="4">
        <v>2.5999999999999999E-3</v>
      </c>
      <c r="AO52" s="4">
        <v>0.81021897809999999</v>
      </c>
      <c r="AP52" s="4">
        <v>81.021897809999999</v>
      </c>
      <c r="AQ52" s="4">
        <v>0.90820000000000001</v>
      </c>
      <c r="AR52" s="4">
        <v>0.95669999999999999</v>
      </c>
      <c r="AS52" s="4">
        <v>0.91879999999999995</v>
      </c>
      <c r="AT52" s="4">
        <v>4.8500000000000001E-2</v>
      </c>
      <c r="AU52" s="4">
        <v>1.06E-2</v>
      </c>
      <c r="AV52" s="4">
        <v>0.78144329899999998</v>
      </c>
      <c r="AW52" s="4">
        <v>78.144329900000002</v>
      </c>
    </row>
    <row r="53" spans="1:50" ht="12.75" customHeight="1">
      <c r="A53" s="4" t="s">
        <v>652</v>
      </c>
      <c r="B53" s="9" t="s">
        <v>489</v>
      </c>
      <c r="C53" s="5" t="s">
        <v>474</v>
      </c>
      <c r="D53" s="5" t="s">
        <v>483</v>
      </c>
      <c r="E53" s="5" t="s">
        <v>490</v>
      </c>
      <c r="F53" s="12" t="s">
        <v>474</v>
      </c>
      <c r="G53" s="12" t="s">
        <v>486</v>
      </c>
      <c r="H53" s="12" t="s">
        <v>462</v>
      </c>
      <c r="I53" s="8">
        <v>45231</v>
      </c>
      <c r="J53" s="10" t="s">
        <v>485</v>
      </c>
      <c r="K53" s="11">
        <v>2</v>
      </c>
      <c r="L53" s="11">
        <v>5</v>
      </c>
      <c r="M53" s="11">
        <v>1</v>
      </c>
      <c r="N53" s="6" t="s">
        <v>482</v>
      </c>
      <c r="O53" s="7">
        <v>31.4</v>
      </c>
      <c r="P53" s="7">
        <v>23.2</v>
      </c>
      <c r="Q53" s="7">
        <v>8.8000000000000007</v>
      </c>
      <c r="R53" s="4">
        <v>220</v>
      </c>
      <c r="S53" s="13">
        <f t="shared" si="0"/>
        <v>0.22</v>
      </c>
      <c r="T53" s="4">
        <f t="shared" si="3"/>
        <v>2.1019108280254779E-2</v>
      </c>
      <c r="V53" s="4" t="s">
        <v>540</v>
      </c>
      <c r="W53" s="4" t="s">
        <v>652</v>
      </c>
      <c r="X53" s="4" t="s">
        <v>652</v>
      </c>
      <c r="Y53" s="4">
        <v>7</v>
      </c>
      <c r="Z53" s="4" t="s">
        <v>652</v>
      </c>
      <c r="AA53" s="4">
        <v>7</v>
      </c>
      <c r="AB53" s="24"/>
      <c r="AC53" s="24"/>
      <c r="AD53" s="25"/>
      <c r="AE53" s="26"/>
      <c r="AF53" s="24"/>
      <c r="AG53" s="25"/>
      <c r="AH53" s="25"/>
      <c r="AJ53" s="4">
        <v>0.90469999999999995</v>
      </c>
      <c r="AK53" s="4">
        <v>0.91049999999999998</v>
      </c>
      <c r="AL53" s="4">
        <v>0.90569999999999995</v>
      </c>
      <c r="AM53" s="4">
        <v>5.7999999999999996E-3</v>
      </c>
      <c r="AN53" s="4">
        <v>1E-3</v>
      </c>
      <c r="AO53" s="4">
        <v>0.82758620689999995</v>
      </c>
      <c r="AP53" s="4">
        <v>82.758620690000001</v>
      </c>
      <c r="AQ53" s="4">
        <v>1.1012999999999999</v>
      </c>
      <c r="AR53" s="4">
        <v>1.1164000000000001</v>
      </c>
      <c r="AS53" s="4">
        <v>1.1043000000000001</v>
      </c>
      <c r="AT53" s="4">
        <v>1.5100000000000001E-2</v>
      </c>
      <c r="AU53" s="4">
        <v>3.0000000000000001E-3</v>
      </c>
      <c r="AV53" s="4">
        <v>0.80132450330000005</v>
      </c>
      <c r="AW53" s="4">
        <v>80.132450329999998</v>
      </c>
    </row>
    <row r="54" spans="1:50" ht="12.75" customHeight="1">
      <c r="A54" s="4" t="s">
        <v>653</v>
      </c>
      <c r="B54" s="9" t="s">
        <v>489</v>
      </c>
      <c r="C54" s="5" t="s">
        <v>474</v>
      </c>
      <c r="D54" s="5" t="s">
        <v>483</v>
      </c>
      <c r="E54" s="5" t="s">
        <v>490</v>
      </c>
      <c r="F54" s="12" t="s">
        <v>474</v>
      </c>
      <c r="G54" s="12" t="s">
        <v>486</v>
      </c>
      <c r="H54" s="12" t="s">
        <v>462</v>
      </c>
      <c r="I54" s="8">
        <v>45231</v>
      </c>
      <c r="J54" s="10" t="s">
        <v>485</v>
      </c>
      <c r="K54" s="11">
        <v>2</v>
      </c>
      <c r="L54" s="11">
        <v>5</v>
      </c>
      <c r="M54" s="11">
        <v>1</v>
      </c>
      <c r="N54" s="6" t="s">
        <v>482</v>
      </c>
      <c r="O54" s="7">
        <v>35.299999999999997</v>
      </c>
      <c r="P54" s="7">
        <v>27.2</v>
      </c>
      <c r="Q54" s="7">
        <v>10</v>
      </c>
      <c r="R54" s="4">
        <v>350</v>
      </c>
      <c r="S54" s="13">
        <f t="shared" si="0"/>
        <v>0.35</v>
      </c>
      <c r="T54" s="4">
        <f t="shared" si="3"/>
        <v>2.9745042492917845E-2</v>
      </c>
      <c r="V54" s="4" t="s">
        <v>540</v>
      </c>
      <c r="W54" s="4" t="s">
        <v>653</v>
      </c>
      <c r="X54" s="4" t="s">
        <v>653</v>
      </c>
      <c r="Y54" s="4">
        <v>8</v>
      </c>
      <c r="Z54" s="4" t="s">
        <v>653</v>
      </c>
      <c r="AA54" s="4">
        <v>8</v>
      </c>
      <c r="AB54" s="24"/>
      <c r="AC54" s="24"/>
      <c r="AD54" s="25"/>
      <c r="AE54" s="26"/>
      <c r="AF54" s="24"/>
      <c r="AG54" s="25"/>
      <c r="AH54" s="25"/>
      <c r="AJ54" s="4">
        <v>0.90369999999999995</v>
      </c>
      <c r="AK54" s="4">
        <v>0.90949999999999998</v>
      </c>
      <c r="AL54" s="4">
        <v>0.90429999999999999</v>
      </c>
      <c r="AM54" s="4">
        <v>5.7999999999999996E-3</v>
      </c>
      <c r="AN54" s="4">
        <v>5.9999999999999995E-4</v>
      </c>
      <c r="AO54" s="4">
        <v>0.89655172409999995</v>
      </c>
      <c r="AP54" s="4">
        <v>89.655172410000006</v>
      </c>
      <c r="AQ54" s="4">
        <v>0.91549999999999998</v>
      </c>
      <c r="AR54" s="4">
        <v>0.93149999999999999</v>
      </c>
      <c r="AS54" s="4">
        <v>0.91879999999999995</v>
      </c>
      <c r="AT54" s="4">
        <v>1.6E-2</v>
      </c>
      <c r="AU54" s="4">
        <v>3.3E-3</v>
      </c>
      <c r="AV54" s="4">
        <v>0.79374999999999996</v>
      </c>
      <c r="AW54" s="4">
        <v>79.375</v>
      </c>
      <c r="AX54" s="27">
        <v>32.9</v>
      </c>
    </row>
    <row r="55" spans="1:50" ht="12.75" customHeight="1">
      <c r="A55" s="4" t="s">
        <v>654</v>
      </c>
      <c r="B55" s="9" t="s">
        <v>489</v>
      </c>
      <c r="C55" s="5" t="s">
        <v>474</v>
      </c>
      <c r="D55" s="5" t="s">
        <v>483</v>
      </c>
      <c r="E55" s="5" t="s">
        <v>490</v>
      </c>
      <c r="F55" s="12" t="s">
        <v>474</v>
      </c>
      <c r="G55" s="12" t="s">
        <v>486</v>
      </c>
      <c r="H55" s="12" t="s">
        <v>462</v>
      </c>
      <c r="I55" s="8">
        <v>45231</v>
      </c>
      <c r="J55" s="10" t="s">
        <v>485</v>
      </c>
      <c r="K55" s="11">
        <v>2</v>
      </c>
      <c r="L55" s="11">
        <v>5</v>
      </c>
      <c r="M55" s="11">
        <v>1</v>
      </c>
      <c r="N55" s="6" t="s">
        <v>482</v>
      </c>
      <c r="O55" s="7">
        <v>31.5</v>
      </c>
      <c r="P55" s="7">
        <v>20.3</v>
      </c>
      <c r="Q55" s="7">
        <v>7.3</v>
      </c>
      <c r="R55" s="4">
        <v>105</v>
      </c>
      <c r="S55" s="4">
        <f t="shared" si="0"/>
        <v>0.105</v>
      </c>
      <c r="T55" s="4">
        <f t="shared" si="3"/>
        <v>9.9999999999999985E-3</v>
      </c>
      <c r="V55" s="4" t="s">
        <v>540</v>
      </c>
      <c r="W55" s="4" t="s">
        <v>654</v>
      </c>
      <c r="X55" s="4" t="s">
        <v>654</v>
      </c>
      <c r="Y55" s="4">
        <v>9</v>
      </c>
      <c r="Z55" s="4" t="s">
        <v>654</v>
      </c>
      <c r="AA55" s="4">
        <v>9</v>
      </c>
      <c r="AB55" s="24"/>
      <c r="AC55" s="24"/>
      <c r="AD55" s="25"/>
      <c r="AE55" s="26"/>
      <c r="AF55" s="24"/>
      <c r="AG55" s="25"/>
      <c r="AH55" s="25"/>
      <c r="AJ55" s="4">
        <v>0.91279999999999994</v>
      </c>
      <c r="AK55" s="4">
        <v>0.91649999999999998</v>
      </c>
      <c r="AL55" s="4">
        <v>0.91359999999999997</v>
      </c>
      <c r="AM55" s="4">
        <v>3.7000000000000002E-3</v>
      </c>
      <c r="AN55" s="4">
        <v>8.0000000000000004E-4</v>
      </c>
      <c r="AO55" s="4">
        <v>0.78378378380000002</v>
      </c>
      <c r="AP55" s="4">
        <v>78.378378380000001</v>
      </c>
      <c r="AQ55" s="4">
        <v>0.92279999999999995</v>
      </c>
      <c r="AR55" s="4">
        <v>0.93300000000000005</v>
      </c>
      <c r="AS55" s="4">
        <v>0.92490000000000006</v>
      </c>
      <c r="AT55" s="4">
        <v>1.0200000000000001E-2</v>
      </c>
      <c r="AU55" s="4">
        <v>2.0999999999999999E-3</v>
      </c>
      <c r="AV55" s="4">
        <v>0.79411764709999999</v>
      </c>
      <c r="AW55" s="4">
        <v>79.41176471</v>
      </c>
    </row>
    <row r="56" spans="1:50" ht="12.75" customHeight="1">
      <c r="A56" s="4" t="s">
        <v>65</v>
      </c>
      <c r="B56" s="9" t="s">
        <v>481</v>
      </c>
      <c r="C56" s="5" t="s">
        <v>474</v>
      </c>
      <c r="D56" s="5" t="s">
        <v>483</v>
      </c>
      <c r="E56" s="5" t="s">
        <v>484</v>
      </c>
      <c r="F56" s="12" t="s">
        <v>474</v>
      </c>
      <c r="G56" s="12" t="s">
        <v>486</v>
      </c>
      <c r="H56" s="12" t="s">
        <v>462</v>
      </c>
      <c r="I56" s="8">
        <v>45231</v>
      </c>
      <c r="J56" s="10" t="s">
        <v>485</v>
      </c>
      <c r="K56" s="11">
        <v>2</v>
      </c>
      <c r="L56" s="11">
        <v>6</v>
      </c>
      <c r="M56" s="11">
        <v>1</v>
      </c>
      <c r="N56" s="6" t="s">
        <v>482</v>
      </c>
      <c r="O56" s="7">
        <v>31.4</v>
      </c>
      <c r="P56" s="7">
        <v>24.4</v>
      </c>
      <c r="Q56" s="7">
        <v>8.3000000000000007</v>
      </c>
      <c r="R56" s="4">
        <v>222</v>
      </c>
      <c r="S56" s="4">
        <f t="shared" si="0"/>
        <v>0.222</v>
      </c>
      <c r="T56" s="4">
        <f t="shared" si="3"/>
        <v>2.1210191082802549E-2</v>
      </c>
      <c r="V56" s="4" t="s">
        <v>527</v>
      </c>
      <c r="W56" s="4" t="s">
        <v>65</v>
      </c>
      <c r="X56" s="4" t="s">
        <v>65</v>
      </c>
      <c r="Y56" s="4" t="s">
        <v>534</v>
      </c>
      <c r="Z56" s="4" t="s">
        <v>65</v>
      </c>
      <c r="AA56" s="4" t="s">
        <v>534</v>
      </c>
      <c r="AB56" s="20">
        <v>0.90800000000000003</v>
      </c>
      <c r="AC56" s="20">
        <v>0.92959999999999998</v>
      </c>
      <c r="AD56" s="19">
        <f t="shared" si="4"/>
        <v>21.599999999999952</v>
      </c>
      <c r="AE56" s="19">
        <v>507687</v>
      </c>
      <c r="AF56" s="19">
        <v>487402</v>
      </c>
      <c r="AG56" s="19">
        <v>495869</v>
      </c>
      <c r="AH56" s="19">
        <f t="shared" si="1"/>
        <v>496986</v>
      </c>
      <c r="AI56" s="19">
        <f t="shared" si="2"/>
        <v>23008.611111111164</v>
      </c>
    </row>
    <row r="57" spans="1:50" ht="12.75" customHeight="1">
      <c r="A57" s="4" t="s">
        <v>66</v>
      </c>
      <c r="B57" s="9" t="s">
        <v>481</v>
      </c>
      <c r="C57" s="5" t="s">
        <v>474</v>
      </c>
      <c r="D57" s="5" t="s">
        <v>483</v>
      </c>
      <c r="E57" s="5" t="s">
        <v>484</v>
      </c>
      <c r="F57" s="12" t="s">
        <v>474</v>
      </c>
      <c r="G57" s="12" t="s">
        <v>486</v>
      </c>
      <c r="H57" s="12" t="s">
        <v>462</v>
      </c>
      <c r="I57" s="8">
        <v>45231</v>
      </c>
      <c r="J57" s="10" t="s">
        <v>485</v>
      </c>
      <c r="K57" s="11">
        <v>2</v>
      </c>
      <c r="L57" s="11">
        <v>6</v>
      </c>
      <c r="M57" s="11">
        <v>1</v>
      </c>
      <c r="N57" s="6" t="s">
        <v>482</v>
      </c>
      <c r="O57" s="7">
        <v>30</v>
      </c>
      <c r="P57" s="7">
        <v>25.3</v>
      </c>
      <c r="Q57" s="7">
        <v>8.5</v>
      </c>
      <c r="R57" s="4">
        <v>220</v>
      </c>
      <c r="S57" s="13">
        <f t="shared" si="0"/>
        <v>0.22</v>
      </c>
      <c r="T57" s="4">
        <f t="shared" si="3"/>
        <v>2.1999999999999999E-2</v>
      </c>
      <c r="V57" s="4" t="s">
        <v>527</v>
      </c>
      <c r="W57" s="4" t="s">
        <v>66</v>
      </c>
      <c r="X57" s="4" t="s">
        <v>66</v>
      </c>
      <c r="Y57" s="4" t="s">
        <v>535</v>
      </c>
      <c r="Z57" s="4" t="s">
        <v>66</v>
      </c>
      <c r="AA57" s="4" t="s">
        <v>535</v>
      </c>
      <c r="AB57" s="20">
        <v>0.91759999999999997</v>
      </c>
      <c r="AC57" s="20">
        <v>0.93720000000000003</v>
      </c>
      <c r="AD57" s="19">
        <f t="shared" si="4"/>
        <v>19.600000000000062</v>
      </c>
      <c r="AE57" s="19">
        <v>490184</v>
      </c>
      <c r="AF57" s="19">
        <v>516422</v>
      </c>
      <c r="AG57" s="19">
        <v>545478</v>
      </c>
      <c r="AH57" s="19">
        <f t="shared" si="1"/>
        <v>517361.33333333331</v>
      </c>
      <c r="AI57" s="19">
        <f t="shared" si="2"/>
        <v>26395.986394557738</v>
      </c>
    </row>
    <row r="58" spans="1:50" ht="12.75" customHeight="1">
      <c r="A58" s="4" t="s">
        <v>67</v>
      </c>
      <c r="B58" s="9" t="s">
        <v>481</v>
      </c>
      <c r="C58" s="5" t="s">
        <v>474</v>
      </c>
      <c r="D58" s="5" t="s">
        <v>483</v>
      </c>
      <c r="E58" s="5" t="s">
        <v>484</v>
      </c>
      <c r="F58" s="12" t="s">
        <v>474</v>
      </c>
      <c r="G58" s="12" t="s">
        <v>486</v>
      </c>
      <c r="H58" s="12" t="s">
        <v>462</v>
      </c>
      <c r="I58" s="8">
        <v>45231</v>
      </c>
      <c r="J58" s="10" t="s">
        <v>485</v>
      </c>
      <c r="K58" s="11">
        <v>2</v>
      </c>
      <c r="L58" s="11">
        <v>6</v>
      </c>
      <c r="M58" s="11">
        <v>1</v>
      </c>
      <c r="N58" s="6" t="s">
        <v>482</v>
      </c>
      <c r="O58" s="7">
        <v>32.6</v>
      </c>
      <c r="P58" s="7">
        <v>24.7</v>
      </c>
      <c r="Q58" s="7">
        <v>9.6999999999999993</v>
      </c>
      <c r="R58" s="4">
        <v>282</v>
      </c>
      <c r="S58" s="4">
        <f t="shared" si="0"/>
        <v>0.28199999999999997</v>
      </c>
      <c r="T58" s="4">
        <f t="shared" si="3"/>
        <v>2.5950920245398766E-2</v>
      </c>
      <c r="V58" s="4" t="s">
        <v>527</v>
      </c>
      <c r="W58" s="4" t="s">
        <v>67</v>
      </c>
      <c r="X58" s="4" t="s">
        <v>67</v>
      </c>
      <c r="Y58" s="4" t="s">
        <v>536</v>
      </c>
      <c r="Z58" s="4" t="s">
        <v>67</v>
      </c>
      <c r="AA58" s="4" t="s">
        <v>536</v>
      </c>
      <c r="AB58" s="20">
        <v>0.92610000000000003</v>
      </c>
      <c r="AC58" s="20">
        <v>0.9607</v>
      </c>
      <c r="AD58" s="19">
        <f t="shared" si="4"/>
        <v>34.599999999999966</v>
      </c>
      <c r="AE58" s="19">
        <v>425426</v>
      </c>
      <c r="AF58" s="19">
        <v>402502</v>
      </c>
      <c r="AG58" s="19">
        <v>450479</v>
      </c>
      <c r="AH58" s="19">
        <f t="shared" si="1"/>
        <v>426135.66666666669</v>
      </c>
      <c r="AI58" s="19">
        <f t="shared" si="2"/>
        <v>12316.059730250494</v>
      </c>
    </row>
    <row r="59" spans="1:50" ht="12.75" customHeight="1">
      <c r="A59" s="4" t="s">
        <v>68</v>
      </c>
      <c r="B59" s="9" t="s">
        <v>481</v>
      </c>
      <c r="C59" s="5" t="s">
        <v>474</v>
      </c>
      <c r="D59" s="5" t="s">
        <v>483</v>
      </c>
      <c r="E59" s="5" t="s">
        <v>484</v>
      </c>
      <c r="F59" s="12" t="s">
        <v>474</v>
      </c>
      <c r="G59" s="12" t="s">
        <v>486</v>
      </c>
      <c r="H59" s="12" t="s">
        <v>462</v>
      </c>
      <c r="I59" s="8">
        <v>45231</v>
      </c>
      <c r="J59" s="10" t="s">
        <v>485</v>
      </c>
      <c r="K59" s="11">
        <v>2</v>
      </c>
      <c r="L59" s="11">
        <v>6</v>
      </c>
      <c r="M59" s="11">
        <v>1</v>
      </c>
      <c r="N59" s="6" t="s">
        <v>482</v>
      </c>
      <c r="O59" s="7">
        <v>35.1</v>
      </c>
      <c r="P59" s="7">
        <v>26.1</v>
      </c>
      <c r="Q59" s="7">
        <v>9.1999999999999993</v>
      </c>
      <c r="R59" s="4">
        <v>361</v>
      </c>
      <c r="S59" s="4">
        <f t="shared" si="0"/>
        <v>0.36099999999999999</v>
      </c>
      <c r="T59" s="4">
        <f t="shared" si="3"/>
        <v>3.0854700854700851E-2</v>
      </c>
      <c r="V59" s="4" t="s">
        <v>527</v>
      </c>
      <c r="W59" s="4" t="s">
        <v>68</v>
      </c>
      <c r="X59" s="4" t="s">
        <v>68</v>
      </c>
      <c r="Y59" s="4" t="s">
        <v>537</v>
      </c>
      <c r="Z59" s="4" t="s">
        <v>68</v>
      </c>
      <c r="AA59" s="4" t="s">
        <v>537</v>
      </c>
      <c r="AB59" s="20">
        <v>0.91220000000000001</v>
      </c>
      <c r="AC59" s="20">
        <v>0.94310000000000005</v>
      </c>
      <c r="AD59" s="19">
        <f t="shared" si="4"/>
        <v>30.900000000000038</v>
      </c>
      <c r="AE59" s="19">
        <v>255548</v>
      </c>
      <c r="AF59" s="19">
        <v>257556</v>
      </c>
      <c r="AG59" s="19">
        <v>279904</v>
      </c>
      <c r="AH59" s="19">
        <f t="shared" si="1"/>
        <v>264336</v>
      </c>
      <c r="AI59" s="19">
        <f t="shared" si="2"/>
        <v>8554.5631067961058</v>
      </c>
    </row>
    <row r="60" spans="1:50" ht="12.75" customHeight="1">
      <c r="A60" s="4" t="s">
        <v>69</v>
      </c>
      <c r="B60" s="9" t="s">
        <v>481</v>
      </c>
      <c r="C60" s="5" t="s">
        <v>474</v>
      </c>
      <c r="D60" s="5" t="s">
        <v>483</v>
      </c>
      <c r="E60" s="5" t="s">
        <v>484</v>
      </c>
      <c r="F60" s="12" t="s">
        <v>474</v>
      </c>
      <c r="G60" s="12" t="s">
        <v>486</v>
      </c>
      <c r="H60" s="12" t="s">
        <v>462</v>
      </c>
      <c r="I60" s="8">
        <v>45231</v>
      </c>
      <c r="J60" s="10" t="s">
        <v>485</v>
      </c>
      <c r="K60" s="11">
        <v>2</v>
      </c>
      <c r="L60" s="11">
        <v>6</v>
      </c>
      <c r="M60" s="11">
        <v>1</v>
      </c>
      <c r="N60" s="6" t="s">
        <v>482</v>
      </c>
      <c r="O60" s="7">
        <v>31.1</v>
      </c>
      <c r="P60" s="7">
        <v>24.1</v>
      </c>
      <c r="Q60" s="7">
        <v>8.6999999999999993</v>
      </c>
      <c r="R60" s="4">
        <v>229</v>
      </c>
      <c r="S60" s="4">
        <f t="shared" si="0"/>
        <v>0.22900000000000001</v>
      </c>
      <c r="T60" s="4">
        <f t="shared" si="3"/>
        <v>2.2090032154340838E-2</v>
      </c>
      <c r="V60" s="4" t="s">
        <v>527</v>
      </c>
      <c r="W60" s="4" t="s">
        <v>69</v>
      </c>
      <c r="X60" s="4" t="s">
        <v>69</v>
      </c>
      <c r="Y60" s="4" t="s">
        <v>538</v>
      </c>
      <c r="Z60" s="4" t="s">
        <v>69</v>
      </c>
      <c r="AA60" s="4" t="s">
        <v>538</v>
      </c>
      <c r="AB60" s="20">
        <v>0.91210000000000002</v>
      </c>
      <c r="AC60" s="20">
        <v>0.92220000000000002</v>
      </c>
      <c r="AD60" s="19">
        <f t="shared" si="4"/>
        <v>10.099999999999998</v>
      </c>
      <c r="AE60" s="19">
        <v>331783</v>
      </c>
      <c r="AF60" s="19">
        <v>312081</v>
      </c>
      <c r="AG60" s="19">
        <v>306706</v>
      </c>
      <c r="AH60" s="19">
        <f t="shared" si="1"/>
        <v>316856.66666666669</v>
      </c>
      <c r="AI60" s="19">
        <f t="shared" si="2"/>
        <v>31371.94719471948</v>
      </c>
    </row>
    <row r="61" spans="1:50" ht="12.75" customHeight="1">
      <c r="A61" s="4" t="s">
        <v>70</v>
      </c>
      <c r="B61" s="9" t="s">
        <v>481</v>
      </c>
      <c r="C61" s="5" t="s">
        <v>474</v>
      </c>
      <c r="D61" s="5" t="s">
        <v>483</v>
      </c>
      <c r="E61" s="5" t="s">
        <v>484</v>
      </c>
      <c r="F61" s="12" t="s">
        <v>474</v>
      </c>
      <c r="G61" s="12" t="s">
        <v>486</v>
      </c>
      <c r="H61" s="12" t="s">
        <v>462</v>
      </c>
      <c r="I61" s="8">
        <v>45231</v>
      </c>
      <c r="J61" s="10" t="s">
        <v>485</v>
      </c>
      <c r="K61" s="11">
        <v>2</v>
      </c>
      <c r="L61" s="11">
        <v>6</v>
      </c>
      <c r="M61" s="11">
        <v>1</v>
      </c>
      <c r="N61" s="6" t="s">
        <v>482</v>
      </c>
      <c r="O61" s="7">
        <v>24.1</v>
      </c>
      <c r="P61" s="7">
        <v>23.3</v>
      </c>
      <c r="Q61" s="7">
        <v>8.1</v>
      </c>
      <c r="R61" s="4">
        <v>226</v>
      </c>
      <c r="S61" s="4">
        <f t="shared" si="0"/>
        <v>0.22600000000000001</v>
      </c>
      <c r="T61" s="4">
        <f t="shared" si="3"/>
        <v>2.813278008298755E-2</v>
      </c>
      <c r="V61" s="4" t="s">
        <v>527</v>
      </c>
      <c r="W61" s="4" t="s">
        <v>70</v>
      </c>
      <c r="X61" s="4" t="s">
        <v>70</v>
      </c>
      <c r="Y61" s="4" t="s">
        <v>539</v>
      </c>
      <c r="Z61" s="4" t="s">
        <v>70</v>
      </c>
      <c r="AA61" s="4" t="s">
        <v>539</v>
      </c>
      <c r="AB61" s="20">
        <v>0.91</v>
      </c>
      <c r="AC61" s="20">
        <v>0.92079999999999995</v>
      </c>
      <c r="AD61" s="19">
        <f t="shared" si="4"/>
        <v>10.799999999999921</v>
      </c>
      <c r="AE61" s="19">
        <v>264268</v>
      </c>
      <c r="AF61" s="19">
        <v>297234</v>
      </c>
      <c r="AG61" s="19">
        <v>276355</v>
      </c>
      <c r="AH61" s="19">
        <f t="shared" si="1"/>
        <v>279285.66666666669</v>
      </c>
      <c r="AI61" s="19">
        <f t="shared" si="2"/>
        <v>25859.783950617475</v>
      </c>
    </row>
    <row r="62" spans="1:50" ht="12.75" customHeight="1">
      <c r="A62" s="4" t="s">
        <v>71</v>
      </c>
      <c r="B62" s="9" t="s">
        <v>481</v>
      </c>
      <c r="C62" s="5" t="s">
        <v>474</v>
      </c>
      <c r="D62" s="5" t="s">
        <v>483</v>
      </c>
      <c r="E62" s="5" t="s">
        <v>484</v>
      </c>
      <c r="F62" s="12" t="s">
        <v>474</v>
      </c>
      <c r="G62" s="12" t="s">
        <v>486</v>
      </c>
      <c r="H62" s="12" t="s">
        <v>462</v>
      </c>
      <c r="I62" s="8">
        <v>45231</v>
      </c>
      <c r="J62" s="10" t="s">
        <v>485</v>
      </c>
      <c r="K62" s="11">
        <v>2</v>
      </c>
      <c r="L62" s="11">
        <v>6</v>
      </c>
      <c r="M62" s="11">
        <v>1</v>
      </c>
      <c r="N62" s="6" t="s">
        <v>482</v>
      </c>
      <c r="O62" s="7">
        <v>29.6</v>
      </c>
      <c r="P62" s="7">
        <v>22.2</v>
      </c>
      <c r="Q62" s="7">
        <v>7.6</v>
      </c>
      <c r="R62" s="4">
        <v>198</v>
      </c>
      <c r="S62" s="4">
        <f t="shared" si="0"/>
        <v>0.19800000000000001</v>
      </c>
      <c r="T62" s="4">
        <f t="shared" si="3"/>
        <v>2.0067567567567567E-2</v>
      </c>
      <c r="V62" s="4" t="s">
        <v>527</v>
      </c>
      <c r="W62" s="4" t="s">
        <v>71</v>
      </c>
      <c r="X62" s="4" t="s">
        <v>71</v>
      </c>
      <c r="Y62" s="4" t="s">
        <v>541</v>
      </c>
      <c r="Z62" s="4" t="s">
        <v>71</v>
      </c>
      <c r="AA62" s="4" t="s">
        <v>541</v>
      </c>
      <c r="AB62" s="20">
        <v>0.91239999999999999</v>
      </c>
      <c r="AC62" s="20">
        <v>0.94589999999999996</v>
      </c>
      <c r="AD62" s="19">
        <f t="shared" si="4"/>
        <v>33.499999999999972</v>
      </c>
      <c r="AE62" s="19">
        <v>553473</v>
      </c>
      <c r="AF62" s="19">
        <v>583071</v>
      </c>
      <c r="AG62" s="19">
        <v>628985</v>
      </c>
      <c r="AH62" s="19">
        <f t="shared" si="1"/>
        <v>588509.66666666663</v>
      </c>
      <c r="AI62" s="19">
        <f t="shared" si="2"/>
        <v>17567.452736318421</v>
      </c>
    </row>
    <row r="63" spans="1:50" ht="12.75" customHeight="1">
      <c r="A63" s="4" t="s">
        <v>72</v>
      </c>
      <c r="B63" s="9" t="s">
        <v>481</v>
      </c>
      <c r="C63" s="5" t="s">
        <v>474</v>
      </c>
      <c r="D63" s="5" t="s">
        <v>483</v>
      </c>
      <c r="E63" s="5" t="s">
        <v>484</v>
      </c>
      <c r="F63" s="12" t="s">
        <v>474</v>
      </c>
      <c r="G63" s="12" t="s">
        <v>486</v>
      </c>
      <c r="H63" s="12" t="s">
        <v>462</v>
      </c>
      <c r="I63" s="8">
        <v>45231</v>
      </c>
      <c r="J63" s="10" t="s">
        <v>485</v>
      </c>
      <c r="K63" s="11">
        <v>2</v>
      </c>
      <c r="L63" s="11">
        <v>6</v>
      </c>
      <c r="M63" s="11">
        <v>1</v>
      </c>
      <c r="N63" s="6" t="s">
        <v>482</v>
      </c>
      <c r="O63" s="7">
        <v>35.1</v>
      </c>
      <c r="P63" s="7">
        <v>26.1</v>
      </c>
      <c r="Q63" s="7">
        <v>9.1</v>
      </c>
      <c r="R63" s="4">
        <v>314</v>
      </c>
      <c r="S63" s="4">
        <f t="shared" si="0"/>
        <v>0.314</v>
      </c>
      <c r="T63" s="4">
        <f t="shared" si="3"/>
        <v>2.6837606837606835E-2</v>
      </c>
      <c r="V63" s="4" t="s">
        <v>527</v>
      </c>
      <c r="W63" s="4" t="s">
        <v>72</v>
      </c>
      <c r="X63" s="4" t="s">
        <v>72</v>
      </c>
      <c r="Y63" s="4" t="s">
        <v>542</v>
      </c>
      <c r="Z63" s="4" t="s">
        <v>72</v>
      </c>
      <c r="AA63" s="4" t="s">
        <v>542</v>
      </c>
      <c r="AB63" s="20">
        <v>0.91559999999999997</v>
      </c>
      <c r="AC63" s="20">
        <v>0.9526</v>
      </c>
      <c r="AD63" s="19">
        <f t="shared" si="4"/>
        <v>37.000000000000036</v>
      </c>
      <c r="AE63" s="19">
        <v>464452</v>
      </c>
      <c r="AF63" s="19">
        <v>572318</v>
      </c>
      <c r="AG63" s="19">
        <v>525096</v>
      </c>
      <c r="AH63" s="19">
        <f t="shared" si="1"/>
        <v>520622</v>
      </c>
      <c r="AI63" s="19">
        <f t="shared" si="2"/>
        <v>14070.86486486485</v>
      </c>
    </row>
    <row r="64" spans="1:50" ht="12.75" customHeight="1">
      <c r="A64" s="4" t="s">
        <v>73</v>
      </c>
      <c r="B64" s="9" t="s">
        <v>481</v>
      </c>
      <c r="C64" s="5" t="s">
        <v>474</v>
      </c>
      <c r="D64" s="5" t="s">
        <v>483</v>
      </c>
      <c r="E64" s="5" t="s">
        <v>484</v>
      </c>
      <c r="F64" s="12" t="s">
        <v>474</v>
      </c>
      <c r="G64" s="12" t="s">
        <v>486</v>
      </c>
      <c r="H64" s="12" t="s">
        <v>462</v>
      </c>
      <c r="I64" s="8">
        <v>45231</v>
      </c>
      <c r="J64" s="10" t="s">
        <v>485</v>
      </c>
      <c r="K64" s="11">
        <v>2</v>
      </c>
      <c r="L64" s="11">
        <v>6</v>
      </c>
      <c r="M64" s="11">
        <v>1</v>
      </c>
      <c r="N64" s="6" t="s">
        <v>482</v>
      </c>
      <c r="O64" s="7">
        <v>35.299999999999997</v>
      </c>
      <c r="P64" s="7">
        <v>26.3</v>
      </c>
      <c r="Q64" s="7">
        <v>9.6999999999999993</v>
      </c>
      <c r="R64" s="4">
        <v>291</v>
      </c>
      <c r="S64" s="4">
        <f t="shared" si="0"/>
        <v>0.29099999999999998</v>
      </c>
      <c r="T64" s="4">
        <f t="shared" si="3"/>
        <v>2.4730878186968838E-2</v>
      </c>
      <c r="V64" s="4" t="s">
        <v>527</v>
      </c>
      <c r="W64" s="4" t="s">
        <v>73</v>
      </c>
      <c r="X64" s="4" t="s">
        <v>73</v>
      </c>
      <c r="Y64" s="4" t="s">
        <v>543</v>
      </c>
      <c r="Z64" s="4" t="s">
        <v>73</v>
      </c>
      <c r="AA64" s="4" t="s">
        <v>543</v>
      </c>
      <c r="AB64" s="20">
        <v>0.92120000000000002</v>
      </c>
      <c r="AC64" s="20">
        <v>0.93100000000000005</v>
      </c>
      <c r="AD64" s="19">
        <f t="shared" si="4"/>
        <v>9.8000000000000309</v>
      </c>
      <c r="AE64" s="19">
        <v>368725</v>
      </c>
      <c r="AF64" s="19">
        <v>252763</v>
      </c>
      <c r="AG64" s="19">
        <v>250726</v>
      </c>
      <c r="AH64" s="19">
        <f t="shared" si="1"/>
        <v>290738</v>
      </c>
      <c r="AI64" s="19">
        <f t="shared" si="2"/>
        <v>29667.142857142764</v>
      </c>
    </row>
    <row r="65" spans="1:50" ht="12.75" customHeight="1">
      <c r="A65" s="4" t="s">
        <v>655</v>
      </c>
      <c r="B65" s="9" t="s">
        <v>481</v>
      </c>
      <c r="C65" s="5" t="s">
        <v>474</v>
      </c>
      <c r="D65" s="5" t="s">
        <v>483</v>
      </c>
      <c r="E65" s="5" t="s">
        <v>484</v>
      </c>
      <c r="F65" s="12" t="s">
        <v>474</v>
      </c>
      <c r="G65" s="12" t="s">
        <v>486</v>
      </c>
      <c r="H65" s="12" t="s">
        <v>462</v>
      </c>
      <c r="I65" s="8">
        <v>45231</v>
      </c>
      <c r="J65" s="10" t="s">
        <v>485</v>
      </c>
      <c r="K65" s="11">
        <v>2</v>
      </c>
      <c r="L65" s="11">
        <v>6</v>
      </c>
      <c r="M65" s="11">
        <v>1</v>
      </c>
      <c r="N65" s="6" t="s">
        <v>482</v>
      </c>
      <c r="O65" s="7">
        <v>39</v>
      </c>
      <c r="P65" s="7">
        <v>30.3</v>
      </c>
      <c r="Q65" s="7">
        <v>9.5</v>
      </c>
      <c r="R65" s="4">
        <v>473</v>
      </c>
      <c r="S65" s="4">
        <f t="shared" si="0"/>
        <v>0.47299999999999998</v>
      </c>
      <c r="T65" s="4">
        <f t="shared" si="3"/>
        <v>3.6384615384615383E-2</v>
      </c>
      <c r="V65" s="4" t="s">
        <v>540</v>
      </c>
      <c r="W65" s="4" t="s">
        <v>655</v>
      </c>
      <c r="X65" s="4" t="s">
        <v>655</v>
      </c>
      <c r="Y65" s="4">
        <v>1</v>
      </c>
      <c r="Z65" s="4" t="s">
        <v>655</v>
      </c>
      <c r="AA65" s="4">
        <v>1</v>
      </c>
      <c r="AB65" s="24"/>
      <c r="AC65" s="24"/>
      <c r="AD65" s="25"/>
      <c r="AE65" s="26"/>
      <c r="AF65" s="24"/>
      <c r="AG65" s="25"/>
      <c r="AH65" s="25"/>
      <c r="AJ65" s="4">
        <v>0.93620000000000003</v>
      </c>
      <c r="AK65" s="4">
        <v>0.94489999999999996</v>
      </c>
      <c r="AL65" s="4">
        <v>0.93869999999999998</v>
      </c>
      <c r="AM65" s="4">
        <v>8.6999999999999994E-3</v>
      </c>
      <c r="AN65" s="4">
        <v>2.5000000000000001E-3</v>
      </c>
      <c r="AO65" s="4">
        <v>0.71264367819999996</v>
      </c>
      <c r="AP65" s="4">
        <v>71.264367820000004</v>
      </c>
      <c r="AQ65" s="4">
        <v>0.92730000000000001</v>
      </c>
      <c r="AR65" s="4">
        <v>0.96519999999999995</v>
      </c>
      <c r="AS65" s="4">
        <v>0.93600000000000005</v>
      </c>
      <c r="AT65" s="4">
        <v>3.7900000000000003E-2</v>
      </c>
      <c r="AU65" s="4">
        <v>8.6999999999999994E-3</v>
      </c>
      <c r="AV65" s="4">
        <v>0.77044854880000002</v>
      </c>
      <c r="AW65" s="4">
        <v>77.044854880000003</v>
      </c>
      <c r="AX65" s="27">
        <v>35.24</v>
      </c>
    </row>
    <row r="66" spans="1:50" ht="12.75" customHeight="1">
      <c r="A66" s="4" t="s">
        <v>656</v>
      </c>
      <c r="B66" s="9" t="s">
        <v>481</v>
      </c>
      <c r="C66" s="5" t="s">
        <v>474</v>
      </c>
      <c r="D66" s="5" t="s">
        <v>483</v>
      </c>
      <c r="E66" s="5" t="s">
        <v>484</v>
      </c>
      <c r="F66" s="12" t="s">
        <v>474</v>
      </c>
      <c r="G66" s="12" t="s">
        <v>486</v>
      </c>
      <c r="H66" s="12" t="s">
        <v>462</v>
      </c>
      <c r="I66" s="8">
        <v>45231</v>
      </c>
      <c r="J66" s="10" t="s">
        <v>485</v>
      </c>
      <c r="K66" s="11">
        <v>2</v>
      </c>
      <c r="L66" s="11">
        <v>6</v>
      </c>
      <c r="M66" s="11">
        <v>1</v>
      </c>
      <c r="N66" s="6" t="s">
        <v>482</v>
      </c>
      <c r="O66" s="7">
        <v>44.1</v>
      </c>
      <c r="P66" s="7">
        <v>33.5</v>
      </c>
      <c r="Q66" s="7">
        <v>12</v>
      </c>
      <c r="R66" s="4">
        <v>696</v>
      </c>
      <c r="S66" s="4">
        <f t="shared" ref="S66:S129" si="5">R66/1000</f>
        <v>0.69599999999999995</v>
      </c>
      <c r="T66" s="4">
        <f t="shared" si="3"/>
        <v>4.7346938775510196E-2</v>
      </c>
      <c r="V66" s="4" t="s">
        <v>540</v>
      </c>
      <c r="W66" s="4" t="s">
        <v>656</v>
      </c>
      <c r="X66" s="4" t="s">
        <v>656</v>
      </c>
      <c r="Y66" s="4">
        <v>2</v>
      </c>
      <c r="Z66" s="4" t="s">
        <v>656</v>
      </c>
      <c r="AA66" s="4">
        <v>2</v>
      </c>
      <c r="AB66" s="24"/>
      <c r="AC66" s="24"/>
      <c r="AD66" s="25"/>
      <c r="AE66" s="26"/>
      <c r="AF66" s="24"/>
      <c r="AG66" s="25"/>
      <c r="AH66" s="25"/>
      <c r="AJ66" s="4">
        <v>0.91900000000000004</v>
      </c>
      <c r="AK66" s="4">
        <v>0.93269999999999997</v>
      </c>
      <c r="AL66" s="4">
        <v>0.92179999999999995</v>
      </c>
      <c r="AM66" s="4">
        <v>1.37E-2</v>
      </c>
      <c r="AN66" s="4">
        <v>2.8E-3</v>
      </c>
      <c r="AO66" s="4">
        <v>0.79562043800000004</v>
      </c>
      <c r="AP66" s="4">
        <v>79.562043799999998</v>
      </c>
      <c r="AQ66" s="4">
        <v>0.9163</v>
      </c>
      <c r="AR66" s="4">
        <v>0.94340000000000002</v>
      </c>
      <c r="AS66" s="4">
        <v>0.92220000000000002</v>
      </c>
      <c r="AT66" s="4">
        <v>2.7099999999999999E-2</v>
      </c>
      <c r="AU66" s="4">
        <v>5.8999999999999999E-3</v>
      </c>
      <c r="AV66" s="4">
        <v>0.78228782289999999</v>
      </c>
      <c r="AW66" s="4">
        <v>78.228782289999998</v>
      </c>
      <c r="AX66" s="27">
        <v>28.655000000000001</v>
      </c>
    </row>
    <row r="67" spans="1:50" ht="12.75" customHeight="1">
      <c r="A67" s="4" t="s">
        <v>657</v>
      </c>
      <c r="B67" s="9" t="s">
        <v>481</v>
      </c>
      <c r="C67" s="5" t="s">
        <v>474</v>
      </c>
      <c r="D67" s="5" t="s">
        <v>483</v>
      </c>
      <c r="E67" s="5" t="s">
        <v>484</v>
      </c>
      <c r="F67" s="12" t="s">
        <v>474</v>
      </c>
      <c r="G67" s="12" t="s">
        <v>486</v>
      </c>
      <c r="H67" s="12" t="s">
        <v>462</v>
      </c>
      <c r="I67" s="8">
        <v>45231</v>
      </c>
      <c r="J67" s="10" t="s">
        <v>485</v>
      </c>
      <c r="K67" s="11">
        <v>2</v>
      </c>
      <c r="L67" s="11">
        <v>6</v>
      </c>
      <c r="M67" s="11">
        <v>1</v>
      </c>
      <c r="N67" s="6" t="s">
        <v>482</v>
      </c>
      <c r="O67" s="7">
        <v>36.1</v>
      </c>
      <c r="P67" s="7">
        <v>28.4</v>
      </c>
      <c r="Q67" s="7">
        <v>9.5</v>
      </c>
      <c r="R67" s="4">
        <v>359</v>
      </c>
      <c r="S67" s="4">
        <f t="shared" si="5"/>
        <v>0.35899999999999999</v>
      </c>
      <c r="T67" s="4">
        <f t="shared" ref="T67:T130" si="6">S67/O67*3</f>
        <v>2.983379501385041E-2</v>
      </c>
      <c r="V67" s="4" t="s">
        <v>540</v>
      </c>
      <c r="W67" s="4" t="s">
        <v>657</v>
      </c>
      <c r="X67" s="4" t="s">
        <v>657</v>
      </c>
      <c r="Y67" s="4">
        <v>3</v>
      </c>
      <c r="Z67" s="4" t="s">
        <v>657</v>
      </c>
      <c r="AA67" s="4">
        <v>3</v>
      </c>
      <c r="AB67" s="24"/>
      <c r="AC67" s="24"/>
      <c r="AD67" s="25"/>
      <c r="AE67" s="26"/>
      <c r="AF67" s="24"/>
      <c r="AG67" s="25"/>
      <c r="AH67" s="25"/>
      <c r="AJ67" s="4">
        <v>0.90849999999999997</v>
      </c>
      <c r="AK67" s="4">
        <v>0.91439999999999999</v>
      </c>
      <c r="AL67" s="4">
        <v>0.90980000000000005</v>
      </c>
      <c r="AM67" s="4">
        <v>5.8999999999999999E-3</v>
      </c>
      <c r="AN67" s="4">
        <v>1.2999999999999999E-3</v>
      </c>
      <c r="AO67" s="4">
        <v>0.7796610169</v>
      </c>
      <c r="AP67" s="4">
        <v>77.966101690000002</v>
      </c>
      <c r="AQ67" s="4">
        <v>1.1351</v>
      </c>
      <c r="AR67" s="4">
        <v>1.1691</v>
      </c>
      <c r="AS67" s="4">
        <v>1.1415999999999999</v>
      </c>
      <c r="AT67" s="4">
        <v>3.4000000000000002E-2</v>
      </c>
      <c r="AU67" s="4">
        <v>6.4999999999999997E-3</v>
      </c>
      <c r="AV67" s="4">
        <v>0.80882352940000002</v>
      </c>
      <c r="AW67" s="4">
        <v>80.882352940000004</v>
      </c>
    </row>
    <row r="68" spans="1:50" ht="12.75" customHeight="1">
      <c r="A68" s="4" t="s">
        <v>658</v>
      </c>
      <c r="B68" s="9" t="s">
        <v>481</v>
      </c>
      <c r="C68" s="5" t="s">
        <v>474</v>
      </c>
      <c r="D68" s="5" t="s">
        <v>483</v>
      </c>
      <c r="E68" s="5" t="s">
        <v>484</v>
      </c>
      <c r="F68" s="12" t="s">
        <v>474</v>
      </c>
      <c r="G68" s="12" t="s">
        <v>486</v>
      </c>
      <c r="H68" s="12" t="s">
        <v>462</v>
      </c>
      <c r="I68" s="8">
        <v>45231</v>
      </c>
      <c r="J68" s="10" t="s">
        <v>485</v>
      </c>
      <c r="K68" s="11">
        <v>2</v>
      </c>
      <c r="L68" s="11">
        <v>6</v>
      </c>
      <c r="M68" s="11">
        <v>1</v>
      </c>
      <c r="N68" s="6" t="s">
        <v>482</v>
      </c>
      <c r="O68" s="7">
        <v>36.700000000000003</v>
      </c>
      <c r="P68" s="7">
        <v>28.6</v>
      </c>
      <c r="Q68" s="7">
        <v>9.6</v>
      </c>
      <c r="R68" s="4">
        <v>365</v>
      </c>
      <c r="S68" s="4">
        <f t="shared" si="5"/>
        <v>0.36499999999999999</v>
      </c>
      <c r="T68" s="4">
        <f t="shared" si="6"/>
        <v>2.9836512261580378E-2</v>
      </c>
      <c r="V68" s="4" t="s">
        <v>540</v>
      </c>
      <c r="W68" s="4" t="s">
        <v>658</v>
      </c>
      <c r="X68" s="4" t="s">
        <v>658</v>
      </c>
      <c r="Y68" s="4">
        <v>4</v>
      </c>
      <c r="Z68" s="4" t="s">
        <v>658</v>
      </c>
      <c r="AA68" s="4">
        <v>4</v>
      </c>
      <c r="AB68" s="24"/>
      <c r="AC68" s="24"/>
      <c r="AD68" s="25"/>
      <c r="AE68" s="26"/>
      <c r="AF68" s="24"/>
      <c r="AG68" s="25"/>
      <c r="AH68" s="25"/>
      <c r="AJ68" s="4">
        <v>1.1177999999999999</v>
      </c>
      <c r="AK68" s="4">
        <v>1.1273</v>
      </c>
      <c r="AL68" s="4">
        <v>1.1198999999999999</v>
      </c>
      <c r="AM68" s="4">
        <v>9.4999999999999998E-3</v>
      </c>
      <c r="AN68" s="4">
        <v>2.0999999999999999E-3</v>
      </c>
      <c r="AO68" s="4">
        <v>0.77894736840000001</v>
      </c>
      <c r="AP68" s="4">
        <v>77.894736839999993</v>
      </c>
      <c r="AQ68" s="4">
        <v>1.0998000000000001</v>
      </c>
      <c r="AR68" s="4">
        <v>1.1426000000000001</v>
      </c>
      <c r="AS68" s="4">
        <v>1.1089</v>
      </c>
      <c r="AT68" s="4">
        <v>4.2799999999999998E-2</v>
      </c>
      <c r="AU68" s="4">
        <v>9.1000000000000004E-3</v>
      </c>
      <c r="AV68" s="4">
        <v>0.78738317759999998</v>
      </c>
      <c r="AW68" s="4">
        <v>78.738317760000001</v>
      </c>
      <c r="AX68" s="27">
        <v>32.094999999999999</v>
      </c>
    </row>
    <row r="69" spans="1:50" ht="12.75" customHeight="1">
      <c r="A69" s="4" t="s">
        <v>659</v>
      </c>
      <c r="B69" s="9" t="s">
        <v>481</v>
      </c>
      <c r="C69" s="5" t="s">
        <v>474</v>
      </c>
      <c r="D69" s="5" t="s">
        <v>483</v>
      </c>
      <c r="E69" s="5" t="s">
        <v>484</v>
      </c>
      <c r="F69" s="12" t="s">
        <v>474</v>
      </c>
      <c r="G69" s="12" t="s">
        <v>486</v>
      </c>
      <c r="H69" s="12" t="s">
        <v>462</v>
      </c>
      <c r="I69" s="8">
        <v>45231</v>
      </c>
      <c r="J69" s="10" t="s">
        <v>485</v>
      </c>
      <c r="K69" s="11">
        <v>2</v>
      </c>
      <c r="L69" s="11">
        <v>6</v>
      </c>
      <c r="M69" s="11">
        <v>1</v>
      </c>
      <c r="N69" s="6" t="s">
        <v>482</v>
      </c>
      <c r="O69" s="7">
        <v>41.6</v>
      </c>
      <c r="P69" s="7">
        <v>39.5</v>
      </c>
      <c r="Q69" s="7">
        <v>11</v>
      </c>
      <c r="R69" s="4">
        <v>457</v>
      </c>
      <c r="S69" s="4">
        <f t="shared" si="5"/>
        <v>0.45700000000000002</v>
      </c>
      <c r="T69" s="4">
        <f t="shared" si="6"/>
        <v>3.2956730769230766E-2</v>
      </c>
      <c r="V69" s="4" t="s">
        <v>540</v>
      </c>
      <c r="W69" s="4" t="s">
        <v>659</v>
      </c>
      <c r="X69" s="4" t="s">
        <v>659</v>
      </c>
      <c r="Y69" s="4">
        <v>5</v>
      </c>
      <c r="Z69" s="4" t="s">
        <v>659</v>
      </c>
      <c r="AA69" s="4">
        <v>5</v>
      </c>
      <c r="AB69" s="24"/>
      <c r="AC69" s="24"/>
      <c r="AD69" s="25"/>
      <c r="AE69" s="26"/>
      <c r="AF69" s="24"/>
      <c r="AG69" s="25"/>
      <c r="AH69" s="25"/>
      <c r="AJ69" s="4">
        <v>0.93220000000000003</v>
      </c>
      <c r="AK69" s="4">
        <v>0.94699999999999995</v>
      </c>
      <c r="AL69" s="4">
        <v>0.93469999999999998</v>
      </c>
      <c r="AM69" s="4">
        <v>1.4800000000000001E-2</v>
      </c>
      <c r="AN69" s="4">
        <v>2.5000000000000001E-3</v>
      </c>
      <c r="AO69" s="4">
        <v>0.83108108110000001</v>
      </c>
      <c r="AP69" s="4">
        <v>83.108108110000003</v>
      </c>
      <c r="AQ69" s="4">
        <v>0.93159999999999998</v>
      </c>
      <c r="AR69" s="4">
        <v>0.97629999999999995</v>
      </c>
      <c r="AS69" s="4">
        <v>0.94069999999999998</v>
      </c>
      <c r="AT69" s="4">
        <v>4.4699999999999997E-2</v>
      </c>
      <c r="AU69" s="4">
        <v>9.1000000000000004E-3</v>
      </c>
      <c r="AV69" s="4">
        <v>0.79642058169999996</v>
      </c>
      <c r="AW69" s="4">
        <v>79.642058169999999</v>
      </c>
      <c r="AX69" s="27">
        <v>31.925000000000001</v>
      </c>
    </row>
    <row r="70" spans="1:50" ht="12.75" customHeight="1">
      <c r="A70" s="4" t="s">
        <v>660</v>
      </c>
      <c r="B70" s="9" t="s">
        <v>481</v>
      </c>
      <c r="C70" s="5" t="s">
        <v>474</v>
      </c>
      <c r="D70" s="5" t="s">
        <v>483</v>
      </c>
      <c r="E70" s="5" t="s">
        <v>484</v>
      </c>
      <c r="F70" s="12" t="s">
        <v>474</v>
      </c>
      <c r="G70" s="12" t="s">
        <v>486</v>
      </c>
      <c r="H70" s="12" t="s">
        <v>462</v>
      </c>
      <c r="I70" s="8">
        <v>45231</v>
      </c>
      <c r="J70" s="10" t="s">
        <v>485</v>
      </c>
      <c r="K70" s="11">
        <v>2</v>
      </c>
      <c r="L70" s="11">
        <v>6</v>
      </c>
      <c r="M70" s="11">
        <v>1</v>
      </c>
      <c r="N70" s="6" t="s">
        <v>482</v>
      </c>
      <c r="O70" s="7">
        <v>31</v>
      </c>
      <c r="P70" s="7">
        <v>23.4</v>
      </c>
      <c r="Q70" s="7">
        <v>8.6</v>
      </c>
      <c r="R70" s="4">
        <v>190</v>
      </c>
      <c r="S70" s="13">
        <f t="shared" si="5"/>
        <v>0.19</v>
      </c>
      <c r="T70" s="4">
        <f t="shared" si="6"/>
        <v>1.8387096774193548E-2</v>
      </c>
      <c r="V70" s="4" t="s">
        <v>540</v>
      </c>
      <c r="W70" s="4" t="s">
        <v>660</v>
      </c>
      <c r="X70" s="4" t="s">
        <v>660</v>
      </c>
      <c r="Y70" s="4">
        <v>6</v>
      </c>
      <c r="Z70" s="4" t="s">
        <v>660</v>
      </c>
      <c r="AA70" s="4">
        <v>6</v>
      </c>
      <c r="AB70" s="24"/>
      <c r="AC70" s="24"/>
      <c r="AD70" s="25"/>
      <c r="AE70" s="26"/>
      <c r="AF70" s="24"/>
      <c r="AG70" s="25"/>
      <c r="AH70" s="25"/>
      <c r="AJ70" s="4">
        <v>0.91420000000000001</v>
      </c>
      <c r="AK70" s="4">
        <v>0.91859999999999997</v>
      </c>
      <c r="AL70" s="4">
        <v>0.91479999999999995</v>
      </c>
      <c r="AM70" s="4">
        <v>4.4000000000000003E-3</v>
      </c>
      <c r="AN70" s="4">
        <v>5.9999999999999995E-4</v>
      </c>
      <c r="AO70" s="4">
        <v>0.86363636359999996</v>
      </c>
      <c r="AP70" s="4">
        <v>86.363636360000001</v>
      </c>
      <c r="AQ70" s="4">
        <v>0.91220000000000001</v>
      </c>
      <c r="AR70" s="4">
        <v>0.93020000000000003</v>
      </c>
      <c r="AS70" s="4">
        <v>0.91620000000000001</v>
      </c>
      <c r="AT70" s="4">
        <v>1.7999999999999999E-2</v>
      </c>
      <c r="AU70" s="4">
        <v>4.0000000000000001E-3</v>
      </c>
      <c r="AV70" s="4">
        <v>0.77777777780000001</v>
      </c>
      <c r="AW70" s="4">
        <v>77.777777779999994</v>
      </c>
      <c r="AX70" s="27">
        <v>28.545000000000002</v>
      </c>
    </row>
    <row r="71" spans="1:50" ht="12.75" customHeight="1">
      <c r="A71" s="4" t="s">
        <v>661</v>
      </c>
      <c r="B71" s="9" t="s">
        <v>481</v>
      </c>
      <c r="C71" s="5" t="s">
        <v>474</v>
      </c>
      <c r="D71" s="5" t="s">
        <v>483</v>
      </c>
      <c r="E71" s="5" t="s">
        <v>484</v>
      </c>
      <c r="F71" s="12" t="s">
        <v>474</v>
      </c>
      <c r="G71" s="12" t="s">
        <v>486</v>
      </c>
      <c r="H71" s="12" t="s">
        <v>462</v>
      </c>
      <c r="I71" s="8">
        <v>45231</v>
      </c>
      <c r="J71" s="10" t="s">
        <v>485</v>
      </c>
      <c r="K71" s="11">
        <v>2</v>
      </c>
      <c r="L71" s="11">
        <v>6</v>
      </c>
      <c r="M71" s="11">
        <v>1</v>
      </c>
      <c r="N71" s="6" t="s">
        <v>482</v>
      </c>
      <c r="O71" s="7">
        <v>34.1</v>
      </c>
      <c r="P71" s="7">
        <v>26.1</v>
      </c>
      <c r="Q71" s="7">
        <v>8</v>
      </c>
      <c r="R71" s="4">
        <v>263</v>
      </c>
      <c r="S71" s="4">
        <f t="shared" si="5"/>
        <v>0.26300000000000001</v>
      </c>
      <c r="T71" s="4">
        <f t="shared" si="6"/>
        <v>2.3137829912023459E-2</v>
      </c>
      <c r="V71" s="4" t="s">
        <v>540</v>
      </c>
      <c r="W71" s="4" t="s">
        <v>661</v>
      </c>
      <c r="X71" s="4" t="s">
        <v>661</v>
      </c>
      <c r="Y71" s="4">
        <v>7</v>
      </c>
      <c r="Z71" s="4" t="s">
        <v>661</v>
      </c>
      <c r="AA71" s="4">
        <v>7</v>
      </c>
      <c r="AB71" s="24"/>
      <c r="AC71" s="24"/>
      <c r="AD71" s="25"/>
      <c r="AE71" s="26"/>
      <c r="AF71" s="24"/>
      <c r="AG71" s="25"/>
      <c r="AH71" s="25"/>
      <c r="AJ71" s="4">
        <v>0.92779999999999996</v>
      </c>
      <c r="AK71" s="4">
        <v>0.93310000000000004</v>
      </c>
      <c r="AL71" s="4">
        <v>0.92869999999999997</v>
      </c>
      <c r="AM71" s="4">
        <v>5.3E-3</v>
      </c>
      <c r="AN71" s="4">
        <v>8.9999999999999998E-4</v>
      </c>
      <c r="AO71" s="4">
        <v>0.83018867919999995</v>
      </c>
      <c r="AP71" s="4">
        <v>83.018867920000005</v>
      </c>
      <c r="AQ71" s="4">
        <v>1.1019000000000001</v>
      </c>
      <c r="AR71" s="4">
        <v>1.1283000000000001</v>
      </c>
      <c r="AS71" s="4">
        <v>1.1075999999999999</v>
      </c>
      <c r="AT71" s="4">
        <v>2.64E-2</v>
      </c>
      <c r="AU71" s="4">
        <v>5.7000000000000002E-3</v>
      </c>
      <c r="AV71" s="4">
        <v>0.78409090910000001</v>
      </c>
      <c r="AW71" s="4">
        <v>78.409090910000003</v>
      </c>
    </row>
    <row r="72" spans="1:50" ht="12.75" customHeight="1">
      <c r="A72" s="4" t="s">
        <v>662</v>
      </c>
      <c r="B72" s="9" t="s">
        <v>481</v>
      </c>
      <c r="C72" s="5" t="s">
        <v>474</v>
      </c>
      <c r="D72" s="5" t="s">
        <v>483</v>
      </c>
      <c r="E72" s="5" t="s">
        <v>484</v>
      </c>
      <c r="F72" s="12" t="s">
        <v>474</v>
      </c>
      <c r="G72" s="12" t="s">
        <v>486</v>
      </c>
      <c r="H72" s="12" t="s">
        <v>462</v>
      </c>
      <c r="I72" s="8">
        <v>45231</v>
      </c>
      <c r="J72" s="10" t="s">
        <v>485</v>
      </c>
      <c r="K72" s="11">
        <v>2</v>
      </c>
      <c r="L72" s="11">
        <v>6</v>
      </c>
      <c r="M72" s="11">
        <v>1</v>
      </c>
      <c r="N72" s="6" t="s">
        <v>482</v>
      </c>
      <c r="O72" s="7">
        <v>32.9</v>
      </c>
      <c r="P72" s="7">
        <v>26</v>
      </c>
      <c r="Q72" s="7">
        <v>8.9</v>
      </c>
      <c r="R72" s="4">
        <v>348</v>
      </c>
      <c r="S72" s="4">
        <f t="shared" si="5"/>
        <v>0.34799999999999998</v>
      </c>
      <c r="T72" s="4">
        <f t="shared" si="6"/>
        <v>3.173252279635258E-2</v>
      </c>
      <c r="V72" s="4" t="s">
        <v>540</v>
      </c>
      <c r="W72" s="4" t="s">
        <v>662</v>
      </c>
      <c r="X72" s="4" t="s">
        <v>662</v>
      </c>
      <c r="Y72" s="4">
        <v>8</v>
      </c>
      <c r="Z72" s="4" t="s">
        <v>662</v>
      </c>
      <c r="AA72" s="4">
        <v>8</v>
      </c>
      <c r="AB72" s="24"/>
      <c r="AC72" s="24"/>
      <c r="AD72" s="25"/>
      <c r="AE72" s="26"/>
      <c r="AF72" s="24"/>
      <c r="AG72" s="25"/>
      <c r="AH72" s="25"/>
      <c r="AJ72" s="4">
        <v>0.91890000000000005</v>
      </c>
      <c r="AK72" s="4">
        <v>0.92649999999999999</v>
      </c>
      <c r="AL72" s="4">
        <v>0.92069999999999996</v>
      </c>
      <c r="AM72" s="4">
        <v>7.6E-3</v>
      </c>
      <c r="AN72" s="4">
        <v>1.8E-3</v>
      </c>
      <c r="AO72" s="4">
        <v>0.76315789469999995</v>
      </c>
      <c r="AP72" s="4">
        <v>76.315789469999999</v>
      </c>
      <c r="AQ72" s="4">
        <v>0.92230000000000001</v>
      </c>
      <c r="AR72" s="4">
        <v>0.94499999999999995</v>
      </c>
      <c r="AS72" s="4">
        <v>0.92700000000000005</v>
      </c>
      <c r="AT72" s="4">
        <v>2.2700000000000001E-2</v>
      </c>
      <c r="AU72" s="4">
        <v>4.7000000000000002E-3</v>
      </c>
      <c r="AV72" s="4">
        <v>0.79295154189999995</v>
      </c>
      <c r="AW72" s="4">
        <v>79.295154190000005</v>
      </c>
    </row>
    <row r="73" spans="1:50" ht="12.75" customHeight="1">
      <c r="A73" s="4" t="s">
        <v>663</v>
      </c>
      <c r="B73" s="9" t="s">
        <v>481</v>
      </c>
      <c r="C73" s="5" t="s">
        <v>474</v>
      </c>
      <c r="D73" s="5" t="s">
        <v>483</v>
      </c>
      <c r="E73" s="5" t="s">
        <v>484</v>
      </c>
      <c r="F73" s="12" t="s">
        <v>474</v>
      </c>
      <c r="G73" s="12" t="s">
        <v>486</v>
      </c>
      <c r="H73" s="12" t="s">
        <v>462</v>
      </c>
      <c r="I73" s="8">
        <v>45231</v>
      </c>
      <c r="J73" s="10" t="s">
        <v>485</v>
      </c>
      <c r="K73" s="11">
        <v>2</v>
      </c>
      <c r="L73" s="11">
        <v>6</v>
      </c>
      <c r="M73" s="11">
        <v>1</v>
      </c>
      <c r="N73" s="6" t="s">
        <v>482</v>
      </c>
      <c r="O73" s="7">
        <v>28</v>
      </c>
      <c r="P73" s="7">
        <v>19</v>
      </c>
      <c r="Q73" s="7">
        <v>6.2</v>
      </c>
      <c r="R73" s="4">
        <v>185</v>
      </c>
      <c r="S73" s="4">
        <f t="shared" si="5"/>
        <v>0.185</v>
      </c>
      <c r="T73" s="4">
        <f t="shared" si="6"/>
        <v>1.9821428571428573E-2</v>
      </c>
      <c r="U73" s="4" t="s">
        <v>86</v>
      </c>
      <c r="V73" s="4" t="s">
        <v>540</v>
      </c>
      <c r="W73" s="4" t="s">
        <v>663</v>
      </c>
      <c r="X73" s="4" t="s">
        <v>663</v>
      </c>
      <c r="Y73" s="4">
        <v>9</v>
      </c>
      <c r="Z73" s="4" t="s">
        <v>663</v>
      </c>
      <c r="AA73" s="4">
        <v>9</v>
      </c>
      <c r="AB73" s="24"/>
      <c r="AC73" s="24"/>
      <c r="AD73" s="25"/>
      <c r="AE73" s="26"/>
      <c r="AF73" s="24"/>
      <c r="AG73" s="25"/>
      <c r="AH73" s="25"/>
      <c r="AJ73" s="4">
        <v>0.92949999999999999</v>
      </c>
      <c r="AK73" s="4">
        <v>0.93369999999999997</v>
      </c>
      <c r="AL73" s="4">
        <v>0.93010000000000004</v>
      </c>
      <c r="AM73" s="4">
        <v>4.1999999999999997E-3</v>
      </c>
      <c r="AN73" s="4">
        <v>5.9999999999999995E-4</v>
      </c>
      <c r="AO73" s="4">
        <v>0.85714285710000004</v>
      </c>
      <c r="AP73" s="4">
        <v>85.714285709999999</v>
      </c>
      <c r="AQ73" s="4">
        <v>0.93659999999999999</v>
      </c>
      <c r="AR73" s="4">
        <v>0.96040000000000003</v>
      </c>
      <c r="AS73" s="4">
        <v>0.94169999999999998</v>
      </c>
      <c r="AT73" s="4">
        <v>2.3800000000000002E-2</v>
      </c>
      <c r="AU73" s="4">
        <v>5.1000000000000004E-3</v>
      </c>
      <c r="AV73" s="4">
        <v>0.78571428570000001</v>
      </c>
      <c r="AW73" s="4">
        <v>78.571428569999995</v>
      </c>
    </row>
    <row r="74" spans="1:50" ht="12.75" customHeight="1">
      <c r="A74" s="4" t="s">
        <v>664</v>
      </c>
      <c r="B74" s="9" t="s">
        <v>481</v>
      </c>
      <c r="C74" s="5" t="s">
        <v>474</v>
      </c>
      <c r="D74" s="5" t="s">
        <v>483</v>
      </c>
      <c r="E74" s="5" t="s">
        <v>484</v>
      </c>
      <c r="F74" s="12" t="s">
        <v>474</v>
      </c>
      <c r="G74" s="12" t="s">
        <v>486</v>
      </c>
      <c r="H74" s="12" t="s">
        <v>462</v>
      </c>
      <c r="I74" s="8">
        <v>45231</v>
      </c>
      <c r="J74" s="10" t="s">
        <v>485</v>
      </c>
      <c r="K74" s="11">
        <v>2</v>
      </c>
      <c r="L74" s="11">
        <v>6</v>
      </c>
      <c r="M74" s="11">
        <v>1</v>
      </c>
      <c r="N74" s="6" t="s">
        <v>482</v>
      </c>
      <c r="O74" s="7">
        <v>31.1</v>
      </c>
      <c r="P74" s="7">
        <v>23.3</v>
      </c>
      <c r="Q74" s="7">
        <v>7.7</v>
      </c>
      <c r="R74" s="4">
        <v>174</v>
      </c>
      <c r="S74" s="4">
        <f t="shared" si="5"/>
        <v>0.17399999999999999</v>
      </c>
      <c r="T74" s="4">
        <f t="shared" si="6"/>
        <v>1.6784565916398712E-2</v>
      </c>
      <c r="V74" s="4" t="s">
        <v>540</v>
      </c>
      <c r="W74" s="4" t="s">
        <v>664</v>
      </c>
      <c r="X74" s="4" t="s">
        <v>664</v>
      </c>
      <c r="Y74" s="4">
        <v>10</v>
      </c>
      <c r="Z74" s="4" t="s">
        <v>664</v>
      </c>
      <c r="AA74" s="4">
        <v>10</v>
      </c>
      <c r="AB74" s="24"/>
      <c r="AC74" s="24"/>
      <c r="AD74" s="25"/>
      <c r="AE74" s="26"/>
      <c r="AF74" s="24"/>
      <c r="AG74" s="25"/>
      <c r="AH74" s="25"/>
      <c r="AJ74" s="4">
        <v>0.93679999999999997</v>
      </c>
      <c r="AK74" s="4">
        <v>0.93779999999999997</v>
      </c>
      <c r="AL74" s="4">
        <v>0.93689999999999996</v>
      </c>
      <c r="AM74" s="4">
        <v>1E-3</v>
      </c>
      <c r="AN74" s="4">
        <v>1E-4</v>
      </c>
      <c r="AO74" s="4">
        <v>0.9</v>
      </c>
      <c r="AP74" s="4">
        <v>90</v>
      </c>
      <c r="AQ74" s="4">
        <v>0.91239999999999999</v>
      </c>
      <c r="AR74" s="4">
        <v>0.9294</v>
      </c>
      <c r="AS74" s="4">
        <v>0.9153</v>
      </c>
      <c r="AT74" s="4">
        <v>1.7000000000000001E-2</v>
      </c>
      <c r="AU74" s="4">
        <v>2.8999999999999998E-3</v>
      </c>
      <c r="AV74" s="4">
        <v>0.8294117647</v>
      </c>
      <c r="AW74" s="4">
        <v>82.941176470000002</v>
      </c>
    </row>
    <row r="75" spans="1:50" ht="12.75" customHeight="1">
      <c r="A75" s="4" t="s">
        <v>88</v>
      </c>
      <c r="B75" s="14" t="s">
        <v>481</v>
      </c>
      <c r="C75" s="4" t="s">
        <v>474</v>
      </c>
      <c r="D75" s="4" t="s">
        <v>483</v>
      </c>
      <c r="E75" s="4" t="s">
        <v>484</v>
      </c>
      <c r="F75" s="4" t="s">
        <v>474</v>
      </c>
      <c r="G75" s="4" t="s">
        <v>486</v>
      </c>
      <c r="H75" s="4" t="s">
        <v>462</v>
      </c>
      <c r="I75" s="8">
        <v>45231</v>
      </c>
      <c r="J75" s="4" t="s">
        <v>485</v>
      </c>
      <c r="K75" s="11">
        <v>2</v>
      </c>
      <c r="L75" s="11">
        <v>6</v>
      </c>
      <c r="M75" s="11">
        <v>1</v>
      </c>
      <c r="N75" s="6" t="s">
        <v>482</v>
      </c>
      <c r="O75" s="4">
        <v>21.2</v>
      </c>
      <c r="P75" s="4">
        <v>18.8</v>
      </c>
      <c r="Q75" s="4">
        <v>5.8</v>
      </c>
      <c r="R75" s="4">
        <v>126</v>
      </c>
      <c r="S75" s="4">
        <f t="shared" si="5"/>
        <v>0.126</v>
      </c>
      <c r="T75" s="4">
        <f t="shared" si="6"/>
        <v>1.7830188679245282E-2</v>
      </c>
      <c r="V75" s="4" t="s">
        <v>533</v>
      </c>
      <c r="W75" s="4" t="s">
        <v>88</v>
      </c>
      <c r="AB75" s="20"/>
      <c r="AC75" s="20"/>
      <c r="AD75" s="19"/>
      <c r="AE75" s="19"/>
      <c r="AF75" s="19"/>
      <c r="AG75" s="19"/>
      <c r="AH75" s="19"/>
      <c r="AI75" s="19"/>
    </row>
    <row r="76" spans="1:50" ht="12.75" customHeight="1">
      <c r="A76" s="4" t="s">
        <v>89</v>
      </c>
      <c r="B76" s="14" t="s">
        <v>481</v>
      </c>
      <c r="C76" s="4" t="s">
        <v>474</v>
      </c>
      <c r="D76" s="4" t="s">
        <v>483</v>
      </c>
      <c r="E76" s="4" t="s">
        <v>484</v>
      </c>
      <c r="F76" s="4" t="s">
        <v>474</v>
      </c>
      <c r="G76" s="4" t="s">
        <v>486</v>
      </c>
      <c r="H76" s="4" t="s">
        <v>462</v>
      </c>
      <c r="I76" s="8">
        <v>45231</v>
      </c>
      <c r="J76" s="4" t="s">
        <v>485</v>
      </c>
      <c r="K76" s="11">
        <v>2</v>
      </c>
      <c r="L76" s="11">
        <v>6</v>
      </c>
      <c r="M76" s="11">
        <v>1</v>
      </c>
      <c r="N76" s="6" t="s">
        <v>482</v>
      </c>
      <c r="O76" s="4">
        <v>31.4</v>
      </c>
      <c r="P76" s="4">
        <v>29</v>
      </c>
      <c r="Q76" s="4">
        <v>7.4</v>
      </c>
      <c r="R76" s="4">
        <v>274</v>
      </c>
      <c r="S76" s="4">
        <f t="shared" si="5"/>
        <v>0.27400000000000002</v>
      </c>
      <c r="T76" s="4">
        <f t="shared" si="6"/>
        <v>2.6178343949044586E-2</v>
      </c>
      <c r="V76" s="4" t="s">
        <v>533</v>
      </c>
      <c r="W76" s="4" t="s">
        <v>89</v>
      </c>
      <c r="AB76" s="20"/>
      <c r="AC76" s="20"/>
      <c r="AD76" s="19"/>
      <c r="AE76" s="19"/>
      <c r="AF76" s="19"/>
      <c r="AG76" s="19"/>
      <c r="AH76" s="19"/>
      <c r="AI76" s="19"/>
    </row>
    <row r="77" spans="1:50" ht="12.75" customHeight="1">
      <c r="A77" s="4" t="s">
        <v>90</v>
      </c>
      <c r="B77" s="14" t="s">
        <v>481</v>
      </c>
      <c r="C77" s="4" t="s">
        <v>474</v>
      </c>
      <c r="D77" s="4" t="s">
        <v>483</v>
      </c>
      <c r="E77" s="4" t="s">
        <v>484</v>
      </c>
      <c r="F77" s="4" t="s">
        <v>474</v>
      </c>
      <c r="G77" s="4" t="s">
        <v>486</v>
      </c>
      <c r="H77" s="4" t="s">
        <v>462</v>
      </c>
      <c r="I77" s="8">
        <v>45231</v>
      </c>
      <c r="J77" s="4" t="s">
        <v>485</v>
      </c>
      <c r="K77" s="11">
        <v>2</v>
      </c>
      <c r="L77" s="11">
        <v>6</v>
      </c>
      <c r="M77" s="11">
        <v>1</v>
      </c>
      <c r="N77" s="6" t="s">
        <v>482</v>
      </c>
      <c r="O77" s="4">
        <v>25.4</v>
      </c>
      <c r="P77" s="4">
        <v>21.4</v>
      </c>
      <c r="Q77" s="4">
        <v>7</v>
      </c>
      <c r="R77" s="4">
        <v>188</v>
      </c>
      <c r="S77" s="4">
        <f t="shared" si="5"/>
        <v>0.188</v>
      </c>
      <c r="T77" s="4">
        <f t="shared" si="6"/>
        <v>2.2204724409448821E-2</v>
      </c>
      <c r="V77" s="4" t="s">
        <v>533</v>
      </c>
      <c r="W77" s="4" t="s">
        <v>90</v>
      </c>
      <c r="AB77" s="20"/>
      <c r="AC77" s="20"/>
      <c r="AD77" s="19"/>
      <c r="AE77" s="19"/>
      <c r="AF77" s="19"/>
      <c r="AG77" s="19"/>
      <c r="AH77" s="19"/>
      <c r="AI77" s="19"/>
    </row>
    <row r="78" spans="1:50" ht="12.75" customHeight="1">
      <c r="A78" s="4" t="s">
        <v>91</v>
      </c>
      <c r="B78" s="14" t="s">
        <v>481</v>
      </c>
      <c r="C78" s="4" t="s">
        <v>474</v>
      </c>
      <c r="D78" s="4" t="s">
        <v>483</v>
      </c>
      <c r="E78" s="4" t="s">
        <v>484</v>
      </c>
      <c r="F78" s="4" t="s">
        <v>474</v>
      </c>
      <c r="G78" s="4" t="s">
        <v>486</v>
      </c>
      <c r="H78" s="4" t="s">
        <v>462</v>
      </c>
      <c r="I78" s="8">
        <v>45231</v>
      </c>
      <c r="J78" s="4" t="s">
        <v>485</v>
      </c>
      <c r="K78" s="11">
        <v>2</v>
      </c>
      <c r="L78" s="11">
        <v>6</v>
      </c>
      <c r="M78" s="11">
        <v>1</v>
      </c>
      <c r="N78" s="6" t="s">
        <v>482</v>
      </c>
      <c r="O78" s="4">
        <v>30.4</v>
      </c>
      <c r="P78" s="4">
        <v>25</v>
      </c>
      <c r="Q78" s="4">
        <v>8.6</v>
      </c>
      <c r="R78" s="4">
        <v>324</v>
      </c>
      <c r="S78" s="4">
        <f t="shared" si="5"/>
        <v>0.32400000000000001</v>
      </c>
      <c r="T78" s="4">
        <f t="shared" si="6"/>
        <v>3.1973684210526321E-2</v>
      </c>
      <c r="V78" s="4" t="s">
        <v>533</v>
      </c>
      <c r="W78" s="4" t="s">
        <v>91</v>
      </c>
      <c r="AB78" s="20"/>
      <c r="AC78" s="20"/>
      <c r="AD78" s="19"/>
      <c r="AE78" s="19"/>
      <c r="AF78" s="19"/>
      <c r="AG78" s="19"/>
      <c r="AH78" s="19"/>
      <c r="AI78" s="19"/>
    </row>
    <row r="79" spans="1:50" ht="12.75" customHeight="1">
      <c r="A79" s="4" t="s">
        <v>92</v>
      </c>
      <c r="B79" s="14" t="s">
        <v>481</v>
      </c>
      <c r="C79" s="4" t="s">
        <v>474</v>
      </c>
      <c r="D79" s="4" t="s">
        <v>483</v>
      </c>
      <c r="E79" s="4" t="s">
        <v>484</v>
      </c>
      <c r="F79" s="4" t="s">
        <v>474</v>
      </c>
      <c r="G79" s="4" t="s">
        <v>486</v>
      </c>
      <c r="H79" s="4" t="s">
        <v>462</v>
      </c>
      <c r="I79" s="8">
        <v>45231</v>
      </c>
      <c r="J79" s="4" t="s">
        <v>485</v>
      </c>
      <c r="K79" s="11">
        <v>2</v>
      </c>
      <c r="L79" s="11">
        <v>6</v>
      </c>
      <c r="M79" s="11">
        <v>1</v>
      </c>
      <c r="N79" s="6" t="s">
        <v>482</v>
      </c>
      <c r="O79" s="4">
        <v>32.9</v>
      </c>
      <c r="P79" s="4">
        <v>25.7</v>
      </c>
      <c r="Q79" s="4">
        <v>9.4</v>
      </c>
      <c r="R79" s="4">
        <v>387</v>
      </c>
      <c r="S79" s="4">
        <f t="shared" si="5"/>
        <v>0.38700000000000001</v>
      </c>
      <c r="T79" s="4">
        <f t="shared" si="6"/>
        <v>3.52887537993921E-2</v>
      </c>
      <c r="V79" s="4" t="s">
        <v>533</v>
      </c>
      <c r="W79" s="4" t="s">
        <v>92</v>
      </c>
      <c r="AB79" s="20"/>
      <c r="AC79" s="20"/>
      <c r="AD79" s="19"/>
      <c r="AE79" s="19"/>
      <c r="AF79" s="19"/>
      <c r="AG79" s="19"/>
      <c r="AH79" s="19"/>
      <c r="AI79" s="19"/>
    </row>
    <row r="80" spans="1:50" ht="12.75" customHeight="1">
      <c r="A80" s="4" t="s">
        <v>93</v>
      </c>
      <c r="B80" s="14" t="s">
        <v>481</v>
      </c>
      <c r="C80" s="4" t="s">
        <v>474</v>
      </c>
      <c r="D80" s="4" t="s">
        <v>483</v>
      </c>
      <c r="E80" s="4" t="s">
        <v>484</v>
      </c>
      <c r="F80" s="4" t="s">
        <v>474</v>
      </c>
      <c r="G80" s="4" t="s">
        <v>486</v>
      </c>
      <c r="H80" s="4" t="s">
        <v>462</v>
      </c>
      <c r="I80" s="8">
        <v>45231</v>
      </c>
      <c r="J80" s="4" t="s">
        <v>485</v>
      </c>
      <c r="K80" s="11">
        <v>2</v>
      </c>
      <c r="L80" s="11">
        <v>6</v>
      </c>
      <c r="M80" s="11">
        <v>1</v>
      </c>
      <c r="N80" s="6" t="s">
        <v>482</v>
      </c>
      <c r="O80" s="4">
        <v>32.299999999999997</v>
      </c>
      <c r="P80" s="4">
        <v>23.7</v>
      </c>
      <c r="Q80" s="4">
        <v>8.6</v>
      </c>
      <c r="R80" s="4">
        <v>273</v>
      </c>
      <c r="S80" s="4">
        <f t="shared" si="5"/>
        <v>0.27300000000000002</v>
      </c>
      <c r="T80" s="4">
        <f t="shared" si="6"/>
        <v>2.5356037151702791E-2</v>
      </c>
      <c r="V80" s="4" t="s">
        <v>533</v>
      </c>
      <c r="W80" s="4" t="s">
        <v>93</v>
      </c>
      <c r="AB80" s="20"/>
      <c r="AC80" s="20"/>
      <c r="AD80" s="19"/>
      <c r="AE80" s="19"/>
      <c r="AF80" s="19"/>
      <c r="AG80" s="19"/>
      <c r="AH80" s="19"/>
      <c r="AI80" s="19"/>
    </row>
    <row r="81" spans="1:35" ht="12.75" customHeight="1">
      <c r="A81" s="4" t="s">
        <v>94</v>
      </c>
      <c r="B81" s="14" t="s">
        <v>481</v>
      </c>
      <c r="C81" s="4" t="s">
        <v>474</v>
      </c>
      <c r="D81" s="4" t="s">
        <v>483</v>
      </c>
      <c r="E81" s="4" t="s">
        <v>484</v>
      </c>
      <c r="F81" s="4" t="s">
        <v>474</v>
      </c>
      <c r="G81" s="4" t="s">
        <v>486</v>
      </c>
      <c r="H81" s="4" t="s">
        <v>462</v>
      </c>
      <c r="I81" s="8">
        <v>45231</v>
      </c>
      <c r="J81" s="4" t="s">
        <v>485</v>
      </c>
      <c r="K81" s="11">
        <v>2</v>
      </c>
      <c r="L81" s="11">
        <v>6</v>
      </c>
      <c r="M81" s="11">
        <v>1</v>
      </c>
      <c r="N81" s="6" t="s">
        <v>482</v>
      </c>
      <c r="O81" s="4">
        <v>26.8</v>
      </c>
      <c r="P81" s="4">
        <v>20.6</v>
      </c>
      <c r="Q81" s="4">
        <v>6.5</v>
      </c>
      <c r="R81" s="4">
        <v>184</v>
      </c>
      <c r="S81" s="4">
        <f t="shared" si="5"/>
        <v>0.184</v>
      </c>
      <c r="T81" s="4">
        <f t="shared" si="6"/>
        <v>2.0597014925373133E-2</v>
      </c>
      <c r="V81" s="4" t="s">
        <v>533</v>
      </c>
      <c r="W81" s="4" t="s">
        <v>94</v>
      </c>
      <c r="AB81" s="20"/>
      <c r="AC81" s="20"/>
      <c r="AD81" s="19"/>
      <c r="AE81" s="19"/>
      <c r="AF81" s="19"/>
      <c r="AG81" s="19"/>
      <c r="AH81" s="19"/>
      <c r="AI81" s="19"/>
    </row>
    <row r="82" spans="1:35" ht="12.75" customHeight="1">
      <c r="A82" s="4" t="s">
        <v>95</v>
      </c>
      <c r="B82" s="14" t="s">
        <v>481</v>
      </c>
      <c r="C82" s="4" t="s">
        <v>474</v>
      </c>
      <c r="D82" s="4" t="s">
        <v>483</v>
      </c>
      <c r="E82" s="4" t="s">
        <v>484</v>
      </c>
      <c r="F82" s="4" t="s">
        <v>474</v>
      </c>
      <c r="G82" s="4" t="s">
        <v>486</v>
      </c>
      <c r="H82" s="4" t="s">
        <v>462</v>
      </c>
      <c r="I82" s="8">
        <v>45231</v>
      </c>
      <c r="J82" s="4" t="s">
        <v>485</v>
      </c>
      <c r="K82" s="11">
        <v>2</v>
      </c>
      <c r="L82" s="11">
        <v>6</v>
      </c>
      <c r="M82" s="11">
        <v>1</v>
      </c>
      <c r="N82" s="6" t="s">
        <v>482</v>
      </c>
      <c r="O82" s="4">
        <v>29</v>
      </c>
      <c r="P82" s="4">
        <v>23.1</v>
      </c>
      <c r="Q82" s="4">
        <v>8.1</v>
      </c>
      <c r="R82" s="4">
        <v>254</v>
      </c>
      <c r="S82" s="4">
        <f t="shared" si="5"/>
        <v>0.254</v>
      </c>
      <c r="T82" s="4">
        <f t="shared" si="6"/>
        <v>2.6275862068965518E-2</v>
      </c>
      <c r="V82" s="4" t="s">
        <v>533</v>
      </c>
      <c r="W82" s="4" t="s">
        <v>95</v>
      </c>
      <c r="AB82" s="20"/>
      <c r="AC82" s="20"/>
      <c r="AD82" s="19"/>
      <c r="AE82" s="19"/>
      <c r="AF82" s="19"/>
      <c r="AG82" s="19"/>
      <c r="AH82" s="19"/>
      <c r="AI82" s="19"/>
    </row>
    <row r="83" spans="1:35" ht="12.75" customHeight="1">
      <c r="A83" s="4" t="s">
        <v>96</v>
      </c>
      <c r="B83" s="14" t="s">
        <v>481</v>
      </c>
      <c r="C83" s="4" t="s">
        <v>474</v>
      </c>
      <c r="D83" s="4" t="s">
        <v>483</v>
      </c>
      <c r="E83" s="4" t="s">
        <v>484</v>
      </c>
      <c r="F83" s="4" t="s">
        <v>474</v>
      </c>
      <c r="G83" s="4" t="s">
        <v>486</v>
      </c>
      <c r="H83" s="4" t="s">
        <v>462</v>
      </c>
      <c r="I83" s="8">
        <v>45231</v>
      </c>
      <c r="J83" s="4" t="s">
        <v>485</v>
      </c>
      <c r="K83" s="11">
        <v>2</v>
      </c>
      <c r="L83" s="11">
        <v>6</v>
      </c>
      <c r="M83" s="11">
        <v>1</v>
      </c>
      <c r="N83" s="6" t="s">
        <v>482</v>
      </c>
      <c r="O83" s="4">
        <v>26.3</v>
      </c>
      <c r="P83" s="4">
        <v>19.5</v>
      </c>
      <c r="Q83" s="4">
        <v>6</v>
      </c>
      <c r="R83" s="4">
        <v>174</v>
      </c>
      <c r="S83" s="4">
        <f t="shared" si="5"/>
        <v>0.17399999999999999</v>
      </c>
      <c r="T83" s="4">
        <f t="shared" si="6"/>
        <v>1.9847908745247146E-2</v>
      </c>
      <c r="V83" s="4" t="s">
        <v>533</v>
      </c>
      <c r="W83" s="4" t="s">
        <v>96</v>
      </c>
      <c r="AB83" s="20"/>
      <c r="AC83" s="20"/>
      <c r="AD83" s="19"/>
      <c r="AE83" s="19"/>
      <c r="AF83" s="19"/>
      <c r="AG83" s="19"/>
      <c r="AH83" s="19"/>
      <c r="AI83" s="19"/>
    </row>
    <row r="84" spans="1:35" ht="12.75" customHeight="1">
      <c r="A84" s="4" t="s">
        <v>97</v>
      </c>
      <c r="B84" s="14" t="s">
        <v>481</v>
      </c>
      <c r="C84" s="4" t="s">
        <v>474</v>
      </c>
      <c r="D84" s="4" t="s">
        <v>483</v>
      </c>
      <c r="E84" s="4" t="s">
        <v>484</v>
      </c>
      <c r="F84" s="4" t="s">
        <v>474</v>
      </c>
      <c r="G84" s="4" t="s">
        <v>486</v>
      </c>
      <c r="H84" s="4" t="s">
        <v>462</v>
      </c>
      <c r="I84" s="8">
        <v>45231</v>
      </c>
      <c r="J84" s="4" t="s">
        <v>485</v>
      </c>
      <c r="K84" s="11">
        <v>2</v>
      </c>
      <c r="L84" s="11">
        <v>6</v>
      </c>
      <c r="M84" s="11">
        <v>1</v>
      </c>
      <c r="N84" s="6" t="s">
        <v>482</v>
      </c>
      <c r="O84" s="4">
        <v>32.700000000000003</v>
      </c>
      <c r="P84" s="4">
        <v>25.2</v>
      </c>
      <c r="Q84" s="4">
        <v>9</v>
      </c>
      <c r="R84" s="4">
        <v>341</v>
      </c>
      <c r="S84" s="4">
        <f t="shared" si="5"/>
        <v>0.34100000000000003</v>
      </c>
      <c r="T84" s="4">
        <f t="shared" si="6"/>
        <v>3.1284403669724771E-2</v>
      </c>
      <c r="V84" s="4" t="s">
        <v>533</v>
      </c>
      <c r="W84" s="4" t="s">
        <v>97</v>
      </c>
      <c r="AB84" s="20"/>
      <c r="AC84" s="20"/>
      <c r="AD84" s="19"/>
      <c r="AE84" s="19"/>
      <c r="AF84" s="19"/>
      <c r="AG84" s="19"/>
      <c r="AH84" s="19"/>
      <c r="AI84" s="19"/>
    </row>
    <row r="85" spans="1:35" ht="12.75" customHeight="1">
      <c r="A85" s="4" t="s">
        <v>98</v>
      </c>
      <c r="B85" s="14" t="s">
        <v>481</v>
      </c>
      <c r="C85" s="4" t="s">
        <v>474</v>
      </c>
      <c r="D85" s="4" t="s">
        <v>483</v>
      </c>
      <c r="E85" s="4" t="s">
        <v>484</v>
      </c>
      <c r="F85" s="4" t="s">
        <v>474</v>
      </c>
      <c r="G85" s="4" t="s">
        <v>486</v>
      </c>
      <c r="H85" s="4" t="s">
        <v>462</v>
      </c>
      <c r="I85" s="8">
        <v>45231</v>
      </c>
      <c r="J85" s="4" t="s">
        <v>485</v>
      </c>
      <c r="K85" s="11">
        <v>2</v>
      </c>
      <c r="L85" s="11">
        <v>6</v>
      </c>
      <c r="M85" s="11">
        <v>1</v>
      </c>
      <c r="N85" s="6" t="s">
        <v>482</v>
      </c>
      <c r="O85" s="4">
        <v>27.5</v>
      </c>
      <c r="P85" s="4">
        <v>21.4</v>
      </c>
      <c r="Q85" s="4">
        <v>7.2</v>
      </c>
      <c r="R85" s="4">
        <v>187</v>
      </c>
      <c r="S85" s="4">
        <f t="shared" si="5"/>
        <v>0.187</v>
      </c>
      <c r="T85" s="4">
        <f t="shared" si="6"/>
        <v>2.0399999999999998E-2</v>
      </c>
      <c r="V85" s="4" t="s">
        <v>533</v>
      </c>
      <c r="W85" s="4" t="s">
        <v>98</v>
      </c>
      <c r="AB85" s="20"/>
      <c r="AC85" s="20"/>
      <c r="AD85" s="19"/>
      <c r="AE85" s="19"/>
      <c r="AF85" s="19"/>
      <c r="AG85" s="19"/>
      <c r="AH85" s="19"/>
      <c r="AI85" s="19"/>
    </row>
    <row r="86" spans="1:35" ht="12.75" customHeight="1">
      <c r="A86" s="4" t="s">
        <v>99</v>
      </c>
      <c r="B86" s="9" t="s">
        <v>487</v>
      </c>
      <c r="C86" s="5" t="s">
        <v>474</v>
      </c>
      <c r="D86" s="5" t="s">
        <v>483</v>
      </c>
      <c r="E86" s="5" t="s">
        <v>488</v>
      </c>
      <c r="F86" s="12" t="s">
        <v>474</v>
      </c>
      <c r="G86" s="12" t="s">
        <v>486</v>
      </c>
      <c r="H86" s="12" t="s">
        <v>462</v>
      </c>
      <c r="I86" s="8">
        <v>45231</v>
      </c>
      <c r="J86" s="10" t="s">
        <v>485</v>
      </c>
      <c r="K86" s="11">
        <v>2</v>
      </c>
      <c r="L86" s="11">
        <v>7</v>
      </c>
      <c r="M86" s="11">
        <v>1</v>
      </c>
      <c r="N86" s="6" t="s">
        <v>482</v>
      </c>
      <c r="O86" s="7">
        <v>34.200000000000003</v>
      </c>
      <c r="P86" s="7">
        <v>29.5</v>
      </c>
      <c r="Q86" s="7">
        <v>11.8</v>
      </c>
      <c r="R86" s="4">
        <v>523</v>
      </c>
      <c r="S86" s="4">
        <f t="shared" si="5"/>
        <v>0.52300000000000002</v>
      </c>
      <c r="T86" s="4">
        <f t="shared" si="6"/>
        <v>4.5877192982456141E-2</v>
      </c>
      <c r="V86" s="4" t="s">
        <v>527</v>
      </c>
      <c r="W86" s="4" t="s">
        <v>99</v>
      </c>
      <c r="X86" s="4" t="s">
        <v>99</v>
      </c>
      <c r="Y86" s="4" t="s">
        <v>534</v>
      </c>
      <c r="Z86" s="4" t="s">
        <v>99</v>
      </c>
      <c r="AA86" s="4" t="s">
        <v>534</v>
      </c>
      <c r="AB86" s="20">
        <v>0.92720000000000002</v>
      </c>
      <c r="AC86" s="20">
        <v>0.94810000000000005</v>
      </c>
      <c r="AD86" s="19">
        <f t="shared" si="4"/>
        <v>20.900000000000031</v>
      </c>
      <c r="AE86" s="19">
        <v>279341</v>
      </c>
      <c r="AF86" s="19">
        <v>333797</v>
      </c>
      <c r="AG86" s="19">
        <v>278816</v>
      </c>
      <c r="AH86" s="19">
        <f t="shared" si="1"/>
        <v>297318</v>
      </c>
      <c r="AI86" s="19">
        <f t="shared" si="2"/>
        <v>14225.741626794237</v>
      </c>
    </row>
    <row r="87" spans="1:35" ht="12.75" customHeight="1">
      <c r="A87" s="4" t="s">
        <v>100</v>
      </c>
      <c r="B87" s="9" t="s">
        <v>487</v>
      </c>
      <c r="C87" s="5" t="s">
        <v>474</v>
      </c>
      <c r="D87" s="5" t="s">
        <v>483</v>
      </c>
      <c r="E87" s="5" t="s">
        <v>488</v>
      </c>
      <c r="F87" s="12" t="s">
        <v>474</v>
      </c>
      <c r="G87" s="12" t="s">
        <v>486</v>
      </c>
      <c r="H87" s="12" t="s">
        <v>462</v>
      </c>
      <c r="I87" s="8">
        <v>45231</v>
      </c>
      <c r="J87" s="10" t="s">
        <v>485</v>
      </c>
      <c r="K87" s="11">
        <v>2</v>
      </c>
      <c r="L87" s="11">
        <v>7</v>
      </c>
      <c r="M87" s="11">
        <v>1</v>
      </c>
      <c r="N87" s="6" t="s">
        <v>482</v>
      </c>
      <c r="O87" s="7">
        <v>37.6</v>
      </c>
      <c r="P87" s="7">
        <v>30.4</v>
      </c>
      <c r="Q87" s="7">
        <v>10.6</v>
      </c>
      <c r="R87" s="4">
        <v>520</v>
      </c>
      <c r="S87" s="13">
        <f t="shared" si="5"/>
        <v>0.52</v>
      </c>
      <c r="T87" s="4">
        <f t="shared" si="6"/>
        <v>4.1489361702127657E-2</v>
      </c>
      <c r="V87" s="4" t="s">
        <v>527</v>
      </c>
      <c r="W87" s="4" t="s">
        <v>100</v>
      </c>
      <c r="X87" s="4" t="s">
        <v>100</v>
      </c>
      <c r="Y87" s="4" t="s">
        <v>535</v>
      </c>
      <c r="Z87" s="4" t="s">
        <v>100</v>
      </c>
      <c r="AA87" s="4" t="s">
        <v>535</v>
      </c>
      <c r="AB87" s="20">
        <v>0.92430000000000001</v>
      </c>
      <c r="AC87" s="20">
        <v>0.94440000000000002</v>
      </c>
      <c r="AD87" s="19">
        <f t="shared" si="4"/>
        <v>20.100000000000009</v>
      </c>
      <c r="AE87" s="19">
        <v>296314</v>
      </c>
      <c r="AF87" s="19">
        <v>367194</v>
      </c>
      <c r="AG87" s="19">
        <v>311853</v>
      </c>
      <c r="AH87" s="19">
        <f t="shared" si="1"/>
        <v>325120.33333333331</v>
      </c>
      <c r="AI87" s="19">
        <f t="shared" si="2"/>
        <v>16175.140961857373</v>
      </c>
    </row>
    <row r="88" spans="1:35" ht="12.75" customHeight="1">
      <c r="A88" s="4" t="s">
        <v>101</v>
      </c>
      <c r="B88" s="9" t="s">
        <v>487</v>
      </c>
      <c r="C88" s="5" t="s">
        <v>474</v>
      </c>
      <c r="D88" s="5" t="s">
        <v>483</v>
      </c>
      <c r="E88" s="5" t="s">
        <v>488</v>
      </c>
      <c r="F88" s="12" t="s">
        <v>474</v>
      </c>
      <c r="G88" s="12" t="s">
        <v>486</v>
      </c>
      <c r="H88" s="12" t="s">
        <v>462</v>
      </c>
      <c r="I88" s="8">
        <v>45231</v>
      </c>
      <c r="J88" s="10" t="s">
        <v>485</v>
      </c>
      <c r="K88" s="11">
        <v>2</v>
      </c>
      <c r="L88" s="11">
        <v>7</v>
      </c>
      <c r="M88" s="11">
        <v>1</v>
      </c>
      <c r="N88" s="6" t="s">
        <v>482</v>
      </c>
      <c r="O88" s="7">
        <v>33.700000000000003</v>
      </c>
      <c r="P88" s="7">
        <v>23.8</v>
      </c>
      <c r="Q88" s="7">
        <v>8.6</v>
      </c>
      <c r="R88" s="4">
        <v>289</v>
      </c>
      <c r="S88" s="4">
        <f t="shared" si="5"/>
        <v>0.28899999999999998</v>
      </c>
      <c r="T88" s="4">
        <f t="shared" si="6"/>
        <v>2.5727002967359046E-2</v>
      </c>
      <c r="V88" s="4" t="s">
        <v>527</v>
      </c>
      <c r="W88" s="4" t="s">
        <v>101</v>
      </c>
      <c r="X88" s="4" t="s">
        <v>101</v>
      </c>
      <c r="Y88" s="4" t="s">
        <v>536</v>
      </c>
      <c r="Z88" s="4" t="s">
        <v>101</v>
      </c>
      <c r="AA88" s="4" t="s">
        <v>536</v>
      </c>
      <c r="AB88" s="20">
        <v>0.93340000000000001</v>
      </c>
      <c r="AC88" s="20">
        <v>0.95479999999999998</v>
      </c>
      <c r="AD88" s="19">
        <f t="shared" si="4"/>
        <v>21.399999999999974</v>
      </c>
      <c r="AE88" s="19">
        <v>278808</v>
      </c>
      <c r="AF88" s="19">
        <v>291173</v>
      </c>
      <c r="AG88" s="19">
        <v>304396</v>
      </c>
      <c r="AH88" s="19">
        <f t="shared" si="1"/>
        <v>291459</v>
      </c>
      <c r="AI88" s="19">
        <f t="shared" si="2"/>
        <v>13619.579439252353</v>
      </c>
    </row>
    <row r="89" spans="1:35" ht="12.75" customHeight="1">
      <c r="A89" s="4" t="s">
        <v>102</v>
      </c>
      <c r="B89" s="9" t="s">
        <v>487</v>
      </c>
      <c r="C89" s="5" t="s">
        <v>474</v>
      </c>
      <c r="D89" s="5" t="s">
        <v>483</v>
      </c>
      <c r="E89" s="5" t="s">
        <v>488</v>
      </c>
      <c r="F89" s="12" t="s">
        <v>474</v>
      </c>
      <c r="G89" s="12" t="s">
        <v>486</v>
      </c>
      <c r="H89" s="12" t="s">
        <v>462</v>
      </c>
      <c r="I89" s="8">
        <v>45231</v>
      </c>
      <c r="J89" s="10" t="s">
        <v>485</v>
      </c>
      <c r="K89" s="11">
        <v>2</v>
      </c>
      <c r="L89" s="11">
        <v>7</v>
      </c>
      <c r="M89" s="11">
        <v>1</v>
      </c>
      <c r="N89" s="6" t="s">
        <v>482</v>
      </c>
      <c r="O89" s="7">
        <v>39.200000000000003</v>
      </c>
      <c r="P89" s="7">
        <v>31.1</v>
      </c>
      <c r="Q89" s="7">
        <v>11</v>
      </c>
      <c r="R89" s="4">
        <v>576</v>
      </c>
      <c r="S89" s="4">
        <f t="shared" si="5"/>
        <v>0.57599999999999996</v>
      </c>
      <c r="T89" s="4">
        <f t="shared" si="6"/>
        <v>4.4081632653061219E-2</v>
      </c>
      <c r="V89" s="4" t="s">
        <v>527</v>
      </c>
      <c r="W89" s="4" t="s">
        <v>102</v>
      </c>
      <c r="X89" s="4" t="s">
        <v>102</v>
      </c>
      <c r="Y89" s="4" t="s">
        <v>537</v>
      </c>
      <c r="Z89" s="4" t="s">
        <v>102</v>
      </c>
      <c r="AA89" s="4" t="s">
        <v>537</v>
      </c>
      <c r="AB89" s="20">
        <v>0.93010000000000004</v>
      </c>
      <c r="AC89" s="20">
        <v>0.95569999999999999</v>
      </c>
      <c r="AD89" s="19">
        <f t="shared" si="4"/>
        <v>25.599999999999955</v>
      </c>
      <c r="AE89" s="19">
        <v>288355</v>
      </c>
      <c r="AF89" s="19">
        <v>365465</v>
      </c>
      <c r="AG89" s="19">
        <v>243917</v>
      </c>
      <c r="AH89" s="19">
        <f t="shared" si="1"/>
        <v>299245.66666666669</v>
      </c>
      <c r="AI89" s="19">
        <f t="shared" si="2"/>
        <v>11689.283854166688</v>
      </c>
    </row>
    <row r="90" spans="1:35" ht="12.75" customHeight="1">
      <c r="A90" s="4" t="s">
        <v>103</v>
      </c>
      <c r="B90" s="9" t="s">
        <v>487</v>
      </c>
      <c r="C90" s="5" t="s">
        <v>474</v>
      </c>
      <c r="D90" s="5" t="s">
        <v>483</v>
      </c>
      <c r="E90" s="5" t="s">
        <v>488</v>
      </c>
      <c r="F90" s="12" t="s">
        <v>474</v>
      </c>
      <c r="G90" s="12" t="s">
        <v>486</v>
      </c>
      <c r="H90" s="12" t="s">
        <v>462</v>
      </c>
      <c r="I90" s="8">
        <v>45231</v>
      </c>
      <c r="J90" s="10" t="s">
        <v>485</v>
      </c>
      <c r="K90" s="11">
        <v>2</v>
      </c>
      <c r="L90" s="11">
        <v>7</v>
      </c>
      <c r="M90" s="11">
        <v>1</v>
      </c>
      <c r="N90" s="6" t="s">
        <v>482</v>
      </c>
      <c r="O90" s="7">
        <v>33.5</v>
      </c>
      <c r="P90" s="7">
        <v>25.5</v>
      </c>
      <c r="Q90" s="7">
        <v>9.4</v>
      </c>
      <c r="R90" s="4">
        <v>329</v>
      </c>
      <c r="S90" s="4">
        <f t="shared" si="5"/>
        <v>0.32900000000000001</v>
      </c>
      <c r="T90" s="4">
        <f t="shared" si="6"/>
        <v>2.9462686567164179E-2</v>
      </c>
      <c r="V90" s="4" t="s">
        <v>527</v>
      </c>
      <c r="W90" s="4" t="s">
        <v>103</v>
      </c>
      <c r="X90" s="4" t="s">
        <v>103</v>
      </c>
      <c r="Y90" s="4" t="s">
        <v>538</v>
      </c>
      <c r="Z90" s="4" t="s">
        <v>103</v>
      </c>
      <c r="AA90" s="4" t="s">
        <v>538</v>
      </c>
      <c r="AB90" s="20">
        <v>0.92369999999999997</v>
      </c>
      <c r="AC90" s="20">
        <v>0.94589999999999996</v>
      </c>
      <c r="AD90" s="19">
        <f t="shared" si="4"/>
        <v>22.199999999999996</v>
      </c>
      <c r="AE90" s="19">
        <v>214531</v>
      </c>
      <c r="AF90" s="19">
        <v>527483</v>
      </c>
      <c r="AG90" s="19">
        <v>606390</v>
      </c>
      <c r="AH90" s="19">
        <f t="shared" si="1"/>
        <v>449468</v>
      </c>
      <c r="AI90" s="19">
        <f t="shared" si="2"/>
        <v>20246.306306306309</v>
      </c>
    </row>
    <row r="91" spans="1:35" ht="12.75" customHeight="1">
      <c r="A91" s="4" t="s">
        <v>104</v>
      </c>
      <c r="B91" s="9" t="s">
        <v>487</v>
      </c>
      <c r="C91" s="5" t="s">
        <v>474</v>
      </c>
      <c r="D91" s="5" t="s">
        <v>483</v>
      </c>
      <c r="E91" s="5" t="s">
        <v>488</v>
      </c>
      <c r="F91" s="12" t="s">
        <v>474</v>
      </c>
      <c r="G91" s="12" t="s">
        <v>486</v>
      </c>
      <c r="H91" s="12" t="s">
        <v>462</v>
      </c>
      <c r="I91" s="8">
        <v>45231</v>
      </c>
      <c r="J91" s="10" t="s">
        <v>485</v>
      </c>
      <c r="K91" s="11">
        <v>2</v>
      </c>
      <c r="L91" s="11">
        <v>7</v>
      </c>
      <c r="M91" s="11">
        <v>1</v>
      </c>
      <c r="N91" s="6" t="s">
        <v>482</v>
      </c>
      <c r="O91" s="7">
        <v>30.2</v>
      </c>
      <c r="P91" s="7">
        <v>25.5</v>
      </c>
      <c r="Q91" s="7">
        <v>9.1</v>
      </c>
      <c r="R91" s="4">
        <v>315</v>
      </c>
      <c r="S91" s="4">
        <f t="shared" si="5"/>
        <v>0.315</v>
      </c>
      <c r="T91" s="4">
        <f t="shared" si="6"/>
        <v>3.1291390728476823E-2</v>
      </c>
      <c r="V91" s="4" t="s">
        <v>527</v>
      </c>
      <c r="W91" s="4" t="s">
        <v>104</v>
      </c>
      <c r="X91" s="4" t="s">
        <v>104</v>
      </c>
      <c r="Y91" s="4" t="s">
        <v>539</v>
      </c>
      <c r="Z91" s="4" t="s">
        <v>104</v>
      </c>
      <c r="AA91" s="4" t="s">
        <v>539</v>
      </c>
      <c r="AB91" s="20">
        <v>0.91169999999999995</v>
      </c>
      <c r="AC91" s="20">
        <v>0.92110000000000003</v>
      </c>
      <c r="AD91" s="19">
        <f t="shared" si="4"/>
        <v>9.400000000000075</v>
      </c>
      <c r="AE91" s="19">
        <v>248257</v>
      </c>
      <c r="AF91" s="19">
        <v>233130</v>
      </c>
      <c r="AG91" s="19">
        <v>250049</v>
      </c>
      <c r="AH91" s="19">
        <f t="shared" si="1"/>
        <v>243812</v>
      </c>
      <c r="AI91" s="19">
        <f t="shared" si="2"/>
        <v>25937.446808510431</v>
      </c>
    </row>
    <row r="92" spans="1:35" ht="12.75" customHeight="1">
      <c r="A92" s="4" t="s">
        <v>105</v>
      </c>
      <c r="B92" s="9" t="s">
        <v>487</v>
      </c>
      <c r="C92" s="5" t="s">
        <v>474</v>
      </c>
      <c r="D92" s="5" t="s">
        <v>483</v>
      </c>
      <c r="E92" s="5" t="s">
        <v>488</v>
      </c>
      <c r="F92" s="12" t="s">
        <v>474</v>
      </c>
      <c r="G92" s="12" t="s">
        <v>486</v>
      </c>
      <c r="H92" s="12" t="s">
        <v>462</v>
      </c>
      <c r="I92" s="8">
        <v>45231</v>
      </c>
      <c r="J92" s="10" t="s">
        <v>485</v>
      </c>
      <c r="K92" s="11">
        <v>2</v>
      </c>
      <c r="L92" s="11">
        <v>7</v>
      </c>
      <c r="M92" s="11">
        <v>1</v>
      </c>
      <c r="N92" s="6" t="s">
        <v>482</v>
      </c>
      <c r="O92" s="7">
        <v>34.200000000000003</v>
      </c>
      <c r="P92" s="7">
        <v>26.5</v>
      </c>
      <c r="Q92" s="7">
        <v>8.8000000000000007</v>
      </c>
      <c r="R92" s="4">
        <v>325</v>
      </c>
      <c r="S92" s="4">
        <f t="shared" si="5"/>
        <v>0.32500000000000001</v>
      </c>
      <c r="T92" s="4">
        <f t="shared" si="6"/>
        <v>2.850877192982456E-2</v>
      </c>
      <c r="V92" s="4" t="s">
        <v>527</v>
      </c>
      <c r="W92" s="4" t="s">
        <v>105</v>
      </c>
      <c r="X92" s="4" t="s">
        <v>105</v>
      </c>
      <c r="Y92" s="4" t="s">
        <v>542</v>
      </c>
      <c r="Z92" s="4" t="s">
        <v>105</v>
      </c>
      <c r="AA92" s="4" t="s">
        <v>542</v>
      </c>
      <c r="AB92" s="20">
        <v>1.1056999999999999</v>
      </c>
      <c r="AC92" s="20">
        <v>1.1192</v>
      </c>
      <c r="AD92" s="19">
        <f t="shared" si="4"/>
        <v>13.500000000000068</v>
      </c>
      <c r="AE92" s="19">
        <v>798143</v>
      </c>
      <c r="AF92" s="19">
        <v>315692</v>
      </c>
      <c r="AG92" s="19">
        <v>339765</v>
      </c>
      <c r="AH92" s="19">
        <f t="shared" si="1"/>
        <v>484533.33333333331</v>
      </c>
      <c r="AI92" s="19">
        <f t="shared" si="2"/>
        <v>35891.358024691181</v>
      </c>
    </row>
    <row r="93" spans="1:35" ht="12.75" customHeight="1">
      <c r="A93" s="4" t="s">
        <v>106</v>
      </c>
      <c r="B93" s="9" t="s">
        <v>487</v>
      </c>
      <c r="C93" s="5" t="s">
        <v>474</v>
      </c>
      <c r="D93" s="5" t="s">
        <v>483</v>
      </c>
      <c r="E93" s="5" t="s">
        <v>488</v>
      </c>
      <c r="F93" s="12" t="s">
        <v>474</v>
      </c>
      <c r="G93" s="12" t="s">
        <v>486</v>
      </c>
      <c r="H93" s="12" t="s">
        <v>462</v>
      </c>
      <c r="I93" s="8">
        <v>45231</v>
      </c>
      <c r="J93" s="10" t="s">
        <v>485</v>
      </c>
      <c r="K93" s="11">
        <v>2</v>
      </c>
      <c r="L93" s="11">
        <v>7</v>
      </c>
      <c r="M93" s="11">
        <v>1</v>
      </c>
      <c r="N93" s="6" t="s">
        <v>482</v>
      </c>
      <c r="O93" s="7">
        <v>35.299999999999997</v>
      </c>
      <c r="P93" s="7">
        <v>28.4</v>
      </c>
      <c r="Q93" s="7">
        <v>10.7</v>
      </c>
      <c r="R93" s="4">
        <v>551</v>
      </c>
      <c r="S93" s="4">
        <f t="shared" si="5"/>
        <v>0.55100000000000005</v>
      </c>
      <c r="T93" s="4">
        <f t="shared" si="6"/>
        <v>4.6827195467422103E-2</v>
      </c>
      <c r="V93" s="4" t="s">
        <v>527</v>
      </c>
      <c r="W93" s="4" t="s">
        <v>106</v>
      </c>
      <c r="X93" s="4" t="s">
        <v>106</v>
      </c>
      <c r="Y93" s="4" t="s">
        <v>543</v>
      </c>
      <c r="Z93" s="4" t="s">
        <v>106</v>
      </c>
      <c r="AA93" s="4" t="s">
        <v>543</v>
      </c>
      <c r="AB93" s="20">
        <v>0.93100000000000005</v>
      </c>
      <c r="AC93" s="20">
        <v>0.9657</v>
      </c>
      <c r="AD93" s="19">
        <f t="shared" si="4"/>
        <v>34.699999999999953</v>
      </c>
      <c r="AE93" s="19">
        <v>605988</v>
      </c>
      <c r="AF93" s="19">
        <v>653230</v>
      </c>
      <c r="AG93" s="19">
        <v>633502</v>
      </c>
      <c r="AH93" s="19">
        <f t="shared" si="1"/>
        <v>630906.66666666663</v>
      </c>
      <c r="AI93" s="19">
        <f t="shared" si="2"/>
        <v>18181.748318924136</v>
      </c>
    </row>
    <row r="94" spans="1:35" ht="12.75" customHeight="1">
      <c r="A94" s="4" t="s">
        <v>107</v>
      </c>
      <c r="B94" s="9" t="s">
        <v>487</v>
      </c>
      <c r="C94" s="5" t="s">
        <v>474</v>
      </c>
      <c r="D94" s="5" t="s">
        <v>483</v>
      </c>
      <c r="E94" s="5" t="s">
        <v>488</v>
      </c>
      <c r="F94" s="12" t="s">
        <v>474</v>
      </c>
      <c r="G94" s="12" t="s">
        <v>486</v>
      </c>
      <c r="H94" s="12" t="s">
        <v>462</v>
      </c>
      <c r="I94" s="8">
        <v>45231</v>
      </c>
      <c r="J94" s="10" t="s">
        <v>485</v>
      </c>
      <c r="K94" s="11">
        <v>2</v>
      </c>
      <c r="L94" s="11">
        <v>7</v>
      </c>
      <c r="M94" s="11">
        <v>1</v>
      </c>
      <c r="N94" s="6" t="s">
        <v>482</v>
      </c>
      <c r="O94" s="7">
        <v>29.1</v>
      </c>
      <c r="P94" s="7">
        <v>22.5</v>
      </c>
      <c r="Q94" s="7">
        <v>7.7</v>
      </c>
      <c r="R94" s="4">
        <v>203</v>
      </c>
      <c r="S94" s="4">
        <f t="shared" si="5"/>
        <v>0.20300000000000001</v>
      </c>
      <c r="T94" s="4">
        <f t="shared" si="6"/>
        <v>2.0927835051546391E-2</v>
      </c>
      <c r="V94" s="4" t="s">
        <v>527</v>
      </c>
      <c r="W94" s="4" t="s">
        <v>107</v>
      </c>
      <c r="X94" s="4" t="s">
        <v>107</v>
      </c>
      <c r="Y94" s="4" t="s">
        <v>544</v>
      </c>
      <c r="Z94" s="4" t="s">
        <v>107</v>
      </c>
      <c r="AA94" s="4" t="s">
        <v>544</v>
      </c>
      <c r="AB94" s="20">
        <v>0.91920000000000002</v>
      </c>
      <c r="AC94" s="20">
        <v>0.92679999999999996</v>
      </c>
      <c r="AD94" s="19">
        <f t="shared" si="4"/>
        <v>7.5999999999999401</v>
      </c>
      <c r="AE94" s="19">
        <v>241976</v>
      </c>
      <c r="AF94" s="19">
        <v>248105</v>
      </c>
      <c r="AG94" s="19">
        <v>267526</v>
      </c>
      <c r="AH94" s="19">
        <f t="shared" si="1"/>
        <v>252535.66666666666</v>
      </c>
      <c r="AI94" s="19">
        <f t="shared" si="2"/>
        <v>33228.37719298272</v>
      </c>
    </row>
    <row r="95" spans="1:35" ht="12.75" customHeight="1">
      <c r="A95" s="4" t="s">
        <v>108</v>
      </c>
      <c r="B95" s="9" t="s">
        <v>487</v>
      </c>
      <c r="C95" s="5" t="s">
        <v>474</v>
      </c>
      <c r="D95" s="5" t="s">
        <v>483</v>
      </c>
      <c r="E95" s="5" t="s">
        <v>488</v>
      </c>
      <c r="F95" s="12" t="s">
        <v>474</v>
      </c>
      <c r="G95" s="12" t="s">
        <v>486</v>
      </c>
      <c r="H95" s="12" t="s">
        <v>462</v>
      </c>
      <c r="I95" s="8">
        <v>45231</v>
      </c>
      <c r="J95" s="10" t="s">
        <v>485</v>
      </c>
      <c r="K95" s="11">
        <v>2</v>
      </c>
      <c r="L95" s="11">
        <v>7</v>
      </c>
      <c r="M95" s="11">
        <v>1</v>
      </c>
      <c r="N95" s="6" t="s">
        <v>482</v>
      </c>
      <c r="O95" s="7">
        <v>30.6</v>
      </c>
      <c r="P95" s="7">
        <v>25.3</v>
      </c>
      <c r="Q95" s="7">
        <v>9.1999999999999993</v>
      </c>
      <c r="R95" s="4">
        <v>314</v>
      </c>
      <c r="S95" s="4">
        <f t="shared" si="5"/>
        <v>0.314</v>
      </c>
      <c r="T95" s="4">
        <f t="shared" si="6"/>
        <v>3.0784313725490193E-2</v>
      </c>
      <c r="V95" s="4" t="s">
        <v>527</v>
      </c>
      <c r="W95" s="4" t="s">
        <v>108</v>
      </c>
      <c r="X95" s="4" t="s">
        <v>108</v>
      </c>
      <c r="Y95" s="4" t="s">
        <v>545</v>
      </c>
      <c r="Z95" s="4" t="s">
        <v>108</v>
      </c>
      <c r="AA95" s="4" t="s">
        <v>545</v>
      </c>
      <c r="AB95" s="20">
        <v>0.92300000000000004</v>
      </c>
      <c r="AC95" s="20">
        <v>0.9345</v>
      </c>
      <c r="AD95" s="19">
        <f t="shared" si="4"/>
        <v>11.499999999999954</v>
      </c>
      <c r="AE95" s="19">
        <v>296887</v>
      </c>
      <c r="AF95" s="19">
        <v>282685</v>
      </c>
      <c r="AG95" s="19">
        <v>333250</v>
      </c>
      <c r="AH95" s="19">
        <f t="shared" si="1"/>
        <v>304274</v>
      </c>
      <c r="AI95" s="19">
        <f t="shared" si="2"/>
        <v>26458.608695652281</v>
      </c>
    </row>
    <row r="96" spans="1:35" ht="12.75" customHeight="1">
      <c r="A96" s="4" t="s">
        <v>109</v>
      </c>
      <c r="B96" s="9" t="s">
        <v>487</v>
      </c>
      <c r="C96" s="5" t="s">
        <v>474</v>
      </c>
      <c r="D96" s="5" t="s">
        <v>483</v>
      </c>
      <c r="E96" s="5" t="s">
        <v>488</v>
      </c>
      <c r="F96" s="12" t="s">
        <v>474</v>
      </c>
      <c r="G96" s="12" t="s">
        <v>486</v>
      </c>
      <c r="H96" s="12" t="s">
        <v>462</v>
      </c>
      <c r="I96" s="8">
        <v>45231</v>
      </c>
      <c r="J96" s="10" t="s">
        <v>485</v>
      </c>
      <c r="K96" s="11">
        <v>2</v>
      </c>
      <c r="L96" s="11">
        <v>7</v>
      </c>
      <c r="M96" s="11">
        <v>1</v>
      </c>
      <c r="N96" s="6" t="s">
        <v>482</v>
      </c>
      <c r="O96" s="7">
        <v>34.6</v>
      </c>
      <c r="P96" s="7">
        <v>26.5</v>
      </c>
      <c r="Q96" s="7">
        <v>9.4</v>
      </c>
      <c r="R96" s="4">
        <v>346</v>
      </c>
      <c r="S96" s="4">
        <f t="shared" si="5"/>
        <v>0.34599999999999997</v>
      </c>
      <c r="T96" s="4">
        <f t="shared" si="6"/>
        <v>2.9999999999999995E-2</v>
      </c>
      <c r="V96" s="4" t="s">
        <v>527</v>
      </c>
      <c r="W96" s="4" t="s">
        <v>109</v>
      </c>
      <c r="X96" s="4" t="s">
        <v>109</v>
      </c>
      <c r="Y96" s="4" t="s">
        <v>546</v>
      </c>
      <c r="Z96" s="4" t="s">
        <v>109</v>
      </c>
      <c r="AA96" s="4" t="s">
        <v>546</v>
      </c>
      <c r="AB96" s="20">
        <v>0.92759999999999998</v>
      </c>
      <c r="AC96" s="20">
        <v>0.94020000000000004</v>
      </c>
      <c r="AD96" s="19">
        <f t="shared" si="4"/>
        <v>12.600000000000055</v>
      </c>
      <c r="AE96" s="19">
        <v>221556</v>
      </c>
      <c r="AF96" s="19">
        <v>264982</v>
      </c>
      <c r="AG96" s="19">
        <v>272937</v>
      </c>
      <c r="AH96" s="19">
        <f t="shared" si="1"/>
        <v>253158.33333333334</v>
      </c>
      <c r="AI96" s="19">
        <f t="shared" si="2"/>
        <v>20091.931216931131</v>
      </c>
    </row>
    <row r="97" spans="1:50" ht="12.75" customHeight="1">
      <c r="A97" s="4" t="s">
        <v>110</v>
      </c>
      <c r="B97" s="9" t="s">
        <v>487</v>
      </c>
      <c r="C97" s="5" t="s">
        <v>474</v>
      </c>
      <c r="D97" s="5" t="s">
        <v>483</v>
      </c>
      <c r="E97" s="5" t="s">
        <v>488</v>
      </c>
      <c r="F97" s="12" t="s">
        <v>474</v>
      </c>
      <c r="G97" s="12" t="s">
        <v>486</v>
      </c>
      <c r="H97" s="12" t="s">
        <v>462</v>
      </c>
      <c r="I97" s="8">
        <v>45231</v>
      </c>
      <c r="J97" s="10" t="s">
        <v>485</v>
      </c>
      <c r="K97" s="11">
        <v>2</v>
      </c>
      <c r="L97" s="11">
        <v>7</v>
      </c>
      <c r="M97" s="11">
        <v>1</v>
      </c>
      <c r="N97" s="6" t="s">
        <v>482</v>
      </c>
      <c r="O97" s="7">
        <v>26.5</v>
      </c>
      <c r="P97" s="7">
        <v>23.7</v>
      </c>
      <c r="Q97" s="7">
        <v>8.3000000000000007</v>
      </c>
      <c r="R97" s="4">
        <v>247</v>
      </c>
      <c r="S97" s="4">
        <f t="shared" si="5"/>
        <v>0.247</v>
      </c>
      <c r="T97" s="4">
        <f t="shared" si="6"/>
        <v>2.7962264150943394E-2</v>
      </c>
      <c r="V97" s="4" t="s">
        <v>527</v>
      </c>
      <c r="W97" s="4" t="s">
        <v>110</v>
      </c>
      <c r="X97" s="4" t="s">
        <v>110</v>
      </c>
      <c r="Y97" s="4" t="s">
        <v>547</v>
      </c>
      <c r="Z97" s="4" t="s">
        <v>110</v>
      </c>
      <c r="AA97" s="4" t="s">
        <v>547</v>
      </c>
      <c r="AB97" s="20">
        <v>0.92479999999999996</v>
      </c>
      <c r="AC97" s="20">
        <v>0.94189999999999996</v>
      </c>
      <c r="AD97" s="19">
        <f t="shared" si="4"/>
        <v>17.100000000000005</v>
      </c>
      <c r="AE97" s="19">
        <v>252594</v>
      </c>
      <c r="AF97" s="19">
        <v>259684</v>
      </c>
      <c r="AG97" s="19">
        <v>223345</v>
      </c>
      <c r="AH97" s="19">
        <f t="shared" si="1"/>
        <v>245207.66666666666</v>
      </c>
      <c r="AI97" s="19">
        <f t="shared" si="2"/>
        <v>14339.629629629624</v>
      </c>
    </row>
    <row r="98" spans="1:50" ht="12.75" customHeight="1">
      <c r="A98" s="4" t="s">
        <v>111</v>
      </c>
      <c r="B98" s="9" t="s">
        <v>487</v>
      </c>
      <c r="C98" s="5" t="s">
        <v>474</v>
      </c>
      <c r="D98" s="5" t="s">
        <v>483</v>
      </c>
      <c r="E98" s="5" t="s">
        <v>488</v>
      </c>
      <c r="F98" s="12" t="s">
        <v>474</v>
      </c>
      <c r="G98" s="12" t="s">
        <v>486</v>
      </c>
      <c r="H98" s="12" t="s">
        <v>462</v>
      </c>
      <c r="I98" s="8">
        <v>45231</v>
      </c>
      <c r="J98" s="10" t="s">
        <v>485</v>
      </c>
      <c r="K98" s="11">
        <v>2</v>
      </c>
      <c r="L98" s="11">
        <v>7</v>
      </c>
      <c r="M98" s="11">
        <v>1</v>
      </c>
      <c r="N98" s="6" t="s">
        <v>482</v>
      </c>
      <c r="O98" s="7">
        <v>23.4</v>
      </c>
      <c r="P98" s="7">
        <v>17.899999999999999</v>
      </c>
      <c r="Q98" s="7">
        <v>6.2</v>
      </c>
      <c r="R98" s="4">
        <v>111</v>
      </c>
      <c r="S98" s="4">
        <f t="shared" si="5"/>
        <v>0.111</v>
      </c>
      <c r="T98" s="4">
        <f t="shared" si="6"/>
        <v>1.4230769230769231E-2</v>
      </c>
      <c r="V98" s="4" t="s">
        <v>527</v>
      </c>
      <c r="W98" s="4" t="s">
        <v>111</v>
      </c>
      <c r="X98" s="4" t="s">
        <v>111</v>
      </c>
      <c r="Y98" s="4" t="s">
        <v>548</v>
      </c>
      <c r="Z98" s="4" t="s">
        <v>111</v>
      </c>
      <c r="AA98" s="4" t="s">
        <v>548</v>
      </c>
      <c r="AB98" s="20">
        <v>0.91159999999999997</v>
      </c>
      <c r="AC98" s="20">
        <v>0.91659999999999997</v>
      </c>
      <c r="AD98" s="19">
        <f t="shared" si="4"/>
        <v>5.0000000000000044</v>
      </c>
      <c r="AE98" s="19">
        <v>148020</v>
      </c>
      <c r="AF98" s="19">
        <v>179902</v>
      </c>
      <c r="AG98" s="19">
        <v>199430</v>
      </c>
      <c r="AH98" s="19">
        <f t="shared" si="1"/>
        <v>175784</v>
      </c>
      <c r="AI98" s="19">
        <f t="shared" si="2"/>
        <v>35156.799999999967</v>
      </c>
    </row>
    <row r="99" spans="1:50" ht="12.75" customHeight="1">
      <c r="A99" s="4" t="s">
        <v>112</v>
      </c>
      <c r="B99" s="9" t="s">
        <v>487</v>
      </c>
      <c r="C99" s="5" t="s">
        <v>474</v>
      </c>
      <c r="D99" s="5" t="s">
        <v>483</v>
      </c>
      <c r="E99" s="5" t="s">
        <v>488</v>
      </c>
      <c r="F99" s="12" t="s">
        <v>474</v>
      </c>
      <c r="G99" s="12" t="s">
        <v>486</v>
      </c>
      <c r="H99" s="12" t="s">
        <v>462</v>
      </c>
      <c r="I99" s="8">
        <v>45231</v>
      </c>
      <c r="J99" s="10" t="s">
        <v>485</v>
      </c>
      <c r="K99" s="11">
        <v>2</v>
      </c>
      <c r="L99" s="11">
        <v>7</v>
      </c>
      <c r="M99" s="11">
        <v>1</v>
      </c>
      <c r="N99" s="6" t="s">
        <v>482</v>
      </c>
      <c r="O99" s="7">
        <v>24.1</v>
      </c>
      <c r="P99" s="7">
        <v>19.7</v>
      </c>
      <c r="Q99" s="7">
        <v>6.4</v>
      </c>
      <c r="R99" s="4">
        <v>135</v>
      </c>
      <c r="S99" s="4">
        <f t="shared" si="5"/>
        <v>0.13500000000000001</v>
      </c>
      <c r="T99" s="4">
        <f t="shared" si="6"/>
        <v>1.6804979253112032E-2</v>
      </c>
      <c r="V99" s="4" t="s">
        <v>527</v>
      </c>
      <c r="W99" s="4" t="s">
        <v>112</v>
      </c>
      <c r="X99" s="4" t="s">
        <v>112</v>
      </c>
      <c r="Y99" s="4" t="s">
        <v>549</v>
      </c>
      <c r="Z99" s="4" t="s">
        <v>112</v>
      </c>
      <c r="AA99" s="4" t="s">
        <v>549</v>
      </c>
      <c r="AB99" s="20">
        <v>0.91459999999999997</v>
      </c>
      <c r="AC99" s="20">
        <v>0.92</v>
      </c>
      <c r="AD99" s="19">
        <f t="shared" si="4"/>
        <v>5.4000000000000714</v>
      </c>
      <c r="AE99" s="19">
        <v>231340</v>
      </c>
      <c r="AF99" s="19">
        <v>272113</v>
      </c>
      <c r="AG99" s="19">
        <v>222493</v>
      </c>
      <c r="AH99" s="19">
        <f t="shared" si="1"/>
        <v>241982</v>
      </c>
      <c r="AI99" s="19">
        <f t="shared" si="2"/>
        <v>44811.481481480892</v>
      </c>
    </row>
    <row r="100" spans="1:50" ht="12.75" customHeight="1">
      <c r="A100" s="4" t="s">
        <v>113</v>
      </c>
      <c r="B100" s="9" t="s">
        <v>487</v>
      </c>
      <c r="C100" s="5" t="s">
        <v>474</v>
      </c>
      <c r="D100" s="5" t="s">
        <v>483</v>
      </c>
      <c r="E100" s="5" t="s">
        <v>488</v>
      </c>
      <c r="F100" s="12" t="s">
        <v>474</v>
      </c>
      <c r="G100" s="12" t="s">
        <v>486</v>
      </c>
      <c r="H100" s="12" t="s">
        <v>462</v>
      </c>
      <c r="I100" s="8">
        <v>45231</v>
      </c>
      <c r="J100" s="10" t="s">
        <v>485</v>
      </c>
      <c r="K100" s="11">
        <v>2</v>
      </c>
      <c r="L100" s="11">
        <v>7</v>
      </c>
      <c r="M100" s="11">
        <v>1</v>
      </c>
      <c r="N100" s="6" t="s">
        <v>482</v>
      </c>
      <c r="O100" s="7">
        <v>35.1</v>
      </c>
      <c r="P100" s="7">
        <v>26.6</v>
      </c>
      <c r="Q100" s="7">
        <v>9.3000000000000007</v>
      </c>
      <c r="R100" s="4">
        <v>337</v>
      </c>
      <c r="S100" s="4">
        <f t="shared" si="5"/>
        <v>0.33700000000000002</v>
      </c>
      <c r="T100" s="4">
        <f t="shared" si="6"/>
        <v>2.8803418803418804E-2</v>
      </c>
      <c r="V100" s="4" t="s">
        <v>527</v>
      </c>
      <c r="W100" s="4" t="s">
        <v>113</v>
      </c>
      <c r="X100" s="4" t="s">
        <v>113</v>
      </c>
      <c r="Y100" s="4" t="s">
        <v>550</v>
      </c>
      <c r="Z100" s="4" t="s">
        <v>113</v>
      </c>
      <c r="AA100" s="4" t="s">
        <v>550</v>
      </c>
      <c r="AB100" s="20">
        <v>0.93169999999999997</v>
      </c>
      <c r="AC100" s="20">
        <v>0.94110000000000005</v>
      </c>
      <c r="AD100" s="19">
        <f t="shared" si="4"/>
        <v>9.400000000000075</v>
      </c>
      <c r="AE100" s="19">
        <v>234035</v>
      </c>
      <c r="AF100" s="19">
        <v>230418</v>
      </c>
      <c r="AG100" s="19">
        <v>224233</v>
      </c>
      <c r="AH100" s="19">
        <f t="shared" si="1"/>
        <v>229562</v>
      </c>
      <c r="AI100" s="19">
        <f t="shared" si="2"/>
        <v>24421.489361701933</v>
      </c>
    </row>
    <row r="101" spans="1:50" ht="12.75" customHeight="1">
      <c r="A101" s="4" t="s">
        <v>114</v>
      </c>
      <c r="B101" s="9" t="s">
        <v>487</v>
      </c>
      <c r="C101" s="5" t="s">
        <v>474</v>
      </c>
      <c r="D101" s="5" t="s">
        <v>483</v>
      </c>
      <c r="E101" s="5" t="s">
        <v>488</v>
      </c>
      <c r="F101" s="12" t="s">
        <v>474</v>
      </c>
      <c r="G101" s="12" t="s">
        <v>486</v>
      </c>
      <c r="H101" s="12" t="s">
        <v>462</v>
      </c>
      <c r="I101" s="8">
        <v>45231</v>
      </c>
      <c r="J101" s="10" t="s">
        <v>485</v>
      </c>
      <c r="K101" s="11">
        <v>2</v>
      </c>
      <c r="L101" s="11">
        <v>7</v>
      </c>
      <c r="M101" s="11">
        <v>1</v>
      </c>
      <c r="N101" s="6" t="s">
        <v>482</v>
      </c>
      <c r="O101" s="7">
        <v>34.6</v>
      </c>
      <c r="P101" s="7">
        <v>26.5</v>
      </c>
      <c r="Q101" s="7">
        <v>9.4</v>
      </c>
      <c r="R101" s="4">
        <v>325</v>
      </c>
      <c r="S101" s="4">
        <f t="shared" si="5"/>
        <v>0.32500000000000001</v>
      </c>
      <c r="T101" s="4">
        <f t="shared" si="6"/>
        <v>2.8179190751445087E-2</v>
      </c>
      <c r="V101" s="4" t="s">
        <v>527</v>
      </c>
      <c r="W101" s="4" t="s">
        <v>114</v>
      </c>
      <c r="X101" s="4" t="s">
        <v>114</v>
      </c>
      <c r="Y101" s="4" t="s">
        <v>551</v>
      </c>
      <c r="Z101" s="4" t="s">
        <v>114</v>
      </c>
      <c r="AA101" s="4" t="s">
        <v>551</v>
      </c>
      <c r="AB101" s="20">
        <v>0.9083</v>
      </c>
      <c r="AC101" s="20">
        <v>0.92579999999999996</v>
      </c>
      <c r="AD101" s="19">
        <f t="shared" si="4"/>
        <v>17.499999999999961</v>
      </c>
      <c r="AE101" s="19">
        <v>242900</v>
      </c>
      <c r="AF101" s="19">
        <v>276482</v>
      </c>
      <c r="AG101" s="19">
        <v>247257</v>
      </c>
      <c r="AH101" s="19">
        <f t="shared" si="1"/>
        <v>255546.33333333334</v>
      </c>
      <c r="AI101" s="19">
        <f t="shared" si="2"/>
        <v>14602.647619047651</v>
      </c>
    </row>
    <row r="102" spans="1:50" ht="12.75" customHeight="1">
      <c r="A102" s="4" t="s">
        <v>115</v>
      </c>
      <c r="B102" s="14" t="s">
        <v>487</v>
      </c>
      <c r="C102" s="4" t="s">
        <v>474</v>
      </c>
      <c r="D102" s="4" t="s">
        <v>483</v>
      </c>
      <c r="E102" s="4" t="s">
        <v>488</v>
      </c>
      <c r="F102" s="4" t="s">
        <v>474</v>
      </c>
      <c r="G102" s="4" t="s">
        <v>486</v>
      </c>
      <c r="H102" s="4" t="s">
        <v>462</v>
      </c>
      <c r="I102" s="8">
        <v>45231</v>
      </c>
      <c r="J102" s="4" t="s">
        <v>485</v>
      </c>
      <c r="K102" s="11">
        <v>2</v>
      </c>
      <c r="L102" s="11">
        <v>7</v>
      </c>
      <c r="M102" s="11">
        <v>1</v>
      </c>
      <c r="N102" s="6" t="s">
        <v>482</v>
      </c>
      <c r="O102" s="4">
        <v>30.5</v>
      </c>
      <c r="P102" s="4">
        <v>22.3</v>
      </c>
      <c r="Q102" s="4">
        <v>7.5</v>
      </c>
      <c r="R102" s="4">
        <v>216</v>
      </c>
      <c r="S102" s="4">
        <f t="shared" si="5"/>
        <v>0.216</v>
      </c>
      <c r="T102" s="4">
        <f t="shared" si="6"/>
        <v>2.1245901639344263E-2</v>
      </c>
      <c r="V102" s="4" t="s">
        <v>533</v>
      </c>
      <c r="W102" s="4" t="s">
        <v>115</v>
      </c>
      <c r="AB102" s="20"/>
      <c r="AC102" s="20"/>
      <c r="AD102" s="19"/>
      <c r="AE102" s="19"/>
      <c r="AF102" s="19"/>
      <c r="AG102" s="19"/>
      <c r="AH102" s="19"/>
      <c r="AI102" s="19"/>
    </row>
    <row r="103" spans="1:50" ht="12.75" customHeight="1">
      <c r="A103" s="4" t="s">
        <v>665</v>
      </c>
      <c r="B103" s="9" t="s">
        <v>487</v>
      </c>
      <c r="C103" s="5" t="s">
        <v>474</v>
      </c>
      <c r="D103" s="5" t="s">
        <v>483</v>
      </c>
      <c r="E103" s="5" t="s">
        <v>488</v>
      </c>
      <c r="F103" s="12" t="s">
        <v>474</v>
      </c>
      <c r="G103" s="12" t="s">
        <v>486</v>
      </c>
      <c r="H103" s="12" t="s">
        <v>462</v>
      </c>
      <c r="I103" s="8">
        <v>45231</v>
      </c>
      <c r="J103" s="10" t="s">
        <v>485</v>
      </c>
      <c r="K103" s="11">
        <v>2</v>
      </c>
      <c r="L103" s="11">
        <v>7</v>
      </c>
      <c r="M103" s="11">
        <v>1</v>
      </c>
      <c r="N103" s="6" t="s">
        <v>482</v>
      </c>
      <c r="O103" s="7">
        <v>41.5</v>
      </c>
      <c r="P103" s="7">
        <v>33.5</v>
      </c>
      <c r="Q103" s="7">
        <v>12.3</v>
      </c>
      <c r="R103" s="4">
        <v>587</v>
      </c>
      <c r="S103" s="4">
        <f t="shared" si="5"/>
        <v>0.58699999999999997</v>
      </c>
      <c r="T103" s="4">
        <f t="shared" si="6"/>
        <v>4.2433734939759035E-2</v>
      </c>
      <c r="V103" s="4" t="s">
        <v>540</v>
      </c>
      <c r="W103" s="4" t="s">
        <v>665</v>
      </c>
      <c r="X103" s="4" t="s">
        <v>665</v>
      </c>
      <c r="Y103" s="4">
        <v>1</v>
      </c>
      <c r="Z103" s="4" t="s">
        <v>665</v>
      </c>
      <c r="AA103" s="4">
        <v>1</v>
      </c>
      <c r="AB103" s="24"/>
      <c r="AC103" s="24"/>
      <c r="AD103" s="25"/>
      <c r="AE103" s="26"/>
      <c r="AF103" s="24"/>
      <c r="AG103" s="25"/>
      <c r="AH103" s="25"/>
      <c r="AJ103" s="4">
        <v>0.92749999999999999</v>
      </c>
      <c r="AK103" s="4">
        <v>0.93720000000000003</v>
      </c>
      <c r="AL103" s="4">
        <v>0.92930000000000001</v>
      </c>
      <c r="AM103" s="4">
        <v>9.7000000000000003E-3</v>
      </c>
      <c r="AN103" s="4">
        <v>1.8E-3</v>
      </c>
      <c r="AO103" s="4">
        <v>0.8144329897</v>
      </c>
      <c r="AP103" s="4">
        <v>81.443298970000001</v>
      </c>
      <c r="AQ103" s="4">
        <v>0.90449999999999997</v>
      </c>
      <c r="AR103" s="4">
        <v>0.94610000000000005</v>
      </c>
      <c r="AS103" s="4">
        <v>0.91349999999999998</v>
      </c>
      <c r="AT103" s="4">
        <v>4.1599999999999998E-2</v>
      </c>
      <c r="AU103" s="4">
        <v>8.9999999999999993E-3</v>
      </c>
      <c r="AV103" s="4">
        <v>0.7836538462</v>
      </c>
      <c r="AW103" s="4">
        <v>78.36538462</v>
      </c>
      <c r="AX103" s="27">
        <v>31.875</v>
      </c>
    </row>
    <row r="104" spans="1:50" ht="12.75" customHeight="1">
      <c r="A104" s="4" t="s">
        <v>666</v>
      </c>
      <c r="B104" s="9" t="s">
        <v>487</v>
      </c>
      <c r="C104" s="5" t="s">
        <v>474</v>
      </c>
      <c r="D104" s="5" t="s">
        <v>483</v>
      </c>
      <c r="E104" s="5" t="s">
        <v>488</v>
      </c>
      <c r="F104" s="12" t="s">
        <v>474</v>
      </c>
      <c r="G104" s="12" t="s">
        <v>486</v>
      </c>
      <c r="H104" s="12" t="s">
        <v>462</v>
      </c>
      <c r="I104" s="8">
        <v>45231</v>
      </c>
      <c r="J104" s="10" t="s">
        <v>485</v>
      </c>
      <c r="K104" s="11">
        <v>2</v>
      </c>
      <c r="L104" s="11">
        <v>7</v>
      </c>
      <c r="M104" s="11">
        <v>1</v>
      </c>
      <c r="N104" s="6" t="s">
        <v>482</v>
      </c>
      <c r="O104" s="7">
        <v>40</v>
      </c>
      <c r="P104" s="7">
        <v>21.9</v>
      </c>
      <c r="Q104" s="7">
        <v>10.8</v>
      </c>
      <c r="R104" s="4">
        <v>508</v>
      </c>
      <c r="S104" s="4">
        <f t="shared" si="5"/>
        <v>0.50800000000000001</v>
      </c>
      <c r="T104" s="4">
        <f t="shared" si="6"/>
        <v>3.8099999999999995E-2</v>
      </c>
      <c r="V104" s="4" t="s">
        <v>540</v>
      </c>
      <c r="W104" s="4" t="s">
        <v>666</v>
      </c>
      <c r="X104" s="4" t="s">
        <v>666</v>
      </c>
      <c r="Y104" s="4">
        <v>2</v>
      </c>
      <c r="Z104" s="4" t="s">
        <v>666</v>
      </c>
      <c r="AA104" s="4">
        <v>2</v>
      </c>
      <c r="AB104" s="24"/>
      <c r="AC104" s="24"/>
      <c r="AD104" s="25"/>
      <c r="AE104" s="26"/>
      <c r="AF104" s="24"/>
      <c r="AG104" s="25"/>
      <c r="AH104" s="25"/>
      <c r="AJ104" s="4">
        <v>0.93230000000000002</v>
      </c>
      <c r="AK104" s="4">
        <v>0.94340000000000002</v>
      </c>
      <c r="AL104" s="4">
        <v>0.93459999999999999</v>
      </c>
      <c r="AM104" s="4">
        <v>1.11E-2</v>
      </c>
      <c r="AN104" s="4">
        <v>2.3E-3</v>
      </c>
      <c r="AO104" s="4">
        <v>0.79279279280000003</v>
      </c>
      <c r="AP104" s="4">
        <v>79.279279279999997</v>
      </c>
      <c r="AQ104" s="4">
        <v>0.92290000000000005</v>
      </c>
      <c r="AR104" s="4">
        <v>0.95840000000000003</v>
      </c>
      <c r="AS104" s="4">
        <v>0.92930000000000001</v>
      </c>
      <c r="AT104" s="4">
        <v>3.5499999999999997E-2</v>
      </c>
      <c r="AU104" s="4">
        <v>6.4000000000000003E-3</v>
      </c>
      <c r="AV104" s="4">
        <v>0.81971830990000005</v>
      </c>
      <c r="AW104" s="4">
        <v>81.971830990000001</v>
      </c>
    </row>
    <row r="105" spans="1:50" ht="12.75" customHeight="1">
      <c r="A105" s="4" t="s">
        <v>667</v>
      </c>
      <c r="B105" s="9" t="s">
        <v>487</v>
      </c>
      <c r="C105" s="5" t="s">
        <v>474</v>
      </c>
      <c r="D105" s="5" t="s">
        <v>483</v>
      </c>
      <c r="E105" s="5" t="s">
        <v>488</v>
      </c>
      <c r="F105" s="12" t="s">
        <v>474</v>
      </c>
      <c r="G105" s="12" t="s">
        <v>486</v>
      </c>
      <c r="H105" s="12" t="s">
        <v>462</v>
      </c>
      <c r="I105" s="8">
        <v>45231</v>
      </c>
      <c r="J105" s="10" t="s">
        <v>485</v>
      </c>
      <c r="K105" s="11">
        <v>2</v>
      </c>
      <c r="L105" s="11">
        <v>7</v>
      </c>
      <c r="M105" s="11">
        <v>1</v>
      </c>
      <c r="N105" s="6" t="s">
        <v>482</v>
      </c>
      <c r="O105" s="7">
        <v>24</v>
      </c>
      <c r="P105" s="7">
        <v>20.5</v>
      </c>
      <c r="Q105" s="7">
        <v>6.7</v>
      </c>
      <c r="R105" s="4">
        <v>123</v>
      </c>
      <c r="S105" s="4">
        <f t="shared" si="5"/>
        <v>0.123</v>
      </c>
      <c r="T105" s="4">
        <f t="shared" si="6"/>
        <v>1.5375E-2</v>
      </c>
      <c r="V105" s="4" t="s">
        <v>540</v>
      </c>
      <c r="W105" s="4" t="s">
        <v>667</v>
      </c>
      <c r="X105" s="4" t="s">
        <v>667</v>
      </c>
      <c r="Y105" s="4">
        <v>3</v>
      </c>
      <c r="Z105" s="4" t="s">
        <v>667</v>
      </c>
      <c r="AA105" s="4">
        <v>3</v>
      </c>
      <c r="AB105" s="24"/>
      <c r="AC105" s="24"/>
      <c r="AD105" s="25"/>
      <c r="AE105" s="26"/>
      <c r="AF105" s="24"/>
      <c r="AG105" s="25"/>
      <c r="AH105" s="25"/>
      <c r="AJ105" s="4">
        <v>0.90869999999999995</v>
      </c>
      <c r="AK105" s="4">
        <v>0.9123</v>
      </c>
      <c r="AL105" s="4">
        <v>0.90920000000000001</v>
      </c>
      <c r="AM105" s="4">
        <v>3.5999999999999999E-3</v>
      </c>
      <c r="AN105" s="4">
        <v>5.0000000000000001E-4</v>
      </c>
      <c r="AO105" s="4">
        <v>0.86111111110000005</v>
      </c>
      <c r="AP105" s="4">
        <v>86.111111109999996</v>
      </c>
      <c r="AQ105" s="4">
        <v>0.93469999999999998</v>
      </c>
      <c r="AR105" s="4">
        <v>0.94869999999999999</v>
      </c>
      <c r="AS105" s="4">
        <v>0.93759999999999999</v>
      </c>
      <c r="AT105" s="4">
        <v>1.4E-2</v>
      </c>
      <c r="AU105" s="4">
        <v>2.8999999999999998E-3</v>
      </c>
      <c r="AV105" s="4">
        <v>0.79285714289999998</v>
      </c>
      <c r="AW105" s="4">
        <v>79.285714290000001</v>
      </c>
    </row>
    <row r="106" spans="1:50" ht="12.75" customHeight="1">
      <c r="A106" s="4" t="s">
        <v>668</v>
      </c>
      <c r="B106" s="9" t="s">
        <v>487</v>
      </c>
      <c r="C106" s="5" t="s">
        <v>474</v>
      </c>
      <c r="D106" s="5" t="s">
        <v>483</v>
      </c>
      <c r="E106" s="5" t="s">
        <v>488</v>
      </c>
      <c r="F106" s="12" t="s">
        <v>474</v>
      </c>
      <c r="G106" s="12" t="s">
        <v>486</v>
      </c>
      <c r="H106" s="12" t="s">
        <v>462</v>
      </c>
      <c r="I106" s="8">
        <v>45231</v>
      </c>
      <c r="J106" s="10" t="s">
        <v>485</v>
      </c>
      <c r="K106" s="11">
        <v>2</v>
      </c>
      <c r="L106" s="11">
        <v>7</v>
      </c>
      <c r="M106" s="11">
        <v>1</v>
      </c>
      <c r="N106" s="6" t="s">
        <v>482</v>
      </c>
      <c r="O106" s="7">
        <v>43.1</v>
      </c>
      <c r="P106" s="7">
        <v>33.6</v>
      </c>
      <c r="Q106" s="7">
        <v>11.5</v>
      </c>
      <c r="R106" s="4">
        <v>597</v>
      </c>
      <c r="S106" s="4">
        <f t="shared" si="5"/>
        <v>0.59699999999999998</v>
      </c>
      <c r="T106" s="4">
        <f t="shared" si="6"/>
        <v>4.1554524361948952E-2</v>
      </c>
      <c r="V106" s="4" t="s">
        <v>540</v>
      </c>
      <c r="W106" s="4" t="s">
        <v>668</v>
      </c>
      <c r="X106" s="4" t="s">
        <v>668</v>
      </c>
      <c r="Y106" s="4">
        <v>4</v>
      </c>
      <c r="Z106" s="4" t="s">
        <v>668</v>
      </c>
      <c r="AA106" s="4">
        <v>4</v>
      </c>
      <c r="AB106" s="24"/>
      <c r="AC106" s="24"/>
      <c r="AD106" s="25"/>
      <c r="AE106" s="26"/>
      <c r="AF106" s="24"/>
      <c r="AG106" s="25"/>
      <c r="AH106" s="25"/>
      <c r="AJ106" s="4">
        <v>0.92959999999999998</v>
      </c>
      <c r="AK106" s="4">
        <v>0.93700000000000006</v>
      </c>
      <c r="AL106" s="4">
        <v>0.93020000000000003</v>
      </c>
      <c r="AM106" s="4">
        <v>7.4000000000000003E-3</v>
      </c>
      <c r="AN106" s="4">
        <v>5.9999999999999995E-4</v>
      </c>
      <c r="AO106" s="4">
        <v>0.91891891889999999</v>
      </c>
      <c r="AP106" s="4">
        <v>91.891891889999997</v>
      </c>
      <c r="AQ106" s="4">
        <v>0.92530000000000001</v>
      </c>
      <c r="AR106" s="4">
        <v>0.96479999999999999</v>
      </c>
      <c r="AS106" s="4">
        <v>0.93379999999999996</v>
      </c>
      <c r="AT106" s="4">
        <v>3.95E-2</v>
      </c>
      <c r="AU106" s="4">
        <v>8.5000000000000006E-3</v>
      </c>
      <c r="AV106" s="4">
        <v>0.78481012660000005</v>
      </c>
      <c r="AW106" s="4">
        <v>78.481012660000005</v>
      </c>
    </row>
    <row r="107" spans="1:50" ht="12.75" customHeight="1">
      <c r="A107" s="4" t="s">
        <v>669</v>
      </c>
      <c r="B107" s="9" t="s">
        <v>487</v>
      </c>
      <c r="C107" s="5" t="s">
        <v>474</v>
      </c>
      <c r="D107" s="5" t="s">
        <v>483</v>
      </c>
      <c r="E107" s="5" t="s">
        <v>488</v>
      </c>
      <c r="F107" s="12" t="s">
        <v>474</v>
      </c>
      <c r="G107" s="12" t="s">
        <v>486</v>
      </c>
      <c r="H107" s="12" t="s">
        <v>462</v>
      </c>
      <c r="I107" s="8">
        <v>45231</v>
      </c>
      <c r="J107" s="10" t="s">
        <v>485</v>
      </c>
      <c r="K107" s="11">
        <v>2</v>
      </c>
      <c r="L107" s="11">
        <v>7</v>
      </c>
      <c r="M107" s="11">
        <v>1</v>
      </c>
      <c r="N107" s="6" t="s">
        <v>482</v>
      </c>
      <c r="O107" s="7">
        <v>40.5</v>
      </c>
      <c r="P107" s="7">
        <v>31.2</v>
      </c>
      <c r="Q107" s="7">
        <v>11.3</v>
      </c>
      <c r="R107" s="4">
        <v>469</v>
      </c>
      <c r="S107" s="4">
        <f t="shared" si="5"/>
        <v>0.46899999999999997</v>
      </c>
      <c r="T107" s="4">
        <f t="shared" si="6"/>
        <v>3.4740740740740739E-2</v>
      </c>
      <c r="V107" s="4" t="s">
        <v>540</v>
      </c>
      <c r="W107" s="4" t="s">
        <v>669</v>
      </c>
      <c r="X107" s="4" t="s">
        <v>669</v>
      </c>
      <c r="Y107" s="4">
        <v>5</v>
      </c>
      <c r="Z107" s="4" t="s">
        <v>669</v>
      </c>
      <c r="AA107" s="4">
        <v>5</v>
      </c>
      <c r="AB107" s="24"/>
      <c r="AC107" s="24"/>
      <c r="AD107" s="25"/>
      <c r="AE107" s="26"/>
      <c r="AF107" s="24"/>
      <c r="AG107" s="25"/>
      <c r="AH107" s="25"/>
      <c r="AJ107" s="4">
        <v>1.1017999999999999</v>
      </c>
      <c r="AK107" s="4">
        <v>1.1153999999999999</v>
      </c>
      <c r="AL107" s="4">
        <v>1.1040000000000001</v>
      </c>
      <c r="AM107" s="4">
        <v>1.3599999999999999E-2</v>
      </c>
      <c r="AN107" s="4">
        <v>2.2000000000000001E-3</v>
      </c>
      <c r="AO107" s="4">
        <v>0.83823529409999997</v>
      </c>
      <c r="AP107" s="4">
        <v>83.823529410000006</v>
      </c>
      <c r="AQ107" s="4">
        <v>0.89839999999999998</v>
      </c>
      <c r="AR107" s="4">
        <v>0.94979999999999998</v>
      </c>
      <c r="AS107" s="4">
        <v>0.9093</v>
      </c>
      <c r="AT107" s="4">
        <v>5.1400000000000001E-2</v>
      </c>
      <c r="AU107" s="4">
        <v>1.09E-2</v>
      </c>
      <c r="AV107" s="4">
        <v>0.78793774319999998</v>
      </c>
      <c r="AW107" s="4">
        <v>78.793774319999997</v>
      </c>
    </row>
    <row r="108" spans="1:50" ht="12.75" customHeight="1">
      <c r="A108" s="4" t="s">
        <v>670</v>
      </c>
      <c r="B108" s="9" t="s">
        <v>487</v>
      </c>
      <c r="C108" s="5" t="s">
        <v>474</v>
      </c>
      <c r="D108" s="5" t="s">
        <v>483</v>
      </c>
      <c r="E108" s="5" t="s">
        <v>488</v>
      </c>
      <c r="F108" s="12" t="s">
        <v>474</v>
      </c>
      <c r="G108" s="12" t="s">
        <v>486</v>
      </c>
      <c r="H108" s="12" t="s">
        <v>462</v>
      </c>
      <c r="I108" s="8">
        <v>45231</v>
      </c>
      <c r="J108" s="10" t="s">
        <v>485</v>
      </c>
      <c r="K108" s="11">
        <v>2</v>
      </c>
      <c r="L108" s="11">
        <v>7</v>
      </c>
      <c r="M108" s="11">
        <v>1</v>
      </c>
      <c r="N108" s="6" t="s">
        <v>482</v>
      </c>
      <c r="O108" s="7">
        <v>43.4</v>
      </c>
      <c r="P108" s="7">
        <v>33.1</v>
      </c>
      <c r="Q108" s="7">
        <v>12.4</v>
      </c>
      <c r="R108" s="4">
        <v>665</v>
      </c>
      <c r="S108" s="4">
        <f t="shared" si="5"/>
        <v>0.66500000000000004</v>
      </c>
      <c r="T108" s="4">
        <f t="shared" si="6"/>
        <v>4.5967741935483877E-2</v>
      </c>
      <c r="V108" s="4" t="s">
        <v>540</v>
      </c>
      <c r="W108" s="4" t="s">
        <v>670</v>
      </c>
      <c r="X108" s="4" t="s">
        <v>670</v>
      </c>
      <c r="Y108" s="4">
        <v>6</v>
      </c>
      <c r="Z108" s="4" t="s">
        <v>670</v>
      </c>
      <c r="AA108" s="4">
        <v>6</v>
      </c>
      <c r="AB108" s="24"/>
      <c r="AC108" s="24"/>
      <c r="AD108" s="25"/>
      <c r="AE108" s="26"/>
      <c r="AF108" s="24"/>
      <c r="AG108" s="25"/>
      <c r="AH108" s="25"/>
      <c r="AJ108" s="4">
        <v>1.1173999999999999</v>
      </c>
      <c r="AK108" s="4">
        <v>1.1245000000000001</v>
      </c>
      <c r="AL108" s="4">
        <v>1.1188</v>
      </c>
      <c r="AM108" s="4">
        <v>7.1000000000000004E-3</v>
      </c>
      <c r="AN108" s="4">
        <v>1.4E-3</v>
      </c>
      <c r="AO108" s="4">
        <v>0.80281690139999995</v>
      </c>
      <c r="AP108" s="4">
        <v>80.281690139999995</v>
      </c>
      <c r="AQ108" s="4">
        <v>0.90769999999999995</v>
      </c>
      <c r="AR108" s="4">
        <v>0.95409999999999995</v>
      </c>
      <c r="AS108" s="4">
        <v>0.91810000000000003</v>
      </c>
      <c r="AT108" s="4">
        <v>4.6399999999999997E-2</v>
      </c>
      <c r="AU108" s="4">
        <v>1.04E-2</v>
      </c>
      <c r="AV108" s="4">
        <v>0.77586206899999999</v>
      </c>
      <c r="AW108" s="4">
        <v>77.586206899999993</v>
      </c>
    </row>
    <row r="109" spans="1:50" ht="12.75" customHeight="1">
      <c r="A109" s="4" t="s">
        <v>671</v>
      </c>
      <c r="B109" s="9" t="s">
        <v>487</v>
      </c>
      <c r="C109" s="5" t="s">
        <v>474</v>
      </c>
      <c r="D109" s="5" t="s">
        <v>483</v>
      </c>
      <c r="E109" s="5" t="s">
        <v>488</v>
      </c>
      <c r="F109" s="12" t="s">
        <v>474</v>
      </c>
      <c r="G109" s="12" t="s">
        <v>486</v>
      </c>
      <c r="H109" s="12" t="s">
        <v>462</v>
      </c>
      <c r="I109" s="8">
        <v>45231</v>
      </c>
      <c r="J109" s="10" t="s">
        <v>485</v>
      </c>
      <c r="K109" s="11">
        <v>2</v>
      </c>
      <c r="L109" s="11">
        <v>7</v>
      </c>
      <c r="M109" s="11">
        <v>1</v>
      </c>
      <c r="N109" s="6" t="s">
        <v>482</v>
      </c>
      <c r="O109" s="7">
        <v>25.7</v>
      </c>
      <c r="P109" s="7">
        <v>21.8</v>
      </c>
      <c r="Q109" s="7">
        <v>7.9</v>
      </c>
      <c r="R109" s="4">
        <v>171</v>
      </c>
      <c r="S109" s="4">
        <f t="shared" si="5"/>
        <v>0.17100000000000001</v>
      </c>
      <c r="T109" s="4">
        <f t="shared" si="6"/>
        <v>1.9961089494163427E-2</v>
      </c>
      <c r="V109" s="4" t="s">
        <v>540</v>
      </c>
      <c r="W109" s="4" t="s">
        <v>671</v>
      </c>
      <c r="X109" s="4" t="s">
        <v>671</v>
      </c>
      <c r="Y109" s="4">
        <v>7</v>
      </c>
      <c r="Z109" s="4" t="s">
        <v>671</v>
      </c>
      <c r="AA109" s="4">
        <v>7</v>
      </c>
      <c r="AB109" s="24"/>
      <c r="AC109" s="24"/>
      <c r="AD109" s="25"/>
      <c r="AE109" s="26"/>
      <c r="AF109" s="24"/>
      <c r="AG109" s="25"/>
      <c r="AH109" s="25"/>
      <c r="AJ109" s="4">
        <v>0.91949999999999998</v>
      </c>
      <c r="AK109" s="4">
        <v>0.96799999999999997</v>
      </c>
      <c r="AL109" s="4">
        <v>0.9204</v>
      </c>
      <c r="AM109" s="4">
        <v>4.8500000000000001E-2</v>
      </c>
      <c r="AN109" s="4">
        <v>8.9999999999999998E-4</v>
      </c>
      <c r="AO109" s="4">
        <v>0.98144329900000005</v>
      </c>
      <c r="AP109" s="4">
        <v>98.144329900000002</v>
      </c>
      <c r="AQ109" s="4">
        <v>0.91579999999999995</v>
      </c>
      <c r="AR109" s="4">
        <v>0.94769999999999999</v>
      </c>
      <c r="AS109" s="4">
        <v>0.91920000000000002</v>
      </c>
      <c r="AT109" s="4">
        <v>3.1899999999999998E-2</v>
      </c>
      <c r="AU109" s="4">
        <v>3.3999999999999998E-3</v>
      </c>
      <c r="AV109" s="4">
        <v>0.89341692790000005</v>
      </c>
      <c r="AW109" s="4">
        <v>89.341692789999996</v>
      </c>
    </row>
    <row r="110" spans="1:50" ht="12.75" customHeight="1">
      <c r="A110" s="4" t="s">
        <v>672</v>
      </c>
      <c r="B110" s="9" t="s">
        <v>487</v>
      </c>
      <c r="C110" s="5" t="s">
        <v>474</v>
      </c>
      <c r="D110" s="5" t="s">
        <v>483</v>
      </c>
      <c r="E110" s="5" t="s">
        <v>488</v>
      </c>
      <c r="F110" s="12" t="s">
        <v>474</v>
      </c>
      <c r="G110" s="12" t="s">
        <v>486</v>
      </c>
      <c r="H110" s="12" t="s">
        <v>462</v>
      </c>
      <c r="I110" s="8">
        <v>45231</v>
      </c>
      <c r="J110" s="10" t="s">
        <v>485</v>
      </c>
      <c r="K110" s="11">
        <v>2</v>
      </c>
      <c r="L110" s="11">
        <v>7</v>
      </c>
      <c r="M110" s="11">
        <v>1</v>
      </c>
      <c r="N110" s="6" t="s">
        <v>482</v>
      </c>
      <c r="O110" s="7">
        <v>44.1</v>
      </c>
      <c r="P110" s="7">
        <v>34</v>
      </c>
      <c r="Q110" s="7">
        <v>12.3</v>
      </c>
      <c r="R110" s="4">
        <v>657</v>
      </c>
      <c r="S110" s="4">
        <f t="shared" si="5"/>
        <v>0.65700000000000003</v>
      </c>
      <c r="T110" s="4">
        <f t="shared" si="6"/>
        <v>4.469387755102041E-2</v>
      </c>
      <c r="V110" s="4" t="s">
        <v>540</v>
      </c>
      <c r="W110" s="4" t="s">
        <v>672</v>
      </c>
      <c r="X110" s="4" t="s">
        <v>672</v>
      </c>
      <c r="Y110" s="4">
        <v>8</v>
      </c>
      <c r="Z110" s="4" t="s">
        <v>672</v>
      </c>
      <c r="AA110" s="4">
        <v>8</v>
      </c>
      <c r="AB110" s="24"/>
      <c r="AC110" s="24"/>
      <c r="AD110" s="25"/>
      <c r="AE110" s="26"/>
      <c r="AF110" s="24"/>
      <c r="AG110" s="25"/>
      <c r="AH110" s="25"/>
      <c r="AJ110" s="4">
        <v>0.92320000000000002</v>
      </c>
      <c r="AK110" s="4">
        <v>0.93810000000000004</v>
      </c>
      <c r="AL110" s="4">
        <v>0.9254</v>
      </c>
      <c r="AM110" s="4">
        <v>1.49E-2</v>
      </c>
      <c r="AN110" s="4">
        <v>2.2000000000000001E-3</v>
      </c>
      <c r="AO110" s="4">
        <v>0.85234899330000002</v>
      </c>
      <c r="AP110" s="4">
        <v>85.234899330000005</v>
      </c>
      <c r="AQ110" s="4">
        <v>0.91210000000000002</v>
      </c>
      <c r="AR110" s="4">
        <v>0.95050000000000001</v>
      </c>
      <c r="AS110" s="4">
        <v>0.92010000000000003</v>
      </c>
      <c r="AT110" s="4">
        <v>3.8399999999999997E-2</v>
      </c>
      <c r="AU110" s="4">
        <v>8.0000000000000002E-3</v>
      </c>
      <c r="AV110" s="4">
        <v>0.79166666669999997</v>
      </c>
      <c r="AW110" s="4">
        <v>79.166666669999998</v>
      </c>
    </row>
    <row r="111" spans="1:50" ht="12.75" customHeight="1">
      <c r="A111" s="4" t="s">
        <v>673</v>
      </c>
      <c r="B111" s="9" t="s">
        <v>487</v>
      </c>
      <c r="C111" s="5" t="s">
        <v>474</v>
      </c>
      <c r="D111" s="5" t="s">
        <v>483</v>
      </c>
      <c r="E111" s="5" t="s">
        <v>488</v>
      </c>
      <c r="F111" s="12" t="s">
        <v>474</v>
      </c>
      <c r="G111" s="12" t="s">
        <v>486</v>
      </c>
      <c r="H111" s="12" t="s">
        <v>462</v>
      </c>
      <c r="I111" s="8">
        <v>45231</v>
      </c>
      <c r="J111" s="10" t="s">
        <v>485</v>
      </c>
      <c r="K111" s="11">
        <v>2</v>
      </c>
      <c r="L111" s="11">
        <v>7</v>
      </c>
      <c r="M111" s="11">
        <v>1</v>
      </c>
      <c r="N111" s="6" t="s">
        <v>482</v>
      </c>
      <c r="O111" s="7">
        <v>38.6</v>
      </c>
      <c r="P111" s="7">
        <v>30.1</v>
      </c>
      <c r="Q111" s="7">
        <v>10.5</v>
      </c>
      <c r="R111" s="4">
        <v>404</v>
      </c>
      <c r="S111" s="4">
        <f t="shared" si="5"/>
        <v>0.40400000000000003</v>
      </c>
      <c r="T111" s="4">
        <f t="shared" si="6"/>
        <v>3.1398963730569954E-2</v>
      </c>
      <c r="V111" s="4" t="s">
        <v>540</v>
      </c>
      <c r="W111" s="4" t="s">
        <v>673</v>
      </c>
      <c r="X111" s="4" t="s">
        <v>673</v>
      </c>
      <c r="Y111" s="4">
        <v>9</v>
      </c>
      <c r="Z111" s="4" t="s">
        <v>673</v>
      </c>
      <c r="AA111" s="4">
        <v>9</v>
      </c>
      <c r="AB111" s="24"/>
      <c r="AC111" s="24"/>
      <c r="AD111" s="25"/>
      <c r="AE111" s="26"/>
      <c r="AF111" s="24"/>
      <c r="AG111" s="25"/>
      <c r="AH111" s="25"/>
      <c r="AJ111" s="4">
        <v>0.91180000000000005</v>
      </c>
      <c r="AK111" s="4">
        <v>0.91849999999999998</v>
      </c>
      <c r="AL111" s="4">
        <v>0.91339999999999999</v>
      </c>
      <c r="AM111" s="4">
        <v>6.7000000000000002E-3</v>
      </c>
      <c r="AN111" s="4">
        <v>1.6000000000000001E-3</v>
      </c>
      <c r="AO111" s="4">
        <v>0.76119402989999996</v>
      </c>
      <c r="AP111" s="4">
        <v>76.119402989999998</v>
      </c>
      <c r="AQ111" s="4">
        <v>0.92510000000000003</v>
      </c>
      <c r="AR111" s="4">
        <v>0.95779999999999998</v>
      </c>
      <c r="AS111" s="4">
        <v>0.93259999999999998</v>
      </c>
      <c r="AT111" s="4">
        <v>3.27E-2</v>
      </c>
      <c r="AU111" s="4">
        <v>7.4999999999999997E-3</v>
      </c>
      <c r="AV111" s="4">
        <v>0.77064220179999998</v>
      </c>
      <c r="AW111" s="4">
        <v>77.064220180000007</v>
      </c>
    </row>
    <row r="112" spans="1:50" ht="12.75" customHeight="1">
      <c r="A112" s="4" t="s">
        <v>674</v>
      </c>
      <c r="B112" s="9" t="s">
        <v>487</v>
      </c>
      <c r="C112" s="5" t="s">
        <v>474</v>
      </c>
      <c r="D112" s="5" t="s">
        <v>483</v>
      </c>
      <c r="E112" s="5" t="s">
        <v>488</v>
      </c>
      <c r="F112" s="12" t="s">
        <v>474</v>
      </c>
      <c r="G112" s="12" t="s">
        <v>486</v>
      </c>
      <c r="H112" s="12" t="s">
        <v>462</v>
      </c>
      <c r="I112" s="8">
        <v>45231</v>
      </c>
      <c r="J112" s="10" t="s">
        <v>485</v>
      </c>
      <c r="K112" s="11">
        <v>2</v>
      </c>
      <c r="L112" s="11">
        <v>7</v>
      </c>
      <c r="M112" s="11">
        <v>1</v>
      </c>
      <c r="N112" s="6" t="s">
        <v>482</v>
      </c>
      <c r="O112" s="7">
        <v>32.1</v>
      </c>
      <c r="P112" s="7">
        <v>23.9</v>
      </c>
      <c r="Q112" s="7">
        <v>9</v>
      </c>
      <c r="R112" s="4">
        <v>264</v>
      </c>
      <c r="S112" s="4">
        <f t="shared" si="5"/>
        <v>0.26400000000000001</v>
      </c>
      <c r="T112" s="4">
        <f t="shared" si="6"/>
        <v>2.467289719626168E-2</v>
      </c>
      <c r="V112" s="4" t="s">
        <v>540</v>
      </c>
      <c r="W112" s="4" t="s">
        <v>674</v>
      </c>
      <c r="X112" s="4" t="s">
        <v>674</v>
      </c>
      <c r="Y112" s="4">
        <v>10</v>
      </c>
      <c r="Z112" s="4" t="s">
        <v>674</v>
      </c>
      <c r="AA112" s="4">
        <v>10</v>
      </c>
      <c r="AB112" s="24"/>
      <c r="AC112" s="24"/>
      <c r="AD112" s="25"/>
      <c r="AE112" s="26"/>
      <c r="AF112" s="24"/>
      <c r="AG112" s="25"/>
      <c r="AH112" s="25"/>
      <c r="AJ112" s="4">
        <v>0.91600000000000004</v>
      </c>
      <c r="AK112" s="4">
        <v>0.9244</v>
      </c>
      <c r="AL112" s="4">
        <v>0.9173</v>
      </c>
      <c r="AM112" s="4">
        <v>8.3999999999999995E-3</v>
      </c>
      <c r="AN112" s="4">
        <v>1.2999999999999999E-3</v>
      </c>
      <c r="AO112" s="4">
        <v>0.84523809520000004</v>
      </c>
      <c r="AP112" s="4">
        <v>84.52380952</v>
      </c>
      <c r="AQ112" s="4">
        <v>0.91900000000000004</v>
      </c>
      <c r="AR112" s="4">
        <v>0.92949999999999999</v>
      </c>
      <c r="AS112" s="4">
        <v>0.92120000000000002</v>
      </c>
      <c r="AT112" s="4">
        <v>1.0500000000000001E-2</v>
      </c>
      <c r="AU112" s="4">
        <v>2.2000000000000001E-3</v>
      </c>
      <c r="AV112" s="4">
        <v>0.79047619049999995</v>
      </c>
      <c r="AW112" s="4">
        <v>79.047619049999994</v>
      </c>
    </row>
    <row r="113" spans="1:35" ht="12.75" customHeight="1">
      <c r="A113" s="4" t="s">
        <v>126</v>
      </c>
      <c r="B113" s="9" t="s">
        <v>491</v>
      </c>
      <c r="C113" s="5" t="s">
        <v>474</v>
      </c>
      <c r="D113" s="5" t="s">
        <v>475</v>
      </c>
      <c r="E113" s="5" t="s">
        <v>492</v>
      </c>
      <c r="F113" s="10" t="s">
        <v>474</v>
      </c>
      <c r="G113" s="12" t="s">
        <v>486</v>
      </c>
      <c r="H113" s="12" t="s">
        <v>462</v>
      </c>
      <c r="I113" s="8">
        <v>45245</v>
      </c>
      <c r="J113" s="10" t="s">
        <v>477</v>
      </c>
      <c r="K113" s="11">
        <v>1</v>
      </c>
      <c r="L113" s="11">
        <v>8</v>
      </c>
      <c r="M113" s="11">
        <v>4</v>
      </c>
      <c r="N113" s="6" t="s">
        <v>482</v>
      </c>
      <c r="O113" s="7">
        <v>33.1</v>
      </c>
      <c r="P113" s="7">
        <v>27.4</v>
      </c>
      <c r="Q113" s="7">
        <v>10.199999999999999</v>
      </c>
      <c r="R113" s="4">
        <v>445</v>
      </c>
      <c r="S113" s="4">
        <f t="shared" si="5"/>
        <v>0.44500000000000001</v>
      </c>
      <c r="T113" s="4">
        <f t="shared" si="6"/>
        <v>4.0332326283987918E-2</v>
      </c>
      <c r="V113" s="4" t="s">
        <v>527</v>
      </c>
      <c r="W113" s="4" t="s">
        <v>126</v>
      </c>
      <c r="X113" s="4" t="s">
        <v>126</v>
      </c>
      <c r="Y113" s="4" t="s">
        <v>555</v>
      </c>
      <c r="Z113" s="4" t="s">
        <v>126</v>
      </c>
      <c r="AA113" s="4" t="s">
        <v>555</v>
      </c>
      <c r="AB113" s="20">
        <v>0.90920000000000001</v>
      </c>
      <c r="AC113" s="20">
        <v>0.92149999999999999</v>
      </c>
      <c r="AD113" s="19">
        <f t="shared" si="4"/>
        <v>12.299999999999978</v>
      </c>
      <c r="AE113" s="19">
        <v>818546</v>
      </c>
      <c r="AF113" s="19">
        <v>804249</v>
      </c>
      <c r="AG113" s="19">
        <v>883089</v>
      </c>
      <c r="AH113" s="19">
        <f t="shared" si="1"/>
        <v>835294.66666666663</v>
      </c>
      <c r="AI113" s="19">
        <f t="shared" si="2"/>
        <v>67910.135501355137</v>
      </c>
    </row>
    <row r="114" spans="1:35" ht="12.75" customHeight="1">
      <c r="A114" s="4" t="s">
        <v>127</v>
      </c>
      <c r="B114" s="9" t="s">
        <v>491</v>
      </c>
      <c r="C114" s="5" t="s">
        <v>474</v>
      </c>
      <c r="D114" s="5" t="s">
        <v>475</v>
      </c>
      <c r="E114" s="5" t="s">
        <v>492</v>
      </c>
      <c r="F114" s="10" t="s">
        <v>474</v>
      </c>
      <c r="G114" s="12" t="s">
        <v>486</v>
      </c>
      <c r="H114" s="12" t="s">
        <v>462</v>
      </c>
      <c r="I114" s="8">
        <v>45245</v>
      </c>
      <c r="J114" s="10" t="s">
        <v>477</v>
      </c>
      <c r="K114" s="11">
        <v>1</v>
      </c>
      <c r="L114" s="11">
        <v>8</v>
      </c>
      <c r="M114" s="11">
        <v>4</v>
      </c>
      <c r="N114" s="6" t="s">
        <v>482</v>
      </c>
      <c r="O114" s="7">
        <v>31.4</v>
      </c>
      <c r="P114" s="7">
        <v>24.1</v>
      </c>
      <c r="Q114" s="7">
        <v>8.6</v>
      </c>
      <c r="R114" s="4">
        <v>263</v>
      </c>
      <c r="S114" s="4">
        <f t="shared" si="5"/>
        <v>0.26300000000000001</v>
      </c>
      <c r="T114" s="4">
        <f t="shared" si="6"/>
        <v>2.5127388535031853E-2</v>
      </c>
      <c r="V114" s="4" t="s">
        <v>527</v>
      </c>
      <c r="W114" s="4" t="s">
        <v>127</v>
      </c>
      <c r="X114" s="4" t="s">
        <v>127</v>
      </c>
      <c r="Y114" s="4" t="s">
        <v>556</v>
      </c>
      <c r="Z114" s="4" t="s">
        <v>127</v>
      </c>
      <c r="AA114" s="4" t="s">
        <v>556</v>
      </c>
      <c r="AB114" s="20">
        <v>0.93049999999999999</v>
      </c>
      <c r="AC114" s="20">
        <v>0.93679999999999997</v>
      </c>
      <c r="AD114" s="19">
        <f t="shared" si="4"/>
        <v>6.2999999999999723</v>
      </c>
      <c r="AE114" s="19">
        <v>832134</v>
      </c>
      <c r="AF114" s="19">
        <v>853734</v>
      </c>
      <c r="AG114" s="19">
        <v>870084</v>
      </c>
      <c r="AH114" s="19">
        <f t="shared" si="1"/>
        <v>851984</v>
      </c>
      <c r="AI114" s="19">
        <f t="shared" si="2"/>
        <v>135235.55555555614</v>
      </c>
    </row>
    <row r="115" spans="1:35" ht="12.75" customHeight="1">
      <c r="A115" s="4" t="s">
        <v>128</v>
      </c>
      <c r="B115" s="9" t="s">
        <v>491</v>
      </c>
      <c r="C115" s="5" t="s">
        <v>474</v>
      </c>
      <c r="D115" s="5" t="s">
        <v>475</v>
      </c>
      <c r="E115" s="5" t="s">
        <v>492</v>
      </c>
      <c r="F115" s="10" t="s">
        <v>474</v>
      </c>
      <c r="G115" s="12" t="s">
        <v>486</v>
      </c>
      <c r="H115" s="12" t="s">
        <v>462</v>
      </c>
      <c r="I115" s="8">
        <v>45245</v>
      </c>
      <c r="J115" s="10" t="s">
        <v>477</v>
      </c>
      <c r="K115" s="11">
        <v>1</v>
      </c>
      <c r="L115" s="11">
        <v>8</v>
      </c>
      <c r="M115" s="11">
        <v>4</v>
      </c>
      <c r="N115" s="6" t="s">
        <v>482</v>
      </c>
      <c r="O115" s="7">
        <v>36</v>
      </c>
      <c r="P115" s="7">
        <v>25.9</v>
      </c>
      <c r="Q115" s="7">
        <v>8.9</v>
      </c>
      <c r="R115" s="4">
        <v>328</v>
      </c>
      <c r="S115" s="4">
        <f t="shared" si="5"/>
        <v>0.32800000000000001</v>
      </c>
      <c r="T115" s="4">
        <f t="shared" si="6"/>
        <v>2.7333333333333334E-2</v>
      </c>
      <c r="V115" s="4" t="s">
        <v>527</v>
      </c>
      <c r="W115" s="4" t="s">
        <v>128</v>
      </c>
      <c r="X115" s="4" t="s">
        <v>128</v>
      </c>
      <c r="Y115" s="4" t="s">
        <v>557</v>
      </c>
      <c r="Z115" s="4" t="s">
        <v>128</v>
      </c>
      <c r="AA115" s="4" t="s">
        <v>557</v>
      </c>
      <c r="AB115" s="20">
        <v>0.91569999999999996</v>
      </c>
      <c r="AC115" s="20">
        <v>0.92490000000000006</v>
      </c>
      <c r="AD115" s="19">
        <f t="shared" si="4"/>
        <v>9.200000000000097</v>
      </c>
      <c r="AE115" s="19">
        <v>513194</v>
      </c>
      <c r="AF115" s="19">
        <v>574454</v>
      </c>
      <c r="AG115" s="19">
        <v>563636</v>
      </c>
      <c r="AH115" s="19">
        <f t="shared" si="1"/>
        <v>550428</v>
      </c>
      <c r="AI115" s="19">
        <f t="shared" si="2"/>
        <v>59829.130434781975</v>
      </c>
    </row>
    <row r="116" spans="1:35" ht="12.75" customHeight="1">
      <c r="A116" s="4" t="s">
        <v>129</v>
      </c>
      <c r="B116" s="9" t="s">
        <v>491</v>
      </c>
      <c r="C116" s="5" t="s">
        <v>474</v>
      </c>
      <c r="D116" s="5" t="s">
        <v>475</v>
      </c>
      <c r="E116" s="5" t="s">
        <v>492</v>
      </c>
      <c r="F116" s="10" t="s">
        <v>474</v>
      </c>
      <c r="G116" s="12" t="s">
        <v>486</v>
      </c>
      <c r="H116" s="12" t="s">
        <v>462</v>
      </c>
      <c r="I116" s="8">
        <v>45245</v>
      </c>
      <c r="J116" s="10" t="s">
        <v>477</v>
      </c>
      <c r="K116" s="11">
        <v>1</v>
      </c>
      <c r="L116" s="11">
        <v>8</v>
      </c>
      <c r="M116" s="11">
        <v>4</v>
      </c>
      <c r="N116" s="6" t="s">
        <v>482</v>
      </c>
      <c r="O116" s="7">
        <v>40.4</v>
      </c>
      <c r="P116" s="7">
        <v>31.1</v>
      </c>
      <c r="Q116" s="7">
        <v>11.6</v>
      </c>
      <c r="R116" s="4">
        <v>589</v>
      </c>
      <c r="S116" s="4">
        <f t="shared" si="5"/>
        <v>0.58899999999999997</v>
      </c>
      <c r="T116" s="4">
        <f t="shared" si="6"/>
        <v>4.3737623762376235E-2</v>
      </c>
      <c r="V116" s="4" t="s">
        <v>527</v>
      </c>
      <c r="W116" s="4" t="s">
        <v>129</v>
      </c>
      <c r="X116" s="4" t="s">
        <v>129</v>
      </c>
      <c r="Y116" s="4" t="s">
        <v>558</v>
      </c>
      <c r="Z116" s="4" t="s">
        <v>129</v>
      </c>
      <c r="AA116" s="4" t="s">
        <v>558</v>
      </c>
      <c r="AB116" s="20">
        <v>1.1178999999999999</v>
      </c>
      <c r="AC116" s="20">
        <v>1.1283000000000001</v>
      </c>
      <c r="AD116" s="19">
        <f t="shared" si="4"/>
        <v>10.400000000000187</v>
      </c>
      <c r="AE116" s="19">
        <v>518103</v>
      </c>
      <c r="AF116" s="19">
        <v>518023</v>
      </c>
      <c r="AG116" s="19">
        <v>530322</v>
      </c>
      <c r="AH116" s="19">
        <f t="shared" si="1"/>
        <v>522149.33333333331</v>
      </c>
      <c r="AI116" s="19">
        <f t="shared" si="2"/>
        <v>50206.666666665762</v>
      </c>
    </row>
    <row r="117" spans="1:35" ht="12.75" customHeight="1">
      <c r="A117" s="4" t="s">
        <v>130</v>
      </c>
      <c r="B117" s="9" t="s">
        <v>491</v>
      </c>
      <c r="C117" s="5" t="s">
        <v>474</v>
      </c>
      <c r="D117" s="5" t="s">
        <v>475</v>
      </c>
      <c r="E117" s="5" t="s">
        <v>492</v>
      </c>
      <c r="F117" s="10" t="s">
        <v>474</v>
      </c>
      <c r="G117" s="12" t="s">
        <v>486</v>
      </c>
      <c r="H117" s="12" t="s">
        <v>462</v>
      </c>
      <c r="I117" s="8">
        <v>45245</v>
      </c>
      <c r="J117" s="10" t="s">
        <v>477</v>
      </c>
      <c r="K117" s="11">
        <v>1</v>
      </c>
      <c r="L117" s="11">
        <v>8</v>
      </c>
      <c r="M117" s="11">
        <v>4</v>
      </c>
      <c r="N117" s="6" t="s">
        <v>482</v>
      </c>
      <c r="O117" s="7">
        <v>28.7</v>
      </c>
      <c r="P117" s="7">
        <v>25.3</v>
      </c>
      <c r="Q117" s="7">
        <v>9.1999999999999993</v>
      </c>
      <c r="R117" s="4">
        <v>294</v>
      </c>
      <c r="S117" s="4">
        <f t="shared" si="5"/>
        <v>0.29399999999999998</v>
      </c>
      <c r="T117" s="4">
        <f t="shared" si="6"/>
        <v>3.073170731707317E-2</v>
      </c>
      <c r="V117" s="4" t="s">
        <v>527</v>
      </c>
      <c r="W117" s="4" t="s">
        <v>130</v>
      </c>
      <c r="X117" s="4" t="s">
        <v>130</v>
      </c>
      <c r="Y117" s="4" t="s">
        <v>559</v>
      </c>
      <c r="Z117" s="4" t="s">
        <v>130</v>
      </c>
      <c r="AA117" s="4" t="s">
        <v>559</v>
      </c>
      <c r="AB117" s="20">
        <v>0.93369999999999997</v>
      </c>
      <c r="AC117" s="20">
        <v>0.94450000000000001</v>
      </c>
      <c r="AD117" s="19">
        <f t="shared" si="4"/>
        <v>10.800000000000033</v>
      </c>
      <c r="AE117" s="19">
        <v>642200</v>
      </c>
      <c r="AF117" s="19">
        <v>730266</v>
      </c>
      <c r="AG117" s="19">
        <v>729432</v>
      </c>
      <c r="AH117" s="19">
        <f t="shared" si="1"/>
        <v>700632.66666666663</v>
      </c>
      <c r="AI117" s="19">
        <f t="shared" si="2"/>
        <v>64873.395061728195</v>
      </c>
    </row>
    <row r="118" spans="1:35" ht="12.75" customHeight="1">
      <c r="A118" s="4" t="s">
        <v>131</v>
      </c>
      <c r="B118" s="9" t="s">
        <v>491</v>
      </c>
      <c r="C118" s="5" t="s">
        <v>474</v>
      </c>
      <c r="D118" s="5" t="s">
        <v>475</v>
      </c>
      <c r="E118" s="5" t="s">
        <v>492</v>
      </c>
      <c r="F118" s="10" t="s">
        <v>474</v>
      </c>
      <c r="G118" s="12" t="s">
        <v>486</v>
      </c>
      <c r="H118" s="12" t="s">
        <v>462</v>
      </c>
      <c r="I118" s="8">
        <v>45245</v>
      </c>
      <c r="J118" s="10" t="s">
        <v>477</v>
      </c>
      <c r="K118" s="11">
        <v>1</v>
      </c>
      <c r="L118" s="11">
        <v>8</v>
      </c>
      <c r="M118" s="11">
        <v>4</v>
      </c>
      <c r="N118" s="6" t="s">
        <v>560</v>
      </c>
      <c r="O118" s="7">
        <v>34</v>
      </c>
      <c r="P118" s="7">
        <v>26.4</v>
      </c>
      <c r="Q118" s="7">
        <v>9.1</v>
      </c>
      <c r="R118" s="4">
        <v>43</v>
      </c>
      <c r="S118" s="4">
        <f t="shared" si="5"/>
        <v>4.2999999999999997E-2</v>
      </c>
      <c r="T118" s="4">
        <f t="shared" si="6"/>
        <v>3.7941176470588228E-3</v>
      </c>
      <c r="V118" s="4" t="s">
        <v>527</v>
      </c>
      <c r="W118" s="4" t="s">
        <v>131</v>
      </c>
      <c r="X118" s="4" t="s">
        <v>131</v>
      </c>
      <c r="Y118" s="4" t="s">
        <v>561</v>
      </c>
      <c r="Z118" s="4" t="s">
        <v>131</v>
      </c>
      <c r="AA118" s="4" t="s">
        <v>561</v>
      </c>
      <c r="AB118" s="20">
        <v>0.91390000000000005</v>
      </c>
      <c r="AC118" s="20">
        <v>0.9224</v>
      </c>
      <c r="AD118" s="19">
        <f t="shared" si="4"/>
        <v>8.499999999999952</v>
      </c>
      <c r="AE118" s="19">
        <v>728542</v>
      </c>
      <c r="AF118" s="19">
        <v>716977</v>
      </c>
      <c r="AG118" s="19">
        <v>734826</v>
      </c>
      <c r="AH118" s="19">
        <f t="shared" ref="AH118:AH207" si="7">AVERAGE(AE118:AG118)</f>
        <v>726781.66666666663</v>
      </c>
      <c r="AI118" s="19">
        <f t="shared" ref="AI118:AI120" si="8">(AVERAGE(AE118:AG118))/AD118</f>
        <v>85503.72549019655</v>
      </c>
    </row>
    <row r="119" spans="1:35" ht="12.75" customHeight="1">
      <c r="A119" s="4" t="s">
        <v>132</v>
      </c>
      <c r="B119" s="9" t="s">
        <v>491</v>
      </c>
      <c r="C119" s="5" t="s">
        <v>474</v>
      </c>
      <c r="D119" s="5" t="s">
        <v>475</v>
      </c>
      <c r="E119" s="5" t="s">
        <v>492</v>
      </c>
      <c r="F119" s="10" t="s">
        <v>474</v>
      </c>
      <c r="G119" s="12" t="s">
        <v>486</v>
      </c>
      <c r="H119" s="12" t="s">
        <v>462</v>
      </c>
      <c r="I119" s="8">
        <v>45245</v>
      </c>
      <c r="J119" s="10" t="s">
        <v>477</v>
      </c>
      <c r="K119" s="11">
        <v>1</v>
      </c>
      <c r="L119" s="11">
        <v>8</v>
      </c>
      <c r="M119" s="11">
        <v>4</v>
      </c>
      <c r="N119" s="6" t="s">
        <v>482</v>
      </c>
      <c r="O119" s="7">
        <v>30</v>
      </c>
      <c r="P119" s="7">
        <v>23.1</v>
      </c>
      <c r="Q119" s="7">
        <v>7.8</v>
      </c>
      <c r="R119" s="4">
        <v>251</v>
      </c>
      <c r="S119" s="4">
        <f t="shared" si="5"/>
        <v>0.251</v>
      </c>
      <c r="T119" s="4">
        <f t="shared" si="6"/>
        <v>2.5099999999999997E-2</v>
      </c>
      <c r="V119" s="4" t="s">
        <v>527</v>
      </c>
      <c r="W119" s="4" t="s">
        <v>132</v>
      </c>
      <c r="X119" s="4" t="s">
        <v>132</v>
      </c>
      <c r="Y119" s="4" t="s">
        <v>562</v>
      </c>
      <c r="Z119" s="4" t="s">
        <v>132</v>
      </c>
      <c r="AA119" s="4" t="s">
        <v>562</v>
      </c>
      <c r="AB119" s="20">
        <v>0.92969999999999997</v>
      </c>
      <c r="AC119" s="20">
        <v>0.93810000000000004</v>
      </c>
      <c r="AD119" s="19">
        <f t="shared" si="4"/>
        <v>8.4000000000000732</v>
      </c>
      <c r="AE119" s="19">
        <v>562185</v>
      </c>
      <c r="AF119" s="19">
        <v>579132</v>
      </c>
      <c r="AG119" s="19">
        <v>621089</v>
      </c>
      <c r="AH119" s="19">
        <f t="shared" si="7"/>
        <v>587468.66666666663</v>
      </c>
      <c r="AI119" s="19">
        <f t="shared" si="8"/>
        <v>69936.746031745424</v>
      </c>
    </row>
    <row r="120" spans="1:35" ht="12.75" customHeight="1">
      <c r="A120" s="4" t="s">
        <v>133</v>
      </c>
      <c r="B120" s="9" t="s">
        <v>491</v>
      </c>
      <c r="C120" s="5" t="s">
        <v>474</v>
      </c>
      <c r="D120" s="5" t="s">
        <v>475</v>
      </c>
      <c r="E120" s="5" t="s">
        <v>492</v>
      </c>
      <c r="F120" s="10" t="s">
        <v>474</v>
      </c>
      <c r="G120" s="12" t="s">
        <v>486</v>
      </c>
      <c r="H120" s="12" t="s">
        <v>462</v>
      </c>
      <c r="I120" s="8">
        <v>45245</v>
      </c>
      <c r="J120" s="10" t="s">
        <v>477</v>
      </c>
      <c r="K120" s="11">
        <v>1</v>
      </c>
      <c r="L120" s="11">
        <v>8</v>
      </c>
      <c r="M120" s="11">
        <v>4</v>
      </c>
      <c r="N120" s="6" t="s">
        <v>560</v>
      </c>
      <c r="O120" s="7">
        <v>32.799999999999997</v>
      </c>
      <c r="P120" s="7">
        <v>26.8</v>
      </c>
      <c r="Q120" s="7">
        <v>8.6</v>
      </c>
      <c r="R120" s="4">
        <v>331</v>
      </c>
      <c r="S120" s="4">
        <f t="shared" si="5"/>
        <v>0.33100000000000002</v>
      </c>
      <c r="T120" s="4">
        <f t="shared" si="6"/>
        <v>3.0274390243902445E-2</v>
      </c>
      <c r="V120" s="4" t="s">
        <v>527</v>
      </c>
      <c r="W120" s="4" t="s">
        <v>133</v>
      </c>
      <c r="X120" s="4" t="s">
        <v>133</v>
      </c>
      <c r="Y120" s="4" t="s">
        <v>563</v>
      </c>
      <c r="Z120" s="4" t="s">
        <v>133</v>
      </c>
      <c r="AA120" s="4" t="s">
        <v>563</v>
      </c>
      <c r="AB120" s="20">
        <v>0.91239999999999999</v>
      </c>
      <c r="AC120" s="20">
        <v>0.92200000000000004</v>
      </c>
      <c r="AD120" s="19">
        <f t="shared" si="4"/>
        <v>9.6000000000000529</v>
      </c>
      <c r="AE120" s="19">
        <v>554264</v>
      </c>
      <c r="AF120" s="19">
        <v>645907</v>
      </c>
      <c r="AG120" s="19">
        <v>715747</v>
      </c>
      <c r="AH120" s="19">
        <f t="shared" si="7"/>
        <v>638639.33333333337</v>
      </c>
      <c r="AI120" s="19">
        <f t="shared" si="8"/>
        <v>66524.930555555198</v>
      </c>
    </row>
    <row r="121" spans="1:35" ht="12.75" customHeight="1">
      <c r="A121" s="4" t="s">
        <v>134</v>
      </c>
      <c r="B121" s="9" t="s">
        <v>491</v>
      </c>
      <c r="C121" s="5" t="s">
        <v>474</v>
      </c>
      <c r="D121" s="5" t="s">
        <v>475</v>
      </c>
      <c r="E121" s="5" t="s">
        <v>492</v>
      </c>
      <c r="F121" s="10" t="s">
        <v>474</v>
      </c>
      <c r="G121" s="12" t="s">
        <v>486</v>
      </c>
      <c r="H121" s="12" t="s">
        <v>462</v>
      </c>
      <c r="I121" s="8">
        <v>45245</v>
      </c>
      <c r="J121" s="10" t="s">
        <v>477</v>
      </c>
      <c r="K121" s="11">
        <v>1</v>
      </c>
      <c r="L121" s="11">
        <v>8</v>
      </c>
      <c r="M121" s="11">
        <v>4</v>
      </c>
      <c r="N121" s="6" t="s">
        <v>480</v>
      </c>
      <c r="O121" s="7">
        <v>31</v>
      </c>
      <c r="P121" s="7">
        <v>25.4</v>
      </c>
      <c r="Q121" s="7">
        <v>8.8000000000000007</v>
      </c>
      <c r="R121" s="4">
        <v>305</v>
      </c>
      <c r="S121" s="4">
        <f t="shared" si="5"/>
        <v>0.30499999999999999</v>
      </c>
      <c r="T121" s="4">
        <f t="shared" si="6"/>
        <v>2.9516129032258063E-2</v>
      </c>
      <c r="V121" s="4" t="s">
        <v>527</v>
      </c>
      <c r="W121" s="4" t="s">
        <v>134</v>
      </c>
      <c r="X121" s="4" t="s">
        <v>134</v>
      </c>
      <c r="Y121" s="4" t="s">
        <v>564</v>
      </c>
      <c r="Z121" s="4" t="s">
        <v>134</v>
      </c>
      <c r="AA121" s="4" t="s">
        <v>564</v>
      </c>
      <c r="AB121" s="21">
        <v>0.91610000000000003</v>
      </c>
      <c r="AC121" s="21">
        <v>0.92689999999999995</v>
      </c>
      <c r="AD121" s="22">
        <f t="shared" si="4"/>
        <v>10.799999999999921</v>
      </c>
      <c r="AE121" s="22">
        <v>395925</v>
      </c>
      <c r="AF121" s="22">
        <v>375231</v>
      </c>
      <c r="AG121" s="22">
        <v>480233</v>
      </c>
      <c r="AH121" s="22">
        <f t="shared" si="7"/>
        <v>417129.66666666669</v>
      </c>
      <c r="AI121" s="22"/>
    </row>
    <row r="122" spans="1:35" ht="12.75" customHeight="1">
      <c r="A122" s="4" t="s">
        <v>135</v>
      </c>
      <c r="B122" s="9" t="s">
        <v>491</v>
      </c>
      <c r="C122" s="5" t="s">
        <v>474</v>
      </c>
      <c r="D122" s="5" t="s">
        <v>475</v>
      </c>
      <c r="E122" s="5" t="s">
        <v>492</v>
      </c>
      <c r="F122" s="10" t="s">
        <v>474</v>
      </c>
      <c r="G122" s="12" t="s">
        <v>486</v>
      </c>
      <c r="H122" s="12" t="s">
        <v>462</v>
      </c>
      <c r="I122" s="8">
        <v>45245</v>
      </c>
      <c r="J122" s="10" t="s">
        <v>477</v>
      </c>
      <c r="K122" s="11">
        <v>1</v>
      </c>
      <c r="L122" s="11">
        <v>8</v>
      </c>
      <c r="M122" s="11">
        <v>4</v>
      </c>
      <c r="N122" s="6" t="s">
        <v>482</v>
      </c>
      <c r="O122" s="7">
        <v>30.2</v>
      </c>
      <c r="P122" s="7">
        <v>23.9</v>
      </c>
      <c r="Q122" s="7">
        <v>8.1</v>
      </c>
      <c r="R122" s="4">
        <v>221</v>
      </c>
      <c r="S122" s="4">
        <f t="shared" si="5"/>
        <v>0.221</v>
      </c>
      <c r="T122" s="4">
        <f t="shared" si="6"/>
        <v>2.1953642384105961E-2</v>
      </c>
      <c r="V122" s="4" t="s">
        <v>527</v>
      </c>
      <c r="W122" s="4" t="s">
        <v>135</v>
      </c>
      <c r="X122" s="4" t="s">
        <v>135</v>
      </c>
      <c r="Y122" s="4" t="s">
        <v>565</v>
      </c>
      <c r="Z122" s="4" t="s">
        <v>135</v>
      </c>
      <c r="AA122" s="4" t="s">
        <v>565</v>
      </c>
      <c r="AB122" s="20">
        <v>0.91559999999999997</v>
      </c>
      <c r="AC122" s="20">
        <v>0.92490000000000006</v>
      </c>
      <c r="AD122" s="19">
        <f t="shared" si="4"/>
        <v>9.300000000000086</v>
      </c>
      <c r="AE122" s="19">
        <v>650106</v>
      </c>
      <c r="AF122" s="19">
        <v>558413</v>
      </c>
      <c r="AG122" s="19">
        <v>642942</v>
      </c>
      <c r="AH122" s="19">
        <f t="shared" si="7"/>
        <v>617153.66666666663</v>
      </c>
      <c r="AI122" s="19">
        <f>(AVERAGE(AE122:AG122))/AD122</f>
        <v>66360.609318995805</v>
      </c>
    </row>
    <row r="123" spans="1:35" ht="12.75" customHeight="1">
      <c r="A123" s="4" t="s">
        <v>136</v>
      </c>
      <c r="B123" s="9" t="s">
        <v>491</v>
      </c>
      <c r="C123" s="5" t="s">
        <v>474</v>
      </c>
      <c r="D123" s="5" t="s">
        <v>475</v>
      </c>
      <c r="E123" s="5" t="s">
        <v>492</v>
      </c>
      <c r="F123" s="10" t="s">
        <v>474</v>
      </c>
      <c r="G123" s="12" t="s">
        <v>486</v>
      </c>
      <c r="H123" s="12" t="s">
        <v>462</v>
      </c>
      <c r="I123" s="8">
        <v>45245</v>
      </c>
      <c r="J123" s="10" t="s">
        <v>477</v>
      </c>
      <c r="K123" s="11">
        <v>1</v>
      </c>
      <c r="L123" s="11">
        <v>8</v>
      </c>
      <c r="M123" s="11">
        <v>4</v>
      </c>
      <c r="N123" s="6" t="s">
        <v>482</v>
      </c>
      <c r="O123" s="7">
        <v>31.7</v>
      </c>
      <c r="P123" s="7">
        <v>23</v>
      </c>
      <c r="Q123" s="7">
        <v>8.3000000000000007</v>
      </c>
      <c r="R123" s="4">
        <v>246</v>
      </c>
      <c r="S123" s="4">
        <f t="shared" si="5"/>
        <v>0.246</v>
      </c>
      <c r="T123" s="4">
        <f t="shared" si="6"/>
        <v>2.3280757097791798E-2</v>
      </c>
      <c r="V123" s="4" t="s">
        <v>527</v>
      </c>
      <c r="W123" s="4" t="s">
        <v>136</v>
      </c>
      <c r="X123" s="4" t="s">
        <v>136</v>
      </c>
      <c r="Y123" s="4" t="s">
        <v>566</v>
      </c>
      <c r="Z123" s="4" t="s">
        <v>136</v>
      </c>
      <c r="AA123" s="4" t="s">
        <v>566</v>
      </c>
      <c r="AB123" s="20">
        <v>0.93010000000000004</v>
      </c>
      <c r="AC123" s="20">
        <v>0.93700000000000006</v>
      </c>
      <c r="AD123" s="19">
        <f t="shared" ref="AD123:AD207" si="9">(AC123-AB123)*1000</f>
        <v>6.9000000000000172</v>
      </c>
      <c r="AE123" s="19">
        <v>454406</v>
      </c>
      <c r="AF123" s="19">
        <v>481012</v>
      </c>
      <c r="AG123" s="19">
        <v>561123</v>
      </c>
      <c r="AH123" s="19">
        <f t="shared" si="7"/>
        <v>498847</v>
      </c>
      <c r="AI123" s="19">
        <f>(AVERAGE(AE123:AG123))/AD123</f>
        <v>72296.666666666482</v>
      </c>
    </row>
    <row r="124" spans="1:35" ht="12.75" customHeight="1">
      <c r="A124" s="4" t="s">
        <v>137</v>
      </c>
      <c r="B124" s="9" t="s">
        <v>491</v>
      </c>
      <c r="C124" s="5" t="s">
        <v>474</v>
      </c>
      <c r="D124" s="5" t="s">
        <v>475</v>
      </c>
      <c r="E124" s="5" t="s">
        <v>492</v>
      </c>
      <c r="F124" s="10" t="s">
        <v>474</v>
      </c>
      <c r="G124" s="12" t="s">
        <v>486</v>
      </c>
      <c r="H124" s="12" t="s">
        <v>462</v>
      </c>
      <c r="I124" s="8">
        <v>45245</v>
      </c>
      <c r="J124" s="10" t="s">
        <v>477</v>
      </c>
      <c r="K124" s="11">
        <v>1</v>
      </c>
      <c r="L124" s="11">
        <v>8</v>
      </c>
      <c r="M124" s="11">
        <v>4</v>
      </c>
      <c r="N124" s="6" t="s">
        <v>482</v>
      </c>
      <c r="O124" s="7">
        <v>29.5</v>
      </c>
      <c r="P124" s="7">
        <v>23.4</v>
      </c>
      <c r="Q124" s="7">
        <v>7.7</v>
      </c>
      <c r="R124" s="4">
        <v>244</v>
      </c>
      <c r="S124" s="4">
        <f t="shared" si="5"/>
        <v>0.24399999999999999</v>
      </c>
      <c r="T124" s="4">
        <f t="shared" si="6"/>
        <v>2.4813559322033898E-2</v>
      </c>
      <c r="V124" s="4" t="s">
        <v>527</v>
      </c>
      <c r="W124" s="4" t="s">
        <v>137</v>
      </c>
      <c r="X124" s="4" t="s">
        <v>137</v>
      </c>
      <c r="Y124" s="4" t="s">
        <v>567</v>
      </c>
      <c r="Z124" s="4" t="s">
        <v>137</v>
      </c>
      <c r="AA124" s="4" t="s">
        <v>567</v>
      </c>
      <c r="AB124" s="21">
        <v>0.9204</v>
      </c>
      <c r="AC124" s="21">
        <v>0.92920000000000003</v>
      </c>
      <c r="AD124" s="22">
        <f t="shared" si="9"/>
        <v>8.8000000000000291</v>
      </c>
      <c r="AE124" s="22">
        <v>285421</v>
      </c>
      <c r="AF124" s="22">
        <v>291668</v>
      </c>
      <c r="AG124" s="22">
        <v>228531</v>
      </c>
      <c r="AH124" s="22">
        <f t="shared" si="7"/>
        <v>268540</v>
      </c>
      <c r="AI124" s="22"/>
    </row>
    <row r="125" spans="1:35" ht="12.75" customHeight="1">
      <c r="A125" s="4" t="s">
        <v>138</v>
      </c>
      <c r="B125" s="9" t="s">
        <v>491</v>
      </c>
      <c r="C125" s="5" t="s">
        <v>474</v>
      </c>
      <c r="D125" s="5" t="s">
        <v>475</v>
      </c>
      <c r="E125" s="5" t="s">
        <v>492</v>
      </c>
      <c r="F125" s="10" t="s">
        <v>474</v>
      </c>
      <c r="G125" s="12" t="s">
        <v>486</v>
      </c>
      <c r="H125" s="12" t="s">
        <v>462</v>
      </c>
      <c r="I125" s="8">
        <v>45245</v>
      </c>
      <c r="J125" s="10" t="s">
        <v>477</v>
      </c>
      <c r="K125" s="11">
        <v>1</v>
      </c>
      <c r="L125" s="11">
        <v>8</v>
      </c>
      <c r="M125" s="11">
        <v>4</v>
      </c>
      <c r="N125" s="6" t="s">
        <v>482</v>
      </c>
      <c r="O125" s="7">
        <v>29.6</v>
      </c>
      <c r="P125" s="7">
        <v>24.2</v>
      </c>
      <c r="Q125" s="7">
        <v>9.1999999999999993</v>
      </c>
      <c r="R125" s="4">
        <v>290</v>
      </c>
      <c r="S125" s="13">
        <f t="shared" si="5"/>
        <v>0.28999999999999998</v>
      </c>
      <c r="T125" s="4">
        <f t="shared" si="6"/>
        <v>2.939189189189189E-2</v>
      </c>
      <c r="V125" s="4" t="s">
        <v>527</v>
      </c>
      <c r="W125" s="4" t="s">
        <v>138</v>
      </c>
      <c r="X125" s="4" t="s">
        <v>138</v>
      </c>
      <c r="Y125" s="4" t="s">
        <v>568</v>
      </c>
      <c r="Z125" s="4" t="s">
        <v>138</v>
      </c>
      <c r="AA125" s="4" t="s">
        <v>568</v>
      </c>
      <c r="AB125" s="20">
        <v>1.1163000000000001</v>
      </c>
      <c r="AC125" s="20">
        <v>1.119</v>
      </c>
      <c r="AD125" s="19">
        <f t="shared" si="9"/>
        <v>2.6999999999999247</v>
      </c>
      <c r="AE125" s="19">
        <v>200075</v>
      </c>
      <c r="AF125" s="19">
        <v>225880</v>
      </c>
      <c r="AG125" s="19">
        <v>236570</v>
      </c>
      <c r="AH125" s="19">
        <f t="shared" si="7"/>
        <v>220841.66666666666</v>
      </c>
      <c r="AI125" s="19">
        <f t="shared" ref="AI125:AI207" si="10">(AVERAGE(AE125:AG125))/AD125</f>
        <v>81793.209876545487</v>
      </c>
    </row>
    <row r="126" spans="1:35" ht="12.75" customHeight="1">
      <c r="A126" s="4" t="s">
        <v>139</v>
      </c>
      <c r="B126" s="9" t="s">
        <v>491</v>
      </c>
      <c r="C126" s="5" t="s">
        <v>474</v>
      </c>
      <c r="D126" s="5" t="s">
        <v>475</v>
      </c>
      <c r="E126" s="5" t="s">
        <v>492</v>
      </c>
      <c r="F126" s="10" t="s">
        <v>474</v>
      </c>
      <c r="G126" s="12" t="s">
        <v>486</v>
      </c>
      <c r="H126" s="12" t="s">
        <v>462</v>
      </c>
      <c r="I126" s="8">
        <v>45245</v>
      </c>
      <c r="J126" s="10" t="s">
        <v>477</v>
      </c>
      <c r="K126" s="11">
        <v>1</v>
      </c>
      <c r="L126" s="11">
        <v>8</v>
      </c>
      <c r="M126" s="11">
        <v>4</v>
      </c>
      <c r="N126" s="6" t="s">
        <v>560</v>
      </c>
      <c r="O126" s="7">
        <v>27</v>
      </c>
      <c r="P126" s="7">
        <v>24</v>
      </c>
      <c r="Q126" s="7">
        <v>7.2</v>
      </c>
      <c r="R126" s="4">
        <v>230</v>
      </c>
      <c r="S126" s="13">
        <f t="shared" si="5"/>
        <v>0.23</v>
      </c>
      <c r="T126" s="4">
        <f t="shared" si="6"/>
        <v>2.5555555555555557E-2</v>
      </c>
      <c r="U126" s="4" t="s">
        <v>142</v>
      </c>
      <c r="V126" s="4" t="s">
        <v>527</v>
      </c>
      <c r="W126" s="4" t="s">
        <v>139</v>
      </c>
      <c r="X126" s="4" t="s">
        <v>139</v>
      </c>
      <c r="Y126" s="4" t="s">
        <v>569</v>
      </c>
      <c r="Z126" s="4" t="s">
        <v>139</v>
      </c>
      <c r="AA126" s="4" t="s">
        <v>569</v>
      </c>
      <c r="AB126" s="20">
        <v>1.1226</v>
      </c>
      <c r="AC126" s="20">
        <v>1.1298999999999999</v>
      </c>
      <c r="AD126" s="19">
        <f t="shared" si="9"/>
        <v>7.2999999999998622</v>
      </c>
      <c r="AE126" s="19">
        <v>446471</v>
      </c>
      <c r="AF126" s="19">
        <v>467817</v>
      </c>
      <c r="AG126" s="19">
        <v>431351</v>
      </c>
      <c r="AH126" s="19">
        <f t="shared" si="7"/>
        <v>448546.33333333331</v>
      </c>
      <c r="AI126" s="19">
        <f t="shared" si="10"/>
        <v>61444.703196348193</v>
      </c>
    </row>
    <row r="127" spans="1:35" ht="12.75" customHeight="1">
      <c r="A127" s="4" t="s">
        <v>143</v>
      </c>
      <c r="B127" s="9" t="s">
        <v>491</v>
      </c>
      <c r="C127" s="5" t="s">
        <v>474</v>
      </c>
      <c r="D127" s="5" t="s">
        <v>475</v>
      </c>
      <c r="E127" s="5" t="s">
        <v>492</v>
      </c>
      <c r="F127" s="10" t="s">
        <v>474</v>
      </c>
      <c r="G127" s="12" t="s">
        <v>486</v>
      </c>
      <c r="H127" s="12" t="s">
        <v>462</v>
      </c>
      <c r="I127" s="8">
        <v>45245</v>
      </c>
      <c r="J127" s="10" t="s">
        <v>477</v>
      </c>
      <c r="K127" s="11">
        <v>1</v>
      </c>
      <c r="L127" s="11">
        <v>8</v>
      </c>
      <c r="M127" s="11">
        <v>4</v>
      </c>
      <c r="N127" s="6" t="s">
        <v>473</v>
      </c>
      <c r="O127" s="7">
        <v>32.1</v>
      </c>
      <c r="P127" s="7">
        <v>24.3</v>
      </c>
      <c r="Q127" s="7">
        <v>8.5</v>
      </c>
      <c r="R127" s="4">
        <v>269</v>
      </c>
      <c r="S127" s="4">
        <f t="shared" si="5"/>
        <v>0.26900000000000002</v>
      </c>
      <c r="T127" s="4">
        <f t="shared" si="6"/>
        <v>2.5140186915887854E-2</v>
      </c>
      <c r="V127" s="4" t="s">
        <v>527</v>
      </c>
      <c r="W127" s="4" t="s">
        <v>143</v>
      </c>
      <c r="X127" s="4" t="s">
        <v>143</v>
      </c>
      <c r="Y127" s="4" t="s">
        <v>570</v>
      </c>
      <c r="Z127" s="4" t="s">
        <v>143</v>
      </c>
      <c r="AA127" s="4" t="s">
        <v>570</v>
      </c>
      <c r="AB127" s="20">
        <v>0.90049999999999997</v>
      </c>
      <c r="AC127" s="20">
        <v>0.90429999999999999</v>
      </c>
      <c r="AD127" s="19">
        <f t="shared" si="9"/>
        <v>3.8000000000000256</v>
      </c>
      <c r="AE127" s="19">
        <v>228531</v>
      </c>
      <c r="AF127" s="19">
        <v>256117</v>
      </c>
      <c r="AG127" s="19">
        <v>305967</v>
      </c>
      <c r="AH127" s="19">
        <f t="shared" si="7"/>
        <v>263538.33333333331</v>
      </c>
      <c r="AI127" s="19">
        <f t="shared" si="10"/>
        <v>69352.192982455672</v>
      </c>
    </row>
    <row r="128" spans="1:35" ht="12.75" customHeight="1">
      <c r="A128" s="4" t="s">
        <v>144</v>
      </c>
      <c r="B128" s="9" t="s">
        <v>491</v>
      </c>
      <c r="C128" s="5" t="s">
        <v>474</v>
      </c>
      <c r="D128" s="5" t="s">
        <v>475</v>
      </c>
      <c r="E128" s="5" t="s">
        <v>492</v>
      </c>
      <c r="F128" s="10" t="s">
        <v>474</v>
      </c>
      <c r="G128" s="12" t="s">
        <v>486</v>
      </c>
      <c r="H128" s="12" t="s">
        <v>462</v>
      </c>
      <c r="I128" s="8">
        <v>45245</v>
      </c>
      <c r="J128" s="10" t="s">
        <v>477</v>
      </c>
      <c r="K128" s="11">
        <v>1</v>
      </c>
      <c r="L128" s="11">
        <v>8</v>
      </c>
      <c r="M128" s="11">
        <v>4</v>
      </c>
      <c r="N128" s="6" t="s">
        <v>560</v>
      </c>
      <c r="O128" s="7">
        <v>28.5</v>
      </c>
      <c r="P128" s="7">
        <v>24.6</v>
      </c>
      <c r="Q128" s="7">
        <v>7.4</v>
      </c>
      <c r="R128" s="4">
        <v>232</v>
      </c>
      <c r="S128" s="4">
        <f t="shared" si="5"/>
        <v>0.23200000000000001</v>
      </c>
      <c r="T128" s="4">
        <f t="shared" si="6"/>
        <v>2.4421052631578948E-2</v>
      </c>
      <c r="V128" s="4" t="s">
        <v>527</v>
      </c>
      <c r="W128" s="4" t="s">
        <v>144</v>
      </c>
      <c r="X128" s="4" t="s">
        <v>144</v>
      </c>
      <c r="Y128" s="4" t="s">
        <v>571</v>
      </c>
      <c r="Z128" s="4" t="s">
        <v>144</v>
      </c>
      <c r="AA128" s="4" t="s">
        <v>571</v>
      </c>
      <c r="AB128" s="20">
        <v>0.92400000000000004</v>
      </c>
      <c r="AC128" s="20">
        <v>0.93159999999999998</v>
      </c>
      <c r="AD128" s="19">
        <f t="shared" si="9"/>
        <v>7.5999999999999401</v>
      </c>
      <c r="AE128" s="19">
        <v>480270</v>
      </c>
      <c r="AF128" s="19">
        <v>575397</v>
      </c>
      <c r="AG128" s="19">
        <v>593321</v>
      </c>
      <c r="AH128" s="19">
        <f t="shared" si="7"/>
        <v>549662.66666666663</v>
      </c>
      <c r="AI128" s="19">
        <f t="shared" si="10"/>
        <v>72324.035087719865</v>
      </c>
    </row>
    <row r="129" spans="1:35" ht="12.75" customHeight="1">
      <c r="A129" s="4" t="s">
        <v>145</v>
      </c>
      <c r="B129" s="14" t="s">
        <v>491</v>
      </c>
      <c r="C129" s="4" t="s">
        <v>474</v>
      </c>
      <c r="D129" s="4" t="s">
        <v>475</v>
      </c>
      <c r="E129" s="4" t="s">
        <v>492</v>
      </c>
      <c r="F129" s="4" t="s">
        <v>474</v>
      </c>
      <c r="G129" s="4" t="s">
        <v>486</v>
      </c>
      <c r="H129" s="4" t="s">
        <v>462</v>
      </c>
      <c r="I129" s="8">
        <v>45245</v>
      </c>
      <c r="J129" s="4" t="s">
        <v>477</v>
      </c>
      <c r="K129" s="11">
        <v>1</v>
      </c>
      <c r="L129" s="11">
        <v>8</v>
      </c>
      <c r="M129" s="11">
        <v>4</v>
      </c>
      <c r="N129" s="6" t="s">
        <v>560</v>
      </c>
      <c r="O129" s="4">
        <v>29.6</v>
      </c>
      <c r="P129" s="4">
        <v>22.7</v>
      </c>
      <c r="Q129" s="4">
        <v>7.1</v>
      </c>
      <c r="R129" s="4">
        <v>235</v>
      </c>
      <c r="S129" s="4">
        <f t="shared" si="5"/>
        <v>0.23499999999999999</v>
      </c>
      <c r="T129" s="4">
        <f t="shared" si="6"/>
        <v>2.3817567567567564E-2</v>
      </c>
      <c r="V129" s="4" t="s">
        <v>533</v>
      </c>
      <c r="W129" s="4" t="s">
        <v>145</v>
      </c>
      <c r="AB129" s="20"/>
      <c r="AC129" s="20"/>
      <c r="AD129" s="19"/>
      <c r="AE129" s="19"/>
      <c r="AF129" s="19"/>
      <c r="AG129" s="19"/>
      <c r="AH129" s="19"/>
      <c r="AI129" s="19"/>
    </row>
    <row r="130" spans="1:35" ht="12.75" customHeight="1">
      <c r="A130" s="4" t="s">
        <v>146</v>
      </c>
      <c r="B130" s="14" t="s">
        <v>491</v>
      </c>
      <c r="C130" s="4" t="s">
        <v>474</v>
      </c>
      <c r="D130" s="4" t="s">
        <v>475</v>
      </c>
      <c r="E130" s="4" t="s">
        <v>492</v>
      </c>
      <c r="F130" s="4" t="s">
        <v>474</v>
      </c>
      <c r="G130" s="4" t="s">
        <v>486</v>
      </c>
      <c r="H130" s="4" t="s">
        <v>462</v>
      </c>
      <c r="I130" s="8">
        <v>45245</v>
      </c>
      <c r="J130" s="4" t="s">
        <v>477</v>
      </c>
      <c r="K130" s="11">
        <v>1</v>
      </c>
      <c r="L130" s="11">
        <v>8</v>
      </c>
      <c r="M130" s="11">
        <v>4</v>
      </c>
      <c r="N130" s="6" t="s">
        <v>560</v>
      </c>
      <c r="O130" s="4">
        <v>22.2</v>
      </c>
      <c r="P130" s="4">
        <v>19.5</v>
      </c>
      <c r="Q130" s="4">
        <v>5.6</v>
      </c>
      <c r="R130" s="4">
        <v>118</v>
      </c>
      <c r="S130" s="4">
        <f t="shared" ref="S130:S193" si="11">R130/1000</f>
        <v>0.11799999999999999</v>
      </c>
      <c r="T130" s="4">
        <f t="shared" si="6"/>
        <v>1.5945945945945943E-2</v>
      </c>
      <c r="V130" s="4" t="s">
        <v>533</v>
      </c>
      <c r="W130" s="4" t="s">
        <v>146</v>
      </c>
      <c r="AB130" s="20"/>
      <c r="AC130" s="20"/>
      <c r="AD130" s="19"/>
      <c r="AE130" s="19"/>
      <c r="AF130" s="19"/>
      <c r="AG130" s="19"/>
      <c r="AH130" s="19"/>
      <c r="AI130" s="19"/>
    </row>
    <row r="131" spans="1:35" ht="12.75" customHeight="1">
      <c r="A131" s="4" t="s">
        <v>147</v>
      </c>
      <c r="B131" s="14" t="s">
        <v>491</v>
      </c>
      <c r="C131" s="4" t="s">
        <v>474</v>
      </c>
      <c r="D131" s="4" t="s">
        <v>475</v>
      </c>
      <c r="E131" s="4" t="s">
        <v>492</v>
      </c>
      <c r="F131" s="4" t="s">
        <v>474</v>
      </c>
      <c r="G131" s="4" t="s">
        <v>486</v>
      </c>
      <c r="H131" s="4" t="s">
        <v>462</v>
      </c>
      <c r="I131" s="8">
        <v>45245</v>
      </c>
      <c r="J131" s="4" t="s">
        <v>477</v>
      </c>
      <c r="K131" s="11">
        <v>1</v>
      </c>
      <c r="L131" s="11">
        <v>8</v>
      </c>
      <c r="M131" s="11">
        <v>4</v>
      </c>
      <c r="N131" s="6" t="s">
        <v>473</v>
      </c>
      <c r="O131" s="4">
        <v>35.200000000000003</v>
      </c>
      <c r="P131" s="4">
        <v>27.8</v>
      </c>
      <c r="Q131" s="4">
        <v>7.8</v>
      </c>
      <c r="R131" s="4">
        <v>370</v>
      </c>
      <c r="S131" s="13">
        <f t="shared" si="11"/>
        <v>0.37</v>
      </c>
      <c r="T131" s="4">
        <f t="shared" ref="T131:T194" si="12">S131/O131*3</f>
        <v>3.1534090909090901E-2</v>
      </c>
      <c r="V131" s="4" t="s">
        <v>533</v>
      </c>
      <c r="W131" s="4" t="s">
        <v>147</v>
      </c>
      <c r="AB131" s="20"/>
      <c r="AC131" s="20"/>
      <c r="AD131" s="19"/>
      <c r="AE131" s="19"/>
      <c r="AF131" s="19"/>
      <c r="AG131" s="19"/>
      <c r="AH131" s="19"/>
      <c r="AI131" s="19"/>
    </row>
    <row r="132" spans="1:35" ht="12.75" customHeight="1">
      <c r="A132" s="4" t="s">
        <v>148</v>
      </c>
      <c r="B132" s="14" t="s">
        <v>491</v>
      </c>
      <c r="C132" s="4" t="s">
        <v>474</v>
      </c>
      <c r="D132" s="4" t="s">
        <v>475</v>
      </c>
      <c r="E132" s="4" t="s">
        <v>492</v>
      </c>
      <c r="F132" s="4" t="s">
        <v>474</v>
      </c>
      <c r="G132" s="4" t="s">
        <v>486</v>
      </c>
      <c r="H132" s="4" t="s">
        <v>462</v>
      </c>
      <c r="I132" s="8">
        <v>45245</v>
      </c>
      <c r="J132" s="4" t="s">
        <v>477</v>
      </c>
      <c r="K132" s="11">
        <v>1</v>
      </c>
      <c r="L132" s="11">
        <v>8</v>
      </c>
      <c r="M132" s="11">
        <v>4</v>
      </c>
      <c r="N132" s="6" t="s">
        <v>482</v>
      </c>
      <c r="O132" s="4">
        <v>27.8</v>
      </c>
      <c r="P132" s="4">
        <v>22.1</v>
      </c>
      <c r="Q132" s="4">
        <v>6.8</v>
      </c>
      <c r="R132" s="4">
        <v>207</v>
      </c>
      <c r="S132" s="4">
        <f t="shared" si="11"/>
        <v>0.20699999999999999</v>
      </c>
      <c r="T132" s="4">
        <f t="shared" si="12"/>
        <v>2.2338129496402875E-2</v>
      </c>
      <c r="V132" s="4" t="s">
        <v>533</v>
      </c>
      <c r="W132" s="4" t="s">
        <v>148</v>
      </c>
      <c r="AB132" s="20"/>
      <c r="AC132" s="20"/>
      <c r="AD132" s="19"/>
      <c r="AE132" s="19"/>
      <c r="AF132" s="19"/>
      <c r="AG132" s="19"/>
      <c r="AH132" s="19"/>
      <c r="AI132" s="19"/>
    </row>
    <row r="133" spans="1:35" ht="12.75" customHeight="1">
      <c r="A133" s="4" t="s">
        <v>149</v>
      </c>
      <c r="B133" s="14" t="s">
        <v>491</v>
      </c>
      <c r="C133" s="4" t="s">
        <v>474</v>
      </c>
      <c r="D133" s="4" t="s">
        <v>475</v>
      </c>
      <c r="E133" s="4" t="s">
        <v>492</v>
      </c>
      <c r="F133" s="4" t="s">
        <v>474</v>
      </c>
      <c r="G133" s="4" t="s">
        <v>486</v>
      </c>
      <c r="H133" s="4" t="s">
        <v>462</v>
      </c>
      <c r="I133" s="8">
        <v>45245</v>
      </c>
      <c r="J133" s="4" t="s">
        <v>477</v>
      </c>
      <c r="K133" s="11">
        <v>1</v>
      </c>
      <c r="L133" s="11">
        <v>8</v>
      </c>
      <c r="M133" s="11">
        <v>4</v>
      </c>
      <c r="N133" s="6" t="s">
        <v>560</v>
      </c>
      <c r="O133" s="4">
        <v>23.8</v>
      </c>
      <c r="P133" s="4">
        <v>19.100000000000001</v>
      </c>
      <c r="Q133" s="4">
        <v>5.4</v>
      </c>
      <c r="R133" s="4">
        <v>128</v>
      </c>
      <c r="S133" s="4">
        <f t="shared" si="11"/>
        <v>0.128</v>
      </c>
      <c r="T133" s="4">
        <f t="shared" si="12"/>
        <v>1.6134453781512605E-2</v>
      </c>
      <c r="V133" s="4" t="s">
        <v>533</v>
      </c>
      <c r="W133" s="4" t="s">
        <v>149</v>
      </c>
      <c r="AB133" s="20"/>
      <c r="AC133" s="20"/>
      <c r="AD133" s="19"/>
      <c r="AE133" s="19"/>
      <c r="AF133" s="19"/>
      <c r="AG133" s="19"/>
      <c r="AH133" s="19"/>
      <c r="AI133" s="19"/>
    </row>
    <row r="134" spans="1:35" ht="12.75" customHeight="1">
      <c r="A134" s="4" t="s">
        <v>150</v>
      </c>
      <c r="B134" s="14" t="s">
        <v>491</v>
      </c>
      <c r="C134" s="4" t="s">
        <v>474</v>
      </c>
      <c r="D134" s="4" t="s">
        <v>475</v>
      </c>
      <c r="E134" s="4" t="s">
        <v>492</v>
      </c>
      <c r="F134" s="4" t="s">
        <v>474</v>
      </c>
      <c r="G134" s="4" t="s">
        <v>486</v>
      </c>
      <c r="H134" s="4" t="s">
        <v>462</v>
      </c>
      <c r="I134" s="8">
        <v>45245</v>
      </c>
      <c r="J134" s="4" t="s">
        <v>477</v>
      </c>
      <c r="K134" s="11">
        <v>1</v>
      </c>
      <c r="L134" s="11">
        <v>8</v>
      </c>
      <c r="M134" s="11">
        <v>4</v>
      </c>
      <c r="N134" s="6" t="s">
        <v>482</v>
      </c>
      <c r="O134" s="4">
        <v>33</v>
      </c>
      <c r="P134" s="4">
        <v>25.7</v>
      </c>
      <c r="Q134" s="4">
        <v>9.4</v>
      </c>
      <c r="R134" s="4">
        <v>392</v>
      </c>
      <c r="S134" s="4">
        <f t="shared" si="11"/>
        <v>0.39200000000000002</v>
      </c>
      <c r="T134" s="4">
        <f t="shared" si="12"/>
        <v>3.563636363636364E-2</v>
      </c>
      <c r="V134" s="4" t="s">
        <v>533</v>
      </c>
      <c r="W134" s="4" t="s">
        <v>150</v>
      </c>
      <c r="AB134" s="20"/>
      <c r="AC134" s="20"/>
      <c r="AD134" s="19"/>
      <c r="AE134" s="19"/>
      <c r="AF134" s="19"/>
      <c r="AG134" s="19"/>
      <c r="AH134" s="19"/>
      <c r="AI134" s="19"/>
    </row>
    <row r="135" spans="1:35" ht="12.75" customHeight="1">
      <c r="A135" s="4" t="s">
        <v>151</v>
      </c>
      <c r="B135" s="14" t="s">
        <v>491</v>
      </c>
      <c r="C135" s="4" t="s">
        <v>474</v>
      </c>
      <c r="D135" s="4" t="s">
        <v>475</v>
      </c>
      <c r="E135" s="4" t="s">
        <v>492</v>
      </c>
      <c r="F135" s="4" t="s">
        <v>474</v>
      </c>
      <c r="G135" s="4" t="s">
        <v>486</v>
      </c>
      <c r="H135" s="4" t="s">
        <v>462</v>
      </c>
      <c r="I135" s="8">
        <v>45245</v>
      </c>
      <c r="J135" s="4" t="s">
        <v>477</v>
      </c>
      <c r="K135" s="11">
        <v>1</v>
      </c>
      <c r="L135" s="11">
        <v>8</v>
      </c>
      <c r="M135" s="11">
        <v>4</v>
      </c>
      <c r="N135" s="6" t="s">
        <v>482</v>
      </c>
      <c r="O135" s="4">
        <v>26.5</v>
      </c>
      <c r="P135" s="4">
        <v>21.4</v>
      </c>
      <c r="Q135" s="4">
        <v>7.3</v>
      </c>
      <c r="R135" s="4">
        <v>209</v>
      </c>
      <c r="S135" s="4">
        <f t="shared" si="11"/>
        <v>0.20899999999999999</v>
      </c>
      <c r="T135" s="4">
        <f t="shared" si="12"/>
        <v>2.3660377358490567E-2</v>
      </c>
      <c r="V135" s="4" t="s">
        <v>533</v>
      </c>
      <c r="W135" s="4" t="s">
        <v>151</v>
      </c>
      <c r="AB135" s="20"/>
      <c r="AC135" s="20"/>
      <c r="AD135" s="19"/>
      <c r="AE135" s="19"/>
      <c r="AF135" s="19"/>
      <c r="AG135" s="19"/>
      <c r="AH135" s="19"/>
      <c r="AI135" s="19"/>
    </row>
    <row r="136" spans="1:35" ht="12.75" customHeight="1">
      <c r="A136" s="4" t="s">
        <v>152</v>
      </c>
      <c r="B136" s="14" t="s">
        <v>491</v>
      </c>
      <c r="C136" s="4" t="s">
        <v>474</v>
      </c>
      <c r="D136" s="4" t="s">
        <v>475</v>
      </c>
      <c r="E136" s="4" t="s">
        <v>492</v>
      </c>
      <c r="F136" s="4" t="s">
        <v>474</v>
      </c>
      <c r="G136" s="4" t="s">
        <v>486</v>
      </c>
      <c r="H136" s="4" t="s">
        <v>462</v>
      </c>
      <c r="I136" s="8">
        <v>45245</v>
      </c>
      <c r="J136" s="4" t="s">
        <v>477</v>
      </c>
      <c r="K136" s="11">
        <v>1</v>
      </c>
      <c r="L136" s="11">
        <v>8</v>
      </c>
      <c r="M136" s="11">
        <v>4</v>
      </c>
      <c r="N136" s="6" t="s">
        <v>473</v>
      </c>
      <c r="O136" s="4">
        <v>30.7</v>
      </c>
      <c r="P136" s="4">
        <v>24.8</v>
      </c>
      <c r="Q136" s="4">
        <v>7.2</v>
      </c>
      <c r="R136" s="4">
        <v>215</v>
      </c>
      <c r="S136" s="4">
        <f t="shared" si="11"/>
        <v>0.215</v>
      </c>
      <c r="T136" s="4">
        <f t="shared" si="12"/>
        <v>2.1009771986970682E-2</v>
      </c>
      <c r="V136" s="4" t="s">
        <v>533</v>
      </c>
      <c r="W136" s="4" t="s">
        <v>152</v>
      </c>
      <c r="AB136" s="20"/>
      <c r="AC136" s="20"/>
      <c r="AD136" s="19"/>
      <c r="AE136" s="19"/>
      <c r="AF136" s="19"/>
      <c r="AG136" s="19"/>
      <c r="AH136" s="19"/>
      <c r="AI136" s="19"/>
    </row>
    <row r="137" spans="1:35" ht="12.75" customHeight="1">
      <c r="A137" s="4" t="s">
        <v>153</v>
      </c>
      <c r="B137" s="14" t="s">
        <v>491</v>
      </c>
      <c r="C137" s="4" t="s">
        <v>474</v>
      </c>
      <c r="D137" s="4" t="s">
        <v>475</v>
      </c>
      <c r="E137" s="4" t="s">
        <v>492</v>
      </c>
      <c r="F137" s="4" t="s">
        <v>474</v>
      </c>
      <c r="G137" s="4" t="s">
        <v>486</v>
      </c>
      <c r="H137" s="4" t="s">
        <v>462</v>
      </c>
      <c r="I137" s="8">
        <v>45245</v>
      </c>
      <c r="J137" s="4" t="s">
        <v>477</v>
      </c>
      <c r="K137" s="11">
        <v>1</v>
      </c>
      <c r="L137" s="11">
        <v>8</v>
      </c>
      <c r="M137" s="11">
        <v>4</v>
      </c>
      <c r="N137" s="6" t="s">
        <v>482</v>
      </c>
      <c r="O137" s="4">
        <v>33.4</v>
      </c>
      <c r="P137" s="4">
        <v>26</v>
      </c>
      <c r="Q137" s="4">
        <v>7.9</v>
      </c>
      <c r="R137" s="4">
        <v>275</v>
      </c>
      <c r="S137" s="4">
        <f t="shared" si="11"/>
        <v>0.27500000000000002</v>
      </c>
      <c r="T137" s="4">
        <f t="shared" si="12"/>
        <v>2.470059880239521E-2</v>
      </c>
      <c r="V137" s="4" t="s">
        <v>533</v>
      </c>
      <c r="W137" s="4" t="s">
        <v>153</v>
      </c>
      <c r="AB137" s="20"/>
      <c r="AC137" s="20"/>
      <c r="AD137" s="19"/>
      <c r="AE137" s="19"/>
      <c r="AF137" s="19"/>
      <c r="AG137" s="19"/>
      <c r="AH137" s="19"/>
      <c r="AI137" s="19"/>
    </row>
    <row r="138" spans="1:35" ht="12.75" customHeight="1">
      <c r="A138" s="4" t="s">
        <v>154</v>
      </c>
      <c r="B138" s="14" t="s">
        <v>491</v>
      </c>
      <c r="C138" s="4" t="s">
        <v>474</v>
      </c>
      <c r="D138" s="4" t="s">
        <v>475</v>
      </c>
      <c r="E138" s="4" t="s">
        <v>492</v>
      </c>
      <c r="F138" s="4" t="s">
        <v>474</v>
      </c>
      <c r="G138" s="4" t="s">
        <v>486</v>
      </c>
      <c r="H138" s="4" t="s">
        <v>462</v>
      </c>
      <c r="I138" s="8">
        <v>45245</v>
      </c>
      <c r="J138" s="4" t="s">
        <v>477</v>
      </c>
      <c r="K138" s="11">
        <v>1</v>
      </c>
      <c r="L138" s="11">
        <v>8</v>
      </c>
      <c r="M138" s="11">
        <v>4</v>
      </c>
      <c r="N138" s="6" t="s">
        <v>482</v>
      </c>
      <c r="O138" s="4">
        <v>26.5</v>
      </c>
      <c r="P138" s="4">
        <v>21.1</v>
      </c>
      <c r="Q138" s="4">
        <v>7.3</v>
      </c>
      <c r="R138" s="4">
        <v>184</v>
      </c>
      <c r="S138" s="4">
        <f t="shared" si="11"/>
        <v>0.184</v>
      </c>
      <c r="T138" s="4">
        <f t="shared" si="12"/>
        <v>2.0830188679245284E-2</v>
      </c>
      <c r="V138" s="4" t="s">
        <v>533</v>
      </c>
      <c r="W138" s="4" t="s">
        <v>154</v>
      </c>
      <c r="AB138" s="20"/>
      <c r="AC138" s="20"/>
      <c r="AD138" s="19"/>
      <c r="AE138" s="19"/>
      <c r="AF138" s="19"/>
      <c r="AG138" s="19"/>
      <c r="AH138" s="19"/>
      <c r="AI138" s="19"/>
    </row>
    <row r="139" spans="1:35" ht="12.75" customHeight="1">
      <c r="A139" s="4" t="s">
        <v>155</v>
      </c>
      <c r="B139" s="14" t="s">
        <v>491</v>
      </c>
      <c r="C139" s="4" t="s">
        <v>474</v>
      </c>
      <c r="D139" s="4" t="s">
        <v>475</v>
      </c>
      <c r="E139" s="4" t="s">
        <v>492</v>
      </c>
      <c r="F139" s="4" t="s">
        <v>474</v>
      </c>
      <c r="G139" s="4" t="s">
        <v>486</v>
      </c>
      <c r="H139" s="4" t="s">
        <v>462</v>
      </c>
      <c r="I139" s="8">
        <v>45245</v>
      </c>
      <c r="J139" s="4" t="s">
        <v>477</v>
      </c>
      <c r="K139" s="11">
        <v>1</v>
      </c>
      <c r="L139" s="11">
        <v>8</v>
      </c>
      <c r="M139" s="11">
        <v>4</v>
      </c>
      <c r="N139" s="6" t="s">
        <v>560</v>
      </c>
      <c r="O139" s="4">
        <v>33.6</v>
      </c>
      <c r="P139" s="4">
        <v>28.5</v>
      </c>
      <c r="Q139" s="4">
        <v>8.1</v>
      </c>
      <c r="R139" s="4">
        <v>376</v>
      </c>
      <c r="S139" s="4">
        <f t="shared" si="11"/>
        <v>0.376</v>
      </c>
      <c r="T139" s="4">
        <f t="shared" si="12"/>
        <v>3.3571428571428572E-2</v>
      </c>
      <c r="V139" s="4" t="s">
        <v>533</v>
      </c>
      <c r="W139" s="4" t="s">
        <v>155</v>
      </c>
      <c r="AB139" s="20"/>
      <c r="AC139" s="20"/>
      <c r="AD139" s="19"/>
      <c r="AE139" s="19"/>
      <c r="AF139" s="19"/>
      <c r="AG139" s="19"/>
      <c r="AH139" s="19"/>
      <c r="AI139" s="19"/>
    </row>
    <row r="140" spans="1:35" ht="12.75" customHeight="1">
      <c r="A140" s="4" t="s">
        <v>156</v>
      </c>
      <c r="B140" s="14" t="s">
        <v>491</v>
      </c>
      <c r="C140" s="4" t="s">
        <v>474</v>
      </c>
      <c r="D140" s="4" t="s">
        <v>475</v>
      </c>
      <c r="E140" s="4" t="s">
        <v>492</v>
      </c>
      <c r="F140" s="4" t="s">
        <v>474</v>
      </c>
      <c r="G140" s="4" t="s">
        <v>486</v>
      </c>
      <c r="H140" s="4" t="s">
        <v>462</v>
      </c>
      <c r="I140" s="8">
        <v>45245</v>
      </c>
      <c r="J140" s="4" t="s">
        <v>477</v>
      </c>
      <c r="K140" s="11">
        <v>1</v>
      </c>
      <c r="L140" s="11">
        <v>8</v>
      </c>
      <c r="M140" s="11">
        <v>4</v>
      </c>
      <c r="N140" s="6" t="s">
        <v>473</v>
      </c>
      <c r="O140" s="4">
        <v>29.9</v>
      </c>
      <c r="P140" s="4">
        <v>27.5</v>
      </c>
      <c r="Q140" s="4">
        <v>7.4</v>
      </c>
      <c r="R140" s="4">
        <v>355</v>
      </c>
      <c r="S140" s="4">
        <f t="shared" si="11"/>
        <v>0.35499999999999998</v>
      </c>
      <c r="T140" s="4">
        <f t="shared" si="12"/>
        <v>3.5618729096989966E-2</v>
      </c>
      <c r="V140" s="4" t="s">
        <v>533</v>
      </c>
      <c r="W140" s="4" t="s">
        <v>156</v>
      </c>
      <c r="AB140" s="20"/>
      <c r="AC140" s="20"/>
      <c r="AD140" s="19"/>
      <c r="AE140" s="19"/>
      <c r="AF140" s="19"/>
      <c r="AG140" s="19"/>
      <c r="AH140" s="19"/>
      <c r="AI140" s="19"/>
    </row>
    <row r="141" spans="1:35" ht="12.75" customHeight="1">
      <c r="A141" s="4" t="s">
        <v>157</v>
      </c>
      <c r="B141" s="14" t="s">
        <v>491</v>
      </c>
      <c r="C141" s="4" t="s">
        <v>474</v>
      </c>
      <c r="D141" s="4" t="s">
        <v>475</v>
      </c>
      <c r="E141" s="4" t="s">
        <v>492</v>
      </c>
      <c r="F141" s="4" t="s">
        <v>474</v>
      </c>
      <c r="G141" s="4" t="s">
        <v>486</v>
      </c>
      <c r="H141" s="4" t="s">
        <v>462</v>
      </c>
      <c r="I141" s="8">
        <v>45245</v>
      </c>
      <c r="J141" s="4" t="s">
        <v>477</v>
      </c>
      <c r="K141" s="11">
        <v>1</v>
      </c>
      <c r="L141" s="11">
        <v>8</v>
      </c>
      <c r="M141" s="11">
        <v>4</v>
      </c>
      <c r="N141" s="6" t="s">
        <v>560</v>
      </c>
      <c r="O141" s="4">
        <v>25.2</v>
      </c>
      <c r="P141" s="4">
        <v>21</v>
      </c>
      <c r="Q141" s="4">
        <v>5.0999999999999996</v>
      </c>
      <c r="R141" s="4">
        <v>136</v>
      </c>
      <c r="S141" s="4">
        <f t="shared" si="11"/>
        <v>0.13600000000000001</v>
      </c>
      <c r="T141" s="4">
        <f t="shared" si="12"/>
        <v>1.6190476190476193E-2</v>
      </c>
      <c r="V141" s="4" t="s">
        <v>533</v>
      </c>
      <c r="W141" s="4" t="s">
        <v>157</v>
      </c>
      <c r="AB141" s="20"/>
      <c r="AC141" s="20"/>
      <c r="AD141" s="19"/>
      <c r="AE141" s="19"/>
      <c r="AF141" s="19"/>
      <c r="AG141" s="19"/>
      <c r="AH141" s="19"/>
      <c r="AI141" s="19"/>
    </row>
    <row r="142" spans="1:35" ht="12.75" customHeight="1">
      <c r="A142" s="4" t="s">
        <v>158</v>
      </c>
      <c r="B142" s="14" t="s">
        <v>491</v>
      </c>
      <c r="C142" s="4" t="s">
        <v>474</v>
      </c>
      <c r="D142" s="4" t="s">
        <v>475</v>
      </c>
      <c r="E142" s="4" t="s">
        <v>492</v>
      </c>
      <c r="F142" s="4" t="s">
        <v>474</v>
      </c>
      <c r="G142" s="4" t="s">
        <v>486</v>
      </c>
      <c r="H142" s="4" t="s">
        <v>462</v>
      </c>
      <c r="I142" s="8">
        <v>45245</v>
      </c>
      <c r="J142" s="4" t="s">
        <v>477</v>
      </c>
      <c r="K142" s="11">
        <v>1</v>
      </c>
      <c r="L142" s="11">
        <v>8</v>
      </c>
      <c r="M142" s="11">
        <v>4</v>
      </c>
      <c r="N142" s="6" t="s">
        <v>473</v>
      </c>
      <c r="O142" s="4">
        <v>26.1</v>
      </c>
      <c r="P142" s="4">
        <v>22.3</v>
      </c>
      <c r="Q142" s="4">
        <v>6.5</v>
      </c>
      <c r="R142" s="4">
        <v>185</v>
      </c>
      <c r="S142" s="4">
        <f t="shared" si="11"/>
        <v>0.185</v>
      </c>
      <c r="T142" s="4">
        <f t="shared" si="12"/>
        <v>2.1264367816091954E-2</v>
      </c>
      <c r="V142" s="4" t="s">
        <v>533</v>
      </c>
      <c r="W142" s="4" t="s">
        <v>158</v>
      </c>
      <c r="AB142" s="20"/>
      <c r="AC142" s="20"/>
      <c r="AD142" s="19"/>
      <c r="AE142" s="19"/>
      <c r="AF142" s="19"/>
      <c r="AG142" s="19"/>
      <c r="AH142" s="19"/>
      <c r="AI142" s="19"/>
    </row>
    <row r="143" spans="1:35" ht="12.75" customHeight="1">
      <c r="A143" s="4" t="s">
        <v>159</v>
      </c>
      <c r="B143" s="14" t="s">
        <v>491</v>
      </c>
      <c r="C143" s="4" t="s">
        <v>474</v>
      </c>
      <c r="D143" s="4" t="s">
        <v>475</v>
      </c>
      <c r="E143" s="4" t="s">
        <v>492</v>
      </c>
      <c r="F143" s="4" t="s">
        <v>474</v>
      </c>
      <c r="G143" s="4" t="s">
        <v>486</v>
      </c>
      <c r="H143" s="4" t="s">
        <v>462</v>
      </c>
      <c r="I143" s="8">
        <v>45245</v>
      </c>
      <c r="J143" s="4" t="s">
        <v>477</v>
      </c>
      <c r="K143" s="11">
        <v>1</v>
      </c>
      <c r="L143" s="11">
        <v>8</v>
      </c>
      <c r="M143" s="11">
        <v>4</v>
      </c>
      <c r="N143" s="6" t="s">
        <v>482</v>
      </c>
      <c r="O143" s="4">
        <v>28.9</v>
      </c>
      <c r="P143" s="4">
        <v>21.2</v>
      </c>
      <c r="Q143" s="4">
        <v>6.6</v>
      </c>
      <c r="R143" s="4">
        <v>197</v>
      </c>
      <c r="S143" s="4">
        <f t="shared" si="11"/>
        <v>0.19700000000000001</v>
      </c>
      <c r="T143" s="4">
        <f t="shared" si="12"/>
        <v>2.044982698961938E-2</v>
      </c>
      <c r="V143" s="4" t="s">
        <v>533</v>
      </c>
      <c r="W143" s="4" t="s">
        <v>159</v>
      </c>
      <c r="AB143" s="20"/>
      <c r="AC143" s="20"/>
      <c r="AD143" s="19"/>
      <c r="AE143" s="19"/>
      <c r="AF143" s="19"/>
      <c r="AG143" s="19"/>
      <c r="AH143" s="19"/>
      <c r="AI143" s="19"/>
    </row>
    <row r="144" spans="1:35" ht="12.75" customHeight="1">
      <c r="A144" s="4" t="s">
        <v>160</v>
      </c>
      <c r="B144" s="14" t="s">
        <v>491</v>
      </c>
      <c r="C144" s="4" t="s">
        <v>474</v>
      </c>
      <c r="D144" s="4" t="s">
        <v>475</v>
      </c>
      <c r="E144" s="4" t="s">
        <v>492</v>
      </c>
      <c r="F144" s="4" t="s">
        <v>474</v>
      </c>
      <c r="G144" s="4" t="s">
        <v>486</v>
      </c>
      <c r="H144" s="4" t="s">
        <v>462</v>
      </c>
      <c r="I144" s="8">
        <v>45245</v>
      </c>
      <c r="J144" s="4" t="s">
        <v>477</v>
      </c>
      <c r="K144" s="11">
        <v>1</v>
      </c>
      <c r="L144" s="11">
        <v>8</v>
      </c>
      <c r="M144" s="11">
        <v>4</v>
      </c>
      <c r="N144" s="6" t="s">
        <v>482</v>
      </c>
      <c r="O144" s="4">
        <v>29</v>
      </c>
      <c r="P144" s="4">
        <v>22.2</v>
      </c>
      <c r="Q144" s="4">
        <v>7.4</v>
      </c>
      <c r="R144" s="4">
        <v>216</v>
      </c>
      <c r="S144" s="4">
        <f t="shared" si="11"/>
        <v>0.216</v>
      </c>
      <c r="T144" s="4">
        <f t="shared" si="12"/>
        <v>2.2344827586206897E-2</v>
      </c>
      <c r="V144" s="4" t="s">
        <v>533</v>
      </c>
      <c r="W144" s="4" t="s">
        <v>160</v>
      </c>
      <c r="AB144" s="20"/>
      <c r="AC144" s="20"/>
      <c r="AD144" s="19"/>
      <c r="AE144" s="19"/>
      <c r="AF144" s="19"/>
      <c r="AG144" s="19"/>
      <c r="AH144" s="19"/>
      <c r="AI144" s="19"/>
    </row>
    <row r="145" spans="1:35" ht="12.75" customHeight="1">
      <c r="A145" s="4" t="s">
        <v>161</v>
      </c>
      <c r="B145" s="14" t="s">
        <v>491</v>
      </c>
      <c r="C145" s="4" t="s">
        <v>474</v>
      </c>
      <c r="D145" s="4" t="s">
        <v>475</v>
      </c>
      <c r="E145" s="4" t="s">
        <v>492</v>
      </c>
      <c r="F145" s="4" t="s">
        <v>474</v>
      </c>
      <c r="G145" s="4" t="s">
        <v>486</v>
      </c>
      <c r="H145" s="4" t="s">
        <v>462</v>
      </c>
      <c r="I145" s="8">
        <v>45245</v>
      </c>
      <c r="J145" s="4" t="s">
        <v>477</v>
      </c>
      <c r="K145" s="11">
        <v>1</v>
      </c>
      <c r="L145" s="11">
        <v>8</v>
      </c>
      <c r="M145" s="11">
        <v>4</v>
      </c>
      <c r="N145" s="6" t="s">
        <v>482</v>
      </c>
      <c r="O145" s="4">
        <v>29.5</v>
      </c>
      <c r="P145" s="4">
        <v>23.3</v>
      </c>
      <c r="Q145" s="4">
        <v>8</v>
      </c>
      <c r="R145" s="4">
        <v>263</v>
      </c>
      <c r="S145" s="4">
        <f t="shared" si="11"/>
        <v>0.26300000000000001</v>
      </c>
      <c r="T145" s="4">
        <f t="shared" si="12"/>
        <v>2.6745762711864407E-2</v>
      </c>
      <c r="V145" s="4" t="s">
        <v>533</v>
      </c>
      <c r="W145" s="4" t="s">
        <v>161</v>
      </c>
      <c r="AB145" s="20"/>
      <c r="AC145" s="20"/>
      <c r="AD145" s="19"/>
      <c r="AE145" s="19"/>
      <c r="AF145" s="19"/>
      <c r="AG145" s="19"/>
      <c r="AH145" s="19"/>
      <c r="AI145" s="19"/>
    </row>
    <row r="146" spans="1:35" ht="12.75" customHeight="1">
      <c r="A146" s="4" t="s">
        <v>162</v>
      </c>
      <c r="B146" s="14" t="s">
        <v>491</v>
      </c>
      <c r="C146" s="4" t="s">
        <v>474</v>
      </c>
      <c r="D146" s="4" t="s">
        <v>475</v>
      </c>
      <c r="E146" s="4" t="s">
        <v>492</v>
      </c>
      <c r="F146" s="4" t="s">
        <v>474</v>
      </c>
      <c r="G146" s="4" t="s">
        <v>486</v>
      </c>
      <c r="H146" s="4" t="s">
        <v>462</v>
      </c>
      <c r="I146" s="8">
        <v>45245</v>
      </c>
      <c r="J146" s="4" t="s">
        <v>477</v>
      </c>
      <c r="K146" s="11">
        <v>1</v>
      </c>
      <c r="L146" s="11">
        <v>8</v>
      </c>
      <c r="M146" s="11">
        <v>4</v>
      </c>
      <c r="N146" s="6" t="s">
        <v>560</v>
      </c>
      <c r="O146" s="4">
        <v>22.1</v>
      </c>
      <c r="P146" s="4">
        <v>18.7</v>
      </c>
      <c r="Q146" s="4">
        <v>5.2</v>
      </c>
      <c r="R146" s="4">
        <v>107</v>
      </c>
      <c r="S146" s="4">
        <f t="shared" si="11"/>
        <v>0.107</v>
      </c>
      <c r="T146" s="4">
        <f t="shared" si="12"/>
        <v>1.4524886877828054E-2</v>
      </c>
      <c r="V146" s="4" t="s">
        <v>533</v>
      </c>
      <c r="W146" s="4" t="s">
        <v>162</v>
      </c>
      <c r="AB146" s="20"/>
      <c r="AC146" s="20"/>
      <c r="AD146" s="19"/>
      <c r="AE146" s="19"/>
      <c r="AF146" s="19"/>
      <c r="AG146" s="19"/>
      <c r="AH146" s="19"/>
      <c r="AI146" s="19"/>
    </row>
    <row r="147" spans="1:35" ht="12.75" customHeight="1">
      <c r="A147" s="4" t="s">
        <v>163</v>
      </c>
      <c r="B147" s="14" t="s">
        <v>491</v>
      </c>
      <c r="C147" s="4" t="s">
        <v>474</v>
      </c>
      <c r="D147" s="4" t="s">
        <v>475</v>
      </c>
      <c r="E147" s="4" t="s">
        <v>492</v>
      </c>
      <c r="F147" s="4" t="s">
        <v>474</v>
      </c>
      <c r="G147" s="4" t="s">
        <v>486</v>
      </c>
      <c r="H147" s="4" t="s">
        <v>462</v>
      </c>
      <c r="I147" s="8">
        <v>45245</v>
      </c>
      <c r="J147" s="4" t="s">
        <v>477</v>
      </c>
      <c r="K147" s="11">
        <v>1</v>
      </c>
      <c r="L147" s="11">
        <v>8</v>
      </c>
      <c r="M147" s="11">
        <v>4</v>
      </c>
      <c r="N147" s="6" t="s">
        <v>560</v>
      </c>
      <c r="O147" s="4">
        <v>22.4</v>
      </c>
      <c r="P147" s="4">
        <v>18.3</v>
      </c>
      <c r="Q147" s="4">
        <v>5.4</v>
      </c>
      <c r="R147" s="4">
        <v>101</v>
      </c>
      <c r="S147" s="4">
        <f t="shared" si="11"/>
        <v>0.10100000000000001</v>
      </c>
      <c r="T147" s="4">
        <f t="shared" si="12"/>
        <v>1.3526785714285715E-2</v>
      </c>
      <c r="V147" s="4" t="s">
        <v>533</v>
      </c>
      <c r="W147" s="4" t="s">
        <v>163</v>
      </c>
      <c r="AB147" s="20"/>
      <c r="AC147" s="20"/>
      <c r="AD147" s="19"/>
      <c r="AE147" s="19"/>
      <c r="AF147" s="19"/>
      <c r="AG147" s="19"/>
      <c r="AH147" s="19"/>
      <c r="AI147" s="19"/>
    </row>
    <row r="148" spans="1:35" ht="12.75" customHeight="1">
      <c r="A148" s="4" t="s">
        <v>164</v>
      </c>
      <c r="B148" s="14" t="s">
        <v>491</v>
      </c>
      <c r="C148" s="4" t="s">
        <v>474</v>
      </c>
      <c r="D148" s="4" t="s">
        <v>475</v>
      </c>
      <c r="E148" s="4" t="s">
        <v>492</v>
      </c>
      <c r="F148" s="4" t="s">
        <v>474</v>
      </c>
      <c r="G148" s="4" t="s">
        <v>486</v>
      </c>
      <c r="H148" s="4" t="s">
        <v>462</v>
      </c>
      <c r="I148" s="8">
        <v>45245</v>
      </c>
      <c r="J148" s="4" t="s">
        <v>477</v>
      </c>
      <c r="K148" s="11">
        <v>1</v>
      </c>
      <c r="L148" s="11">
        <v>8</v>
      </c>
      <c r="M148" s="11">
        <v>4</v>
      </c>
      <c r="N148" s="6" t="s">
        <v>473</v>
      </c>
      <c r="O148" s="4">
        <v>27.5</v>
      </c>
      <c r="P148" s="4">
        <v>22</v>
      </c>
      <c r="Q148" s="4">
        <v>6.3</v>
      </c>
      <c r="R148" s="4">
        <v>181</v>
      </c>
      <c r="S148" s="4">
        <f t="shared" si="11"/>
        <v>0.18099999999999999</v>
      </c>
      <c r="T148" s="4">
        <f t="shared" si="12"/>
        <v>1.9745454545454545E-2</v>
      </c>
      <c r="V148" s="4" t="s">
        <v>533</v>
      </c>
      <c r="W148" s="4" t="s">
        <v>164</v>
      </c>
      <c r="AB148" s="20"/>
      <c r="AC148" s="20"/>
      <c r="AD148" s="19"/>
      <c r="AE148" s="19"/>
      <c r="AF148" s="19"/>
      <c r="AG148" s="19"/>
      <c r="AH148" s="19"/>
      <c r="AI148" s="19"/>
    </row>
    <row r="149" spans="1:35" ht="12.75" customHeight="1">
      <c r="A149" s="4" t="s">
        <v>165</v>
      </c>
      <c r="B149" s="14" t="s">
        <v>491</v>
      </c>
      <c r="C149" s="4" t="s">
        <v>474</v>
      </c>
      <c r="D149" s="4" t="s">
        <v>475</v>
      </c>
      <c r="E149" s="4" t="s">
        <v>492</v>
      </c>
      <c r="F149" s="4" t="s">
        <v>474</v>
      </c>
      <c r="G149" s="4" t="s">
        <v>486</v>
      </c>
      <c r="H149" s="4" t="s">
        <v>462</v>
      </c>
      <c r="I149" s="8">
        <v>45245</v>
      </c>
      <c r="J149" s="4" t="s">
        <v>477</v>
      </c>
      <c r="K149" s="11">
        <v>1</v>
      </c>
      <c r="L149" s="11">
        <v>8</v>
      </c>
      <c r="M149" s="11">
        <v>4</v>
      </c>
      <c r="N149" s="6" t="s">
        <v>473</v>
      </c>
      <c r="O149" s="4">
        <v>31</v>
      </c>
      <c r="P149" s="4">
        <v>25.1</v>
      </c>
      <c r="Q149" s="4">
        <v>6.7</v>
      </c>
      <c r="R149" s="4">
        <v>256</v>
      </c>
      <c r="S149" s="4">
        <f t="shared" si="11"/>
        <v>0.25600000000000001</v>
      </c>
      <c r="T149" s="4">
        <f t="shared" si="12"/>
        <v>2.47741935483871E-2</v>
      </c>
      <c r="V149" s="4" t="s">
        <v>533</v>
      </c>
      <c r="W149" s="4" t="s">
        <v>165</v>
      </c>
      <c r="AB149" s="20"/>
      <c r="AC149" s="20"/>
      <c r="AD149" s="19"/>
      <c r="AE149" s="19"/>
      <c r="AF149" s="19"/>
      <c r="AG149" s="19"/>
      <c r="AH149" s="19"/>
      <c r="AI149" s="19"/>
    </row>
    <row r="150" spans="1:35" ht="12.75" customHeight="1">
      <c r="A150" s="4" t="s">
        <v>166</v>
      </c>
      <c r="B150" s="14" t="s">
        <v>491</v>
      </c>
      <c r="C150" s="4" t="s">
        <v>474</v>
      </c>
      <c r="D150" s="4" t="s">
        <v>475</v>
      </c>
      <c r="E150" s="4" t="s">
        <v>492</v>
      </c>
      <c r="F150" s="4" t="s">
        <v>474</v>
      </c>
      <c r="G150" s="4" t="s">
        <v>486</v>
      </c>
      <c r="H150" s="4" t="s">
        <v>462</v>
      </c>
      <c r="I150" s="8">
        <v>45245</v>
      </c>
      <c r="J150" s="4" t="s">
        <v>477</v>
      </c>
      <c r="K150" s="11">
        <v>1</v>
      </c>
      <c r="L150" s="11">
        <v>8</v>
      </c>
      <c r="M150" s="11">
        <v>4</v>
      </c>
      <c r="N150" s="6" t="s">
        <v>473</v>
      </c>
      <c r="O150" s="4">
        <v>29.1</v>
      </c>
      <c r="P150" s="4">
        <v>22.8</v>
      </c>
      <c r="Q150" s="4">
        <v>6.5</v>
      </c>
      <c r="R150" s="4">
        <v>220</v>
      </c>
      <c r="S150" s="13">
        <f t="shared" si="11"/>
        <v>0.22</v>
      </c>
      <c r="T150" s="4">
        <f t="shared" si="12"/>
        <v>2.268041237113402E-2</v>
      </c>
      <c r="V150" s="4" t="s">
        <v>533</v>
      </c>
      <c r="W150" s="4" t="s">
        <v>166</v>
      </c>
      <c r="AB150" s="20"/>
      <c r="AC150" s="20"/>
      <c r="AD150" s="19"/>
      <c r="AE150" s="19"/>
      <c r="AF150" s="19"/>
      <c r="AG150" s="19"/>
      <c r="AH150" s="19"/>
      <c r="AI150" s="19"/>
    </row>
    <row r="151" spans="1:35" ht="12.75" customHeight="1">
      <c r="A151" s="4" t="s">
        <v>167</v>
      </c>
      <c r="B151" s="14" t="s">
        <v>491</v>
      </c>
      <c r="C151" s="4" t="s">
        <v>474</v>
      </c>
      <c r="D151" s="4" t="s">
        <v>475</v>
      </c>
      <c r="E151" s="4" t="s">
        <v>492</v>
      </c>
      <c r="F151" s="4" t="s">
        <v>474</v>
      </c>
      <c r="G151" s="4" t="s">
        <v>486</v>
      </c>
      <c r="H151" s="4" t="s">
        <v>462</v>
      </c>
      <c r="I151" s="8">
        <v>45245</v>
      </c>
      <c r="J151" s="4" t="s">
        <v>477</v>
      </c>
      <c r="K151" s="11">
        <v>1</v>
      </c>
      <c r="L151" s="11">
        <v>8</v>
      </c>
      <c r="M151" s="11">
        <v>4</v>
      </c>
      <c r="N151" s="6" t="s">
        <v>473</v>
      </c>
      <c r="O151" s="4">
        <v>23.1</v>
      </c>
      <c r="P151" s="4">
        <v>19</v>
      </c>
      <c r="Q151" s="4">
        <v>4.5999999999999996</v>
      </c>
      <c r="R151" s="4">
        <v>103</v>
      </c>
      <c r="S151" s="4">
        <f t="shared" si="11"/>
        <v>0.10299999999999999</v>
      </c>
      <c r="T151" s="4">
        <f t="shared" si="12"/>
        <v>1.3376623376623376E-2</v>
      </c>
      <c r="V151" s="4" t="s">
        <v>533</v>
      </c>
      <c r="W151" s="4" t="s">
        <v>167</v>
      </c>
      <c r="AB151" s="20"/>
      <c r="AC151" s="20"/>
      <c r="AD151" s="19"/>
      <c r="AE151" s="19"/>
      <c r="AF151" s="19"/>
      <c r="AG151" s="19"/>
      <c r="AH151" s="19"/>
      <c r="AI151" s="19"/>
    </row>
    <row r="152" spans="1:35" ht="12.75" customHeight="1">
      <c r="A152" s="4" t="s">
        <v>168</v>
      </c>
      <c r="B152" s="14" t="s">
        <v>491</v>
      </c>
      <c r="C152" s="4" t="s">
        <v>474</v>
      </c>
      <c r="D152" s="4" t="s">
        <v>475</v>
      </c>
      <c r="E152" s="4" t="s">
        <v>492</v>
      </c>
      <c r="F152" s="4" t="s">
        <v>474</v>
      </c>
      <c r="G152" s="4" t="s">
        <v>486</v>
      </c>
      <c r="H152" s="4" t="s">
        <v>462</v>
      </c>
      <c r="I152" s="8">
        <v>45245</v>
      </c>
      <c r="J152" s="4" t="s">
        <v>477</v>
      </c>
      <c r="K152" s="11">
        <v>1</v>
      </c>
      <c r="L152" s="11">
        <v>8</v>
      </c>
      <c r="M152" s="11">
        <v>4</v>
      </c>
      <c r="N152" s="6" t="s">
        <v>473</v>
      </c>
      <c r="O152" s="4">
        <v>38.9</v>
      </c>
      <c r="P152" s="4">
        <v>30.3</v>
      </c>
      <c r="Q152" s="4">
        <v>8.1999999999999993</v>
      </c>
      <c r="R152" s="4">
        <v>482</v>
      </c>
      <c r="S152" s="4">
        <f t="shared" si="11"/>
        <v>0.48199999999999998</v>
      </c>
      <c r="T152" s="4">
        <f t="shared" si="12"/>
        <v>3.7172236503856038E-2</v>
      </c>
      <c r="V152" s="4" t="s">
        <v>533</v>
      </c>
      <c r="W152" s="4" t="s">
        <v>168</v>
      </c>
      <c r="AB152" s="20"/>
      <c r="AC152" s="20"/>
      <c r="AD152" s="19"/>
      <c r="AE152" s="19"/>
      <c r="AF152" s="19"/>
      <c r="AG152" s="19"/>
      <c r="AH152" s="19"/>
      <c r="AI152" s="19"/>
    </row>
    <row r="153" spans="1:35" ht="12.75" customHeight="1">
      <c r="A153" s="4" t="s">
        <v>169</v>
      </c>
      <c r="B153" s="14" t="s">
        <v>491</v>
      </c>
      <c r="C153" s="4" t="s">
        <v>474</v>
      </c>
      <c r="D153" s="4" t="s">
        <v>475</v>
      </c>
      <c r="E153" s="4" t="s">
        <v>492</v>
      </c>
      <c r="F153" s="4" t="s">
        <v>474</v>
      </c>
      <c r="G153" s="4" t="s">
        <v>486</v>
      </c>
      <c r="H153" s="4" t="s">
        <v>462</v>
      </c>
      <c r="I153" s="8">
        <v>45245</v>
      </c>
      <c r="J153" s="4" t="s">
        <v>477</v>
      </c>
      <c r="K153" s="11">
        <v>1</v>
      </c>
      <c r="L153" s="11">
        <v>8</v>
      </c>
      <c r="M153" s="11">
        <v>4</v>
      </c>
      <c r="N153" s="6" t="s">
        <v>473</v>
      </c>
      <c r="O153" s="4">
        <v>25</v>
      </c>
      <c r="P153" s="4">
        <v>22.7</v>
      </c>
      <c r="Q153" s="4">
        <v>6.2</v>
      </c>
      <c r="R153" s="4">
        <v>172</v>
      </c>
      <c r="S153" s="4">
        <f t="shared" si="11"/>
        <v>0.17199999999999999</v>
      </c>
      <c r="T153" s="4">
        <f t="shared" si="12"/>
        <v>2.0639999999999999E-2</v>
      </c>
      <c r="V153" s="4" t="s">
        <v>533</v>
      </c>
      <c r="W153" s="4" t="s">
        <v>169</v>
      </c>
      <c r="AB153" s="20"/>
      <c r="AC153" s="20"/>
      <c r="AD153" s="19"/>
      <c r="AE153" s="19"/>
      <c r="AF153" s="19"/>
      <c r="AG153" s="19"/>
      <c r="AH153" s="19"/>
      <c r="AI153" s="19"/>
    </row>
    <row r="154" spans="1:35" ht="12.75" customHeight="1">
      <c r="A154" s="4" t="s">
        <v>170</v>
      </c>
      <c r="B154" s="14" t="s">
        <v>491</v>
      </c>
      <c r="C154" s="4" t="s">
        <v>474</v>
      </c>
      <c r="D154" s="4" t="s">
        <v>475</v>
      </c>
      <c r="E154" s="4" t="s">
        <v>492</v>
      </c>
      <c r="F154" s="4" t="s">
        <v>474</v>
      </c>
      <c r="G154" s="4" t="s">
        <v>486</v>
      </c>
      <c r="H154" s="4" t="s">
        <v>462</v>
      </c>
      <c r="I154" s="8">
        <v>45245</v>
      </c>
      <c r="J154" s="4" t="s">
        <v>477</v>
      </c>
      <c r="K154" s="11">
        <v>1</v>
      </c>
      <c r="L154" s="11">
        <v>8</v>
      </c>
      <c r="M154" s="11">
        <v>4</v>
      </c>
      <c r="N154" s="6" t="s">
        <v>473</v>
      </c>
      <c r="O154" s="4">
        <v>31.3</v>
      </c>
      <c r="P154" s="4">
        <v>25.8</v>
      </c>
      <c r="Q154" s="4">
        <v>7.6</v>
      </c>
      <c r="R154" s="4">
        <v>309</v>
      </c>
      <c r="S154" s="4">
        <f t="shared" si="11"/>
        <v>0.309</v>
      </c>
      <c r="T154" s="4">
        <f t="shared" si="12"/>
        <v>2.9616613418530353E-2</v>
      </c>
      <c r="V154" s="4" t="s">
        <v>533</v>
      </c>
      <c r="W154" s="4" t="s">
        <v>170</v>
      </c>
      <c r="AB154" s="20"/>
      <c r="AC154" s="20"/>
      <c r="AD154" s="19"/>
      <c r="AE154" s="19"/>
      <c r="AF154" s="19"/>
      <c r="AG154" s="19"/>
      <c r="AH154" s="19"/>
      <c r="AI154" s="19"/>
    </row>
    <row r="155" spans="1:35" ht="12.75" customHeight="1">
      <c r="A155" s="4" t="s">
        <v>171</v>
      </c>
      <c r="B155" s="14" t="s">
        <v>491</v>
      </c>
      <c r="C155" s="4" t="s">
        <v>474</v>
      </c>
      <c r="D155" s="4" t="s">
        <v>475</v>
      </c>
      <c r="E155" s="4" t="s">
        <v>492</v>
      </c>
      <c r="F155" s="4" t="s">
        <v>474</v>
      </c>
      <c r="G155" s="4" t="s">
        <v>486</v>
      </c>
      <c r="H155" s="4" t="s">
        <v>462</v>
      </c>
      <c r="I155" s="8">
        <v>45245</v>
      </c>
      <c r="J155" s="4" t="s">
        <v>477</v>
      </c>
      <c r="K155" s="11">
        <v>1</v>
      </c>
      <c r="L155" s="11">
        <v>8</v>
      </c>
      <c r="M155" s="11">
        <v>4</v>
      </c>
      <c r="N155" s="6" t="s">
        <v>560</v>
      </c>
      <c r="O155" s="4">
        <v>22.2</v>
      </c>
      <c r="P155" s="4">
        <v>18.7</v>
      </c>
      <c r="Q155" s="4">
        <v>5.5</v>
      </c>
      <c r="R155" s="4">
        <v>123</v>
      </c>
      <c r="S155" s="4">
        <f t="shared" si="11"/>
        <v>0.123</v>
      </c>
      <c r="T155" s="4">
        <f t="shared" si="12"/>
        <v>1.6621621621621622E-2</v>
      </c>
      <c r="V155" s="4" t="s">
        <v>533</v>
      </c>
      <c r="W155" s="4" t="s">
        <v>171</v>
      </c>
      <c r="AB155" s="20"/>
      <c r="AC155" s="20"/>
      <c r="AD155" s="19"/>
      <c r="AE155" s="19"/>
      <c r="AF155" s="19"/>
      <c r="AG155" s="19"/>
      <c r="AH155" s="19"/>
      <c r="AI155" s="19"/>
    </row>
    <row r="156" spans="1:35" ht="12.75" customHeight="1">
      <c r="A156" s="4" t="s">
        <v>172</v>
      </c>
      <c r="B156" s="14" t="s">
        <v>491</v>
      </c>
      <c r="C156" s="4" t="s">
        <v>474</v>
      </c>
      <c r="D156" s="4" t="s">
        <v>475</v>
      </c>
      <c r="E156" s="4" t="s">
        <v>492</v>
      </c>
      <c r="F156" s="4" t="s">
        <v>474</v>
      </c>
      <c r="G156" s="4" t="s">
        <v>486</v>
      </c>
      <c r="H156" s="4" t="s">
        <v>462</v>
      </c>
      <c r="I156" s="8">
        <v>45245</v>
      </c>
      <c r="J156" s="4" t="s">
        <v>477</v>
      </c>
      <c r="K156" s="11">
        <v>1</v>
      </c>
      <c r="L156" s="11">
        <v>8</v>
      </c>
      <c r="M156" s="11">
        <v>4</v>
      </c>
      <c r="N156" s="6" t="s">
        <v>482</v>
      </c>
      <c r="O156" s="4">
        <v>18.600000000000001</v>
      </c>
      <c r="P156" s="4">
        <v>15.3</v>
      </c>
      <c r="Q156" s="4">
        <v>4.3</v>
      </c>
      <c r="R156" s="4">
        <v>78</v>
      </c>
      <c r="S156" s="4">
        <f t="shared" si="11"/>
        <v>7.8E-2</v>
      </c>
      <c r="T156" s="4">
        <f t="shared" si="12"/>
        <v>1.2580645161290323E-2</v>
      </c>
      <c r="V156" s="4" t="s">
        <v>533</v>
      </c>
      <c r="W156" s="4" t="s">
        <v>172</v>
      </c>
      <c r="AB156" s="20"/>
      <c r="AC156" s="20"/>
      <c r="AD156" s="19"/>
      <c r="AE156" s="19"/>
      <c r="AF156" s="19"/>
      <c r="AG156" s="19"/>
      <c r="AH156" s="19"/>
      <c r="AI156" s="19"/>
    </row>
    <row r="157" spans="1:35" ht="12.75" customHeight="1">
      <c r="A157" s="4" t="s">
        <v>173</v>
      </c>
      <c r="B157" s="14" t="s">
        <v>491</v>
      </c>
      <c r="C157" s="4" t="s">
        <v>474</v>
      </c>
      <c r="D157" s="4" t="s">
        <v>475</v>
      </c>
      <c r="E157" s="4" t="s">
        <v>492</v>
      </c>
      <c r="F157" s="4" t="s">
        <v>474</v>
      </c>
      <c r="G157" s="4" t="s">
        <v>486</v>
      </c>
      <c r="H157" s="4" t="s">
        <v>462</v>
      </c>
      <c r="I157" s="8">
        <v>45245</v>
      </c>
      <c r="J157" s="4" t="s">
        <v>477</v>
      </c>
      <c r="K157" s="11">
        <v>1</v>
      </c>
      <c r="L157" s="11">
        <v>8</v>
      </c>
      <c r="M157" s="11">
        <v>4</v>
      </c>
      <c r="N157" s="6" t="s">
        <v>482</v>
      </c>
      <c r="O157" s="4">
        <v>29</v>
      </c>
      <c r="P157" s="4">
        <v>23</v>
      </c>
      <c r="Q157" s="4">
        <v>8.1</v>
      </c>
      <c r="R157" s="4">
        <v>263</v>
      </c>
      <c r="S157" s="4">
        <f t="shared" si="11"/>
        <v>0.26300000000000001</v>
      </c>
      <c r="T157" s="4">
        <f t="shared" si="12"/>
        <v>2.720689655172414E-2</v>
      </c>
      <c r="U157" s="4" t="s">
        <v>175</v>
      </c>
      <c r="V157" s="4" t="s">
        <v>533</v>
      </c>
      <c r="W157" s="4" t="s">
        <v>173</v>
      </c>
      <c r="AB157" s="20"/>
      <c r="AC157" s="20"/>
      <c r="AD157" s="19"/>
      <c r="AE157" s="19"/>
      <c r="AF157" s="19"/>
      <c r="AG157" s="19"/>
      <c r="AH157" s="19"/>
      <c r="AI157" s="19"/>
    </row>
    <row r="158" spans="1:35" ht="12.75" customHeight="1">
      <c r="A158" s="4" t="s">
        <v>176</v>
      </c>
      <c r="B158" s="14" t="s">
        <v>491</v>
      </c>
      <c r="C158" s="4" t="s">
        <v>474</v>
      </c>
      <c r="D158" s="4" t="s">
        <v>475</v>
      </c>
      <c r="E158" s="4" t="s">
        <v>492</v>
      </c>
      <c r="F158" s="4" t="s">
        <v>474</v>
      </c>
      <c r="G158" s="4" t="s">
        <v>486</v>
      </c>
      <c r="H158" s="4" t="s">
        <v>462</v>
      </c>
      <c r="I158" s="8">
        <v>45245</v>
      </c>
      <c r="J158" s="4" t="s">
        <v>477</v>
      </c>
      <c r="K158" s="11">
        <v>1</v>
      </c>
      <c r="L158" s="11">
        <v>8</v>
      </c>
      <c r="M158" s="11">
        <v>4</v>
      </c>
      <c r="N158" s="6" t="s">
        <v>473</v>
      </c>
      <c r="O158" s="4">
        <v>29.5</v>
      </c>
      <c r="P158" s="4">
        <v>23.8</v>
      </c>
      <c r="Q158" s="4">
        <v>6.9</v>
      </c>
      <c r="R158" s="4">
        <v>221</v>
      </c>
      <c r="S158" s="4">
        <f t="shared" si="11"/>
        <v>0.221</v>
      </c>
      <c r="T158" s="4">
        <f t="shared" si="12"/>
        <v>2.2474576271186441E-2</v>
      </c>
      <c r="V158" s="4" t="s">
        <v>533</v>
      </c>
      <c r="W158" s="4" t="s">
        <v>176</v>
      </c>
      <c r="AB158" s="20"/>
      <c r="AC158" s="20"/>
      <c r="AD158" s="19"/>
      <c r="AE158" s="19"/>
      <c r="AF158" s="19"/>
      <c r="AG158" s="19"/>
      <c r="AH158" s="19"/>
      <c r="AI158" s="19"/>
    </row>
    <row r="159" spans="1:35" ht="12.75" customHeight="1">
      <c r="A159" s="4" t="s">
        <v>177</v>
      </c>
      <c r="B159" s="14" t="s">
        <v>491</v>
      </c>
      <c r="C159" s="4" t="s">
        <v>474</v>
      </c>
      <c r="D159" s="4" t="s">
        <v>475</v>
      </c>
      <c r="E159" s="4" t="s">
        <v>492</v>
      </c>
      <c r="F159" s="4" t="s">
        <v>474</v>
      </c>
      <c r="G159" s="4" t="s">
        <v>486</v>
      </c>
      <c r="H159" s="4" t="s">
        <v>462</v>
      </c>
      <c r="I159" s="8">
        <v>45245</v>
      </c>
      <c r="J159" s="4" t="s">
        <v>477</v>
      </c>
      <c r="K159" s="11">
        <v>1</v>
      </c>
      <c r="L159" s="11">
        <v>8</v>
      </c>
      <c r="M159" s="11">
        <v>4</v>
      </c>
      <c r="N159" s="6" t="s">
        <v>473</v>
      </c>
      <c r="O159" s="4">
        <v>23.9</v>
      </c>
      <c r="P159" s="4">
        <v>20.3</v>
      </c>
      <c r="Q159" s="4">
        <v>5</v>
      </c>
      <c r="R159" s="4">
        <v>157</v>
      </c>
      <c r="S159" s="4">
        <f t="shared" si="11"/>
        <v>0.157</v>
      </c>
      <c r="T159" s="4">
        <f t="shared" si="12"/>
        <v>1.9707112970711298E-2</v>
      </c>
      <c r="V159" s="4" t="s">
        <v>533</v>
      </c>
      <c r="W159" s="4" t="s">
        <v>177</v>
      </c>
      <c r="AB159" s="20"/>
      <c r="AC159" s="20"/>
      <c r="AD159" s="19"/>
      <c r="AE159" s="19"/>
      <c r="AF159" s="19"/>
      <c r="AG159" s="19"/>
      <c r="AH159" s="19"/>
      <c r="AI159" s="19"/>
    </row>
    <row r="160" spans="1:35" ht="12.75" customHeight="1">
      <c r="A160" s="4" t="s">
        <v>178</v>
      </c>
      <c r="B160" s="14" t="s">
        <v>491</v>
      </c>
      <c r="C160" s="4" t="s">
        <v>474</v>
      </c>
      <c r="D160" s="4" t="s">
        <v>475</v>
      </c>
      <c r="E160" s="4" t="s">
        <v>492</v>
      </c>
      <c r="F160" s="4" t="s">
        <v>474</v>
      </c>
      <c r="G160" s="4" t="s">
        <v>486</v>
      </c>
      <c r="H160" s="4" t="s">
        <v>462</v>
      </c>
      <c r="I160" s="8">
        <v>45245</v>
      </c>
      <c r="J160" s="4" t="s">
        <v>477</v>
      </c>
      <c r="K160" s="11">
        <v>1</v>
      </c>
      <c r="L160" s="11">
        <v>8</v>
      </c>
      <c r="M160" s="11">
        <v>4</v>
      </c>
      <c r="N160" s="6" t="s">
        <v>560</v>
      </c>
      <c r="O160" s="4">
        <v>31.2</v>
      </c>
      <c r="P160" s="4">
        <v>26.4</v>
      </c>
      <c r="Q160" s="4">
        <v>7.6</v>
      </c>
      <c r="R160" s="4">
        <v>402</v>
      </c>
      <c r="S160" s="4">
        <f t="shared" si="11"/>
        <v>0.40200000000000002</v>
      </c>
      <c r="T160" s="4">
        <f t="shared" si="12"/>
        <v>3.8653846153846157E-2</v>
      </c>
      <c r="V160" s="4" t="s">
        <v>533</v>
      </c>
      <c r="W160" s="4" t="s">
        <v>178</v>
      </c>
      <c r="AB160" s="20"/>
      <c r="AC160" s="20"/>
      <c r="AD160" s="19"/>
      <c r="AE160" s="19"/>
      <c r="AF160" s="19"/>
      <c r="AG160" s="19"/>
      <c r="AH160" s="19"/>
      <c r="AI160" s="19"/>
    </row>
    <row r="161" spans="1:35" ht="12.75" customHeight="1">
      <c r="A161" s="4" t="s">
        <v>179</v>
      </c>
      <c r="B161" s="14" t="s">
        <v>491</v>
      </c>
      <c r="C161" s="4" t="s">
        <v>474</v>
      </c>
      <c r="D161" s="4" t="s">
        <v>475</v>
      </c>
      <c r="E161" s="4" t="s">
        <v>492</v>
      </c>
      <c r="F161" s="4" t="s">
        <v>474</v>
      </c>
      <c r="G161" s="4" t="s">
        <v>486</v>
      </c>
      <c r="H161" s="4" t="s">
        <v>462</v>
      </c>
      <c r="I161" s="8">
        <v>45245</v>
      </c>
      <c r="J161" s="4" t="s">
        <v>477</v>
      </c>
      <c r="K161" s="11">
        <v>1</v>
      </c>
      <c r="L161" s="11">
        <v>8</v>
      </c>
      <c r="M161" s="11">
        <v>4</v>
      </c>
      <c r="N161" s="6" t="s">
        <v>473</v>
      </c>
      <c r="O161" s="4">
        <v>25.7</v>
      </c>
      <c r="P161" s="4">
        <v>20.9</v>
      </c>
      <c r="Q161" s="4">
        <v>5.6</v>
      </c>
      <c r="R161" s="4">
        <v>164</v>
      </c>
      <c r="S161" s="4">
        <f t="shared" si="11"/>
        <v>0.16400000000000001</v>
      </c>
      <c r="T161" s="4">
        <f t="shared" si="12"/>
        <v>1.9143968871595331E-2</v>
      </c>
      <c r="V161" s="4" t="s">
        <v>533</v>
      </c>
      <c r="W161" s="4" t="s">
        <v>179</v>
      </c>
      <c r="AB161" s="20"/>
      <c r="AC161" s="20"/>
      <c r="AD161" s="19"/>
      <c r="AE161" s="19"/>
      <c r="AF161" s="19"/>
      <c r="AG161" s="19"/>
      <c r="AH161" s="19"/>
      <c r="AI161" s="19"/>
    </row>
    <row r="162" spans="1:35" ht="12.75" customHeight="1">
      <c r="A162" s="4" t="s">
        <v>180</v>
      </c>
      <c r="B162" s="14" t="s">
        <v>491</v>
      </c>
      <c r="C162" s="4" t="s">
        <v>474</v>
      </c>
      <c r="D162" s="4" t="s">
        <v>475</v>
      </c>
      <c r="E162" s="4" t="s">
        <v>492</v>
      </c>
      <c r="F162" s="4" t="s">
        <v>474</v>
      </c>
      <c r="G162" s="4" t="s">
        <v>486</v>
      </c>
      <c r="H162" s="4" t="s">
        <v>462</v>
      </c>
      <c r="I162" s="8">
        <v>45245</v>
      </c>
      <c r="J162" s="4" t="s">
        <v>477</v>
      </c>
      <c r="K162" s="11">
        <v>1</v>
      </c>
      <c r="L162" s="11">
        <v>8</v>
      </c>
      <c r="M162" s="11">
        <v>4</v>
      </c>
      <c r="N162" s="6" t="s">
        <v>473</v>
      </c>
      <c r="O162" s="4">
        <v>20.3</v>
      </c>
      <c r="P162" s="4">
        <v>16.3</v>
      </c>
      <c r="Q162" s="4">
        <v>4.2</v>
      </c>
      <c r="R162" s="4">
        <v>72</v>
      </c>
      <c r="S162" s="4">
        <f t="shared" si="11"/>
        <v>7.1999999999999995E-2</v>
      </c>
      <c r="T162" s="4">
        <f t="shared" si="12"/>
        <v>1.0640394088669951E-2</v>
      </c>
      <c r="V162" s="4" t="s">
        <v>533</v>
      </c>
      <c r="W162" s="4" t="s">
        <v>180</v>
      </c>
      <c r="AB162" s="20"/>
      <c r="AC162" s="20"/>
      <c r="AD162" s="19"/>
      <c r="AE162" s="19"/>
      <c r="AF162" s="19"/>
      <c r="AG162" s="19"/>
      <c r="AH162" s="19"/>
      <c r="AI162" s="19"/>
    </row>
    <row r="163" spans="1:35" ht="12.75" customHeight="1">
      <c r="A163" s="4" t="s">
        <v>181</v>
      </c>
      <c r="B163" s="14" t="s">
        <v>491</v>
      </c>
      <c r="C163" s="4" t="s">
        <v>474</v>
      </c>
      <c r="D163" s="4" t="s">
        <v>475</v>
      </c>
      <c r="E163" s="4" t="s">
        <v>492</v>
      </c>
      <c r="F163" s="4" t="s">
        <v>474</v>
      </c>
      <c r="G163" s="4" t="s">
        <v>486</v>
      </c>
      <c r="H163" s="4" t="s">
        <v>462</v>
      </c>
      <c r="I163" s="8">
        <v>45245</v>
      </c>
      <c r="J163" s="4" t="s">
        <v>477</v>
      </c>
      <c r="K163" s="11">
        <v>1</v>
      </c>
      <c r="L163" s="11">
        <v>8</v>
      </c>
      <c r="M163" s="11">
        <v>4</v>
      </c>
      <c r="N163" s="6" t="s">
        <v>560</v>
      </c>
      <c r="O163" s="4">
        <v>23.5</v>
      </c>
      <c r="P163" s="4">
        <v>18.600000000000001</v>
      </c>
      <c r="Q163" s="4">
        <v>4.9000000000000004</v>
      </c>
      <c r="R163" s="4">
        <v>122</v>
      </c>
      <c r="S163" s="4">
        <f t="shared" si="11"/>
        <v>0.122</v>
      </c>
      <c r="T163" s="4">
        <f t="shared" si="12"/>
        <v>1.5574468085106385E-2</v>
      </c>
      <c r="V163" s="4" t="s">
        <v>533</v>
      </c>
      <c r="W163" s="4" t="s">
        <v>181</v>
      </c>
      <c r="AB163" s="20"/>
      <c r="AC163" s="20"/>
      <c r="AD163" s="19"/>
      <c r="AE163" s="19"/>
      <c r="AF163" s="19"/>
      <c r="AG163" s="19"/>
      <c r="AH163" s="19"/>
      <c r="AI163" s="19"/>
    </row>
    <row r="164" spans="1:35" ht="12.75" customHeight="1">
      <c r="A164" s="4" t="s">
        <v>182</v>
      </c>
      <c r="B164" s="14" t="s">
        <v>491</v>
      </c>
      <c r="C164" s="4" t="s">
        <v>474</v>
      </c>
      <c r="D164" s="4" t="s">
        <v>475</v>
      </c>
      <c r="E164" s="4" t="s">
        <v>492</v>
      </c>
      <c r="F164" s="4" t="s">
        <v>474</v>
      </c>
      <c r="G164" s="4" t="s">
        <v>486</v>
      </c>
      <c r="H164" s="4" t="s">
        <v>462</v>
      </c>
      <c r="I164" s="8">
        <v>45245</v>
      </c>
      <c r="J164" s="4" t="s">
        <v>477</v>
      </c>
      <c r="K164" s="11">
        <v>1</v>
      </c>
      <c r="L164" s="11">
        <v>8</v>
      </c>
      <c r="M164" s="11">
        <v>4</v>
      </c>
      <c r="N164" s="6" t="s">
        <v>473</v>
      </c>
      <c r="O164" s="4">
        <v>22.5</v>
      </c>
      <c r="P164" s="4">
        <v>17.7</v>
      </c>
      <c r="Q164" s="4">
        <v>4.3</v>
      </c>
      <c r="R164" s="4">
        <v>86</v>
      </c>
      <c r="S164" s="4">
        <f t="shared" si="11"/>
        <v>8.5999999999999993E-2</v>
      </c>
      <c r="T164" s="4">
        <f t="shared" si="12"/>
        <v>1.1466666666666667E-2</v>
      </c>
      <c r="V164" s="4" t="s">
        <v>533</v>
      </c>
      <c r="W164" s="4" t="s">
        <v>182</v>
      </c>
      <c r="AB164" s="20"/>
      <c r="AC164" s="20"/>
      <c r="AD164" s="19"/>
      <c r="AE164" s="19"/>
      <c r="AF164" s="19"/>
      <c r="AG164" s="19"/>
      <c r="AH164" s="19"/>
      <c r="AI164" s="19"/>
    </row>
    <row r="165" spans="1:35" ht="12.75" customHeight="1">
      <c r="A165" s="4" t="s">
        <v>183</v>
      </c>
      <c r="B165" s="14" t="s">
        <v>491</v>
      </c>
      <c r="C165" s="4" t="s">
        <v>474</v>
      </c>
      <c r="D165" s="4" t="s">
        <v>475</v>
      </c>
      <c r="E165" s="4" t="s">
        <v>492</v>
      </c>
      <c r="F165" s="4" t="s">
        <v>474</v>
      </c>
      <c r="G165" s="4" t="s">
        <v>486</v>
      </c>
      <c r="H165" s="4" t="s">
        <v>462</v>
      </c>
      <c r="I165" s="8">
        <v>45245</v>
      </c>
      <c r="J165" s="4" t="s">
        <v>477</v>
      </c>
      <c r="K165" s="11">
        <v>1</v>
      </c>
      <c r="L165" s="11">
        <v>8</v>
      </c>
      <c r="M165" s="11">
        <v>4</v>
      </c>
      <c r="N165" s="6" t="s">
        <v>473</v>
      </c>
      <c r="O165" s="4">
        <v>27.9</v>
      </c>
      <c r="P165" s="4">
        <v>22.5</v>
      </c>
      <c r="Q165" s="4">
        <v>6.3</v>
      </c>
      <c r="R165" s="4">
        <v>187</v>
      </c>
      <c r="S165" s="4">
        <f t="shared" si="11"/>
        <v>0.187</v>
      </c>
      <c r="T165" s="4">
        <f t="shared" si="12"/>
        <v>2.010752688172043E-2</v>
      </c>
      <c r="V165" s="4" t="s">
        <v>533</v>
      </c>
      <c r="W165" s="4" t="s">
        <v>183</v>
      </c>
      <c r="AB165" s="20"/>
      <c r="AC165" s="20"/>
      <c r="AD165" s="19"/>
      <c r="AE165" s="19"/>
      <c r="AF165" s="19"/>
      <c r="AG165" s="19"/>
      <c r="AH165" s="19"/>
      <c r="AI165" s="19"/>
    </row>
    <row r="166" spans="1:35" ht="12.75" customHeight="1">
      <c r="A166" s="4" t="s">
        <v>184</v>
      </c>
      <c r="B166" s="14" t="s">
        <v>491</v>
      </c>
      <c r="C166" s="4" t="s">
        <v>474</v>
      </c>
      <c r="D166" s="4" t="s">
        <v>475</v>
      </c>
      <c r="E166" s="4" t="s">
        <v>492</v>
      </c>
      <c r="F166" s="4" t="s">
        <v>474</v>
      </c>
      <c r="G166" s="4" t="s">
        <v>486</v>
      </c>
      <c r="H166" s="4" t="s">
        <v>462</v>
      </c>
      <c r="I166" s="8">
        <v>45245</v>
      </c>
      <c r="J166" s="4" t="s">
        <v>477</v>
      </c>
      <c r="K166" s="11">
        <v>1</v>
      </c>
      <c r="L166" s="11">
        <v>8</v>
      </c>
      <c r="M166" s="11">
        <v>4</v>
      </c>
      <c r="N166" s="6" t="s">
        <v>482</v>
      </c>
      <c r="O166" s="4">
        <v>26.3</v>
      </c>
      <c r="P166" s="4">
        <v>22.1</v>
      </c>
      <c r="Q166" s="4">
        <v>7.4</v>
      </c>
      <c r="R166" s="4">
        <v>242</v>
      </c>
      <c r="S166" s="4">
        <f t="shared" si="11"/>
        <v>0.24199999999999999</v>
      </c>
      <c r="T166" s="4">
        <f t="shared" si="12"/>
        <v>2.7604562737642585E-2</v>
      </c>
      <c r="V166" s="4" t="s">
        <v>533</v>
      </c>
      <c r="W166" s="4" t="s">
        <v>184</v>
      </c>
      <c r="AB166" s="20"/>
      <c r="AC166" s="20"/>
      <c r="AD166" s="19"/>
      <c r="AE166" s="19"/>
      <c r="AF166" s="19"/>
      <c r="AG166" s="19"/>
      <c r="AH166" s="19"/>
      <c r="AI166" s="19"/>
    </row>
    <row r="167" spans="1:35" ht="12.75" customHeight="1">
      <c r="A167" s="4" t="s">
        <v>185</v>
      </c>
      <c r="B167" s="14" t="s">
        <v>491</v>
      </c>
      <c r="C167" s="4" t="s">
        <v>474</v>
      </c>
      <c r="D167" s="4" t="s">
        <v>475</v>
      </c>
      <c r="E167" s="4" t="s">
        <v>492</v>
      </c>
      <c r="F167" s="4" t="s">
        <v>474</v>
      </c>
      <c r="G167" s="4" t="s">
        <v>486</v>
      </c>
      <c r="H167" s="4" t="s">
        <v>462</v>
      </c>
      <c r="I167" s="8">
        <v>45245</v>
      </c>
      <c r="J167" s="4" t="s">
        <v>477</v>
      </c>
      <c r="K167" s="11">
        <v>1</v>
      </c>
      <c r="L167" s="11">
        <v>8</v>
      </c>
      <c r="M167" s="11">
        <v>4</v>
      </c>
      <c r="N167" s="6" t="s">
        <v>473</v>
      </c>
      <c r="O167" s="4">
        <v>25.6</v>
      </c>
      <c r="P167" s="4">
        <v>21</v>
      </c>
      <c r="Q167" s="4">
        <v>5.2</v>
      </c>
      <c r="R167" s="4">
        <v>153</v>
      </c>
      <c r="S167" s="4">
        <f t="shared" si="11"/>
        <v>0.153</v>
      </c>
      <c r="T167" s="4">
        <f t="shared" si="12"/>
        <v>1.7929687499999999E-2</v>
      </c>
      <c r="V167" s="4" t="s">
        <v>533</v>
      </c>
      <c r="W167" s="4" t="s">
        <v>185</v>
      </c>
      <c r="AB167" s="20"/>
      <c r="AC167" s="20"/>
      <c r="AD167" s="19"/>
      <c r="AE167" s="19"/>
      <c r="AF167" s="19"/>
      <c r="AG167" s="19"/>
      <c r="AH167" s="19"/>
      <c r="AI167" s="19"/>
    </row>
    <row r="168" spans="1:35" ht="12.75" customHeight="1">
      <c r="A168" s="4" t="s">
        <v>186</v>
      </c>
      <c r="B168" s="14" t="s">
        <v>491</v>
      </c>
      <c r="C168" s="4" t="s">
        <v>474</v>
      </c>
      <c r="D168" s="4" t="s">
        <v>475</v>
      </c>
      <c r="E168" s="4" t="s">
        <v>492</v>
      </c>
      <c r="F168" s="4" t="s">
        <v>474</v>
      </c>
      <c r="G168" s="4" t="s">
        <v>486</v>
      </c>
      <c r="H168" s="4" t="s">
        <v>462</v>
      </c>
      <c r="I168" s="8">
        <v>45245</v>
      </c>
      <c r="J168" s="4" t="s">
        <v>477</v>
      </c>
      <c r="K168" s="11">
        <v>1</v>
      </c>
      <c r="L168" s="11">
        <v>8</v>
      </c>
      <c r="M168" s="11">
        <v>4</v>
      </c>
      <c r="N168" s="6" t="s">
        <v>473</v>
      </c>
      <c r="O168" s="4">
        <v>31.5</v>
      </c>
      <c r="P168" s="4">
        <v>25.7</v>
      </c>
      <c r="Q168" s="4">
        <v>7.5</v>
      </c>
      <c r="R168" s="4">
        <v>315</v>
      </c>
      <c r="S168" s="4">
        <f t="shared" si="11"/>
        <v>0.315</v>
      </c>
      <c r="T168" s="4">
        <f t="shared" si="12"/>
        <v>0.03</v>
      </c>
      <c r="V168" s="4" t="s">
        <v>533</v>
      </c>
      <c r="W168" s="4" t="s">
        <v>186</v>
      </c>
      <c r="AB168" s="20"/>
      <c r="AC168" s="20"/>
      <c r="AD168" s="19"/>
      <c r="AE168" s="19"/>
      <c r="AF168" s="19"/>
      <c r="AG168" s="19"/>
      <c r="AH168" s="19"/>
      <c r="AI168" s="19"/>
    </row>
    <row r="169" spans="1:35" ht="12.75" customHeight="1">
      <c r="A169" s="4" t="s">
        <v>187</v>
      </c>
      <c r="B169" s="14" t="s">
        <v>491</v>
      </c>
      <c r="C169" s="4" t="s">
        <v>474</v>
      </c>
      <c r="D169" s="4" t="s">
        <v>475</v>
      </c>
      <c r="E169" s="4" t="s">
        <v>492</v>
      </c>
      <c r="F169" s="4" t="s">
        <v>474</v>
      </c>
      <c r="G169" s="4" t="s">
        <v>486</v>
      </c>
      <c r="H169" s="4" t="s">
        <v>462</v>
      </c>
      <c r="I169" s="8">
        <v>45245</v>
      </c>
      <c r="J169" s="4" t="s">
        <v>477</v>
      </c>
      <c r="K169" s="11">
        <v>1</v>
      </c>
      <c r="L169" s="11">
        <v>8</v>
      </c>
      <c r="M169" s="11">
        <v>4</v>
      </c>
      <c r="N169" s="6" t="s">
        <v>473</v>
      </c>
      <c r="O169" s="4">
        <v>19.5</v>
      </c>
      <c r="P169" s="4">
        <v>16.5</v>
      </c>
      <c r="Q169" s="4">
        <v>4.2</v>
      </c>
      <c r="R169" s="4">
        <v>84</v>
      </c>
      <c r="S169" s="4">
        <f t="shared" si="11"/>
        <v>8.4000000000000005E-2</v>
      </c>
      <c r="T169" s="4">
        <f t="shared" si="12"/>
        <v>1.2923076923076926E-2</v>
      </c>
      <c r="V169" s="4" t="s">
        <v>533</v>
      </c>
      <c r="W169" s="4" t="s">
        <v>187</v>
      </c>
      <c r="AB169" s="20"/>
      <c r="AC169" s="20"/>
      <c r="AD169" s="19"/>
      <c r="AE169" s="19"/>
      <c r="AF169" s="19"/>
      <c r="AG169" s="19"/>
      <c r="AH169" s="19"/>
      <c r="AI169" s="19"/>
    </row>
    <row r="170" spans="1:35" ht="12.75" customHeight="1">
      <c r="A170" s="4" t="s">
        <v>188</v>
      </c>
      <c r="B170" s="14" t="s">
        <v>491</v>
      </c>
      <c r="C170" s="4" t="s">
        <v>474</v>
      </c>
      <c r="D170" s="4" t="s">
        <v>475</v>
      </c>
      <c r="E170" s="4" t="s">
        <v>492</v>
      </c>
      <c r="F170" s="4" t="s">
        <v>474</v>
      </c>
      <c r="G170" s="4" t="s">
        <v>486</v>
      </c>
      <c r="H170" s="4" t="s">
        <v>462</v>
      </c>
      <c r="I170" s="8">
        <v>45245</v>
      </c>
      <c r="J170" s="4" t="s">
        <v>477</v>
      </c>
      <c r="K170" s="11">
        <v>1</v>
      </c>
      <c r="L170" s="11">
        <v>8</v>
      </c>
      <c r="M170" s="11">
        <v>4</v>
      </c>
      <c r="N170" s="6" t="s">
        <v>473</v>
      </c>
      <c r="O170" s="4">
        <v>30.6</v>
      </c>
      <c r="P170" s="4">
        <v>24.4</v>
      </c>
      <c r="Q170" s="4">
        <v>6.9</v>
      </c>
      <c r="R170" s="4">
        <v>287</v>
      </c>
      <c r="S170" s="4">
        <f t="shared" si="11"/>
        <v>0.28699999999999998</v>
      </c>
      <c r="T170" s="4">
        <f t="shared" si="12"/>
        <v>2.8137254901960777E-2</v>
      </c>
      <c r="V170" s="4" t="s">
        <v>533</v>
      </c>
      <c r="W170" s="4" t="s">
        <v>188</v>
      </c>
      <c r="AB170" s="20"/>
      <c r="AC170" s="20"/>
      <c r="AD170" s="19"/>
      <c r="AE170" s="19"/>
      <c r="AF170" s="19"/>
      <c r="AG170" s="19"/>
      <c r="AH170" s="19"/>
      <c r="AI170" s="19"/>
    </row>
    <row r="171" spans="1:35" ht="12.75" customHeight="1">
      <c r="A171" s="4" t="s">
        <v>189</v>
      </c>
      <c r="B171" s="14" t="s">
        <v>491</v>
      </c>
      <c r="C171" s="4" t="s">
        <v>474</v>
      </c>
      <c r="D171" s="4" t="s">
        <v>475</v>
      </c>
      <c r="E171" s="4" t="s">
        <v>492</v>
      </c>
      <c r="F171" s="4" t="s">
        <v>474</v>
      </c>
      <c r="G171" s="4" t="s">
        <v>486</v>
      </c>
      <c r="H171" s="4" t="s">
        <v>462</v>
      </c>
      <c r="I171" s="8">
        <v>45245</v>
      </c>
      <c r="J171" s="4" t="s">
        <v>477</v>
      </c>
      <c r="K171" s="11">
        <v>1</v>
      </c>
      <c r="L171" s="11">
        <v>8</v>
      </c>
      <c r="M171" s="11">
        <v>4</v>
      </c>
      <c r="N171" s="6" t="s">
        <v>473</v>
      </c>
      <c r="O171" s="4">
        <v>23.8</v>
      </c>
      <c r="P171" s="4">
        <v>19.3</v>
      </c>
      <c r="Q171" s="4">
        <v>5.2</v>
      </c>
      <c r="R171" s="4">
        <v>98</v>
      </c>
      <c r="S171" s="4">
        <f t="shared" si="11"/>
        <v>9.8000000000000004E-2</v>
      </c>
      <c r="T171" s="4">
        <f t="shared" si="12"/>
        <v>1.2352941176470589E-2</v>
      </c>
      <c r="V171" s="4" t="s">
        <v>533</v>
      </c>
      <c r="W171" s="4" t="s">
        <v>189</v>
      </c>
      <c r="AB171" s="20"/>
      <c r="AC171" s="20"/>
      <c r="AD171" s="19"/>
      <c r="AE171" s="19"/>
      <c r="AF171" s="19"/>
      <c r="AG171" s="19"/>
      <c r="AH171" s="19"/>
      <c r="AI171" s="19"/>
    </row>
    <row r="172" spans="1:35" ht="12.75" customHeight="1">
      <c r="A172" s="4" t="s">
        <v>190</v>
      </c>
      <c r="B172" s="14" t="s">
        <v>491</v>
      </c>
      <c r="C172" s="4" t="s">
        <v>474</v>
      </c>
      <c r="D172" s="4" t="s">
        <v>475</v>
      </c>
      <c r="E172" s="4" t="s">
        <v>492</v>
      </c>
      <c r="F172" s="4" t="s">
        <v>474</v>
      </c>
      <c r="G172" s="4" t="s">
        <v>486</v>
      </c>
      <c r="H172" s="4" t="s">
        <v>462</v>
      </c>
      <c r="I172" s="8">
        <v>45245</v>
      </c>
      <c r="J172" s="4" t="s">
        <v>477</v>
      </c>
      <c r="K172" s="11">
        <v>1</v>
      </c>
      <c r="L172" s="11">
        <v>8</v>
      </c>
      <c r="M172" s="11">
        <v>4</v>
      </c>
      <c r="N172" s="6" t="s">
        <v>560</v>
      </c>
      <c r="O172" s="4">
        <v>17.3</v>
      </c>
      <c r="P172" s="4">
        <v>15.2</v>
      </c>
      <c r="Q172" s="4">
        <v>4.2</v>
      </c>
      <c r="R172" s="4">
        <v>54</v>
      </c>
      <c r="S172" s="4">
        <f t="shared" si="11"/>
        <v>5.3999999999999999E-2</v>
      </c>
      <c r="T172" s="4">
        <f t="shared" si="12"/>
        <v>9.3641618497109815E-3</v>
      </c>
      <c r="V172" s="4" t="s">
        <v>533</v>
      </c>
      <c r="W172" s="4" t="s">
        <v>190</v>
      </c>
      <c r="AB172" s="20"/>
      <c r="AC172" s="20"/>
      <c r="AD172" s="19"/>
      <c r="AE172" s="19"/>
      <c r="AF172" s="19"/>
      <c r="AG172" s="19"/>
      <c r="AH172" s="19"/>
      <c r="AI172" s="19"/>
    </row>
    <row r="173" spans="1:35" ht="12.75" customHeight="1">
      <c r="A173" s="4" t="s">
        <v>191</v>
      </c>
      <c r="B173" s="14" t="s">
        <v>491</v>
      </c>
      <c r="C173" s="4" t="s">
        <v>474</v>
      </c>
      <c r="D173" s="4" t="s">
        <v>475</v>
      </c>
      <c r="E173" s="4" t="s">
        <v>492</v>
      </c>
      <c r="F173" s="4" t="s">
        <v>474</v>
      </c>
      <c r="G173" s="4" t="s">
        <v>486</v>
      </c>
      <c r="H173" s="4" t="s">
        <v>462</v>
      </c>
      <c r="I173" s="8">
        <v>45245</v>
      </c>
      <c r="J173" s="4" t="s">
        <v>477</v>
      </c>
      <c r="K173" s="11">
        <v>1</v>
      </c>
      <c r="L173" s="11">
        <v>8</v>
      </c>
      <c r="M173" s="11">
        <v>4</v>
      </c>
      <c r="N173" s="6" t="s">
        <v>473</v>
      </c>
      <c r="O173" s="4">
        <v>25.6</v>
      </c>
      <c r="P173" s="4">
        <v>19.5</v>
      </c>
      <c r="Q173" s="4">
        <v>4.9000000000000004</v>
      </c>
      <c r="R173" s="4">
        <v>118</v>
      </c>
      <c r="S173" s="4">
        <f t="shared" si="11"/>
        <v>0.11799999999999999</v>
      </c>
      <c r="T173" s="4">
        <f t="shared" si="12"/>
        <v>1.3828125E-2</v>
      </c>
      <c r="V173" s="4" t="s">
        <v>533</v>
      </c>
      <c r="W173" s="4" t="s">
        <v>191</v>
      </c>
      <c r="AB173" s="20"/>
      <c r="AC173" s="20"/>
      <c r="AD173" s="19"/>
      <c r="AE173" s="19"/>
      <c r="AF173" s="19"/>
      <c r="AG173" s="19"/>
      <c r="AH173" s="19"/>
      <c r="AI173" s="19"/>
    </row>
    <row r="174" spans="1:35" ht="12.75" customHeight="1">
      <c r="A174" s="4" t="s">
        <v>192</v>
      </c>
      <c r="B174" s="14" t="s">
        <v>491</v>
      </c>
      <c r="C174" s="4" t="s">
        <v>474</v>
      </c>
      <c r="D174" s="4" t="s">
        <v>475</v>
      </c>
      <c r="E174" s="4" t="s">
        <v>492</v>
      </c>
      <c r="F174" s="4" t="s">
        <v>474</v>
      </c>
      <c r="G174" s="4" t="s">
        <v>486</v>
      </c>
      <c r="H174" s="4" t="s">
        <v>462</v>
      </c>
      <c r="I174" s="8">
        <v>45245</v>
      </c>
      <c r="J174" s="4" t="s">
        <v>477</v>
      </c>
      <c r="K174" s="11">
        <v>1</v>
      </c>
      <c r="L174" s="11">
        <v>8</v>
      </c>
      <c r="M174" s="11">
        <v>4</v>
      </c>
      <c r="N174" s="6" t="s">
        <v>473</v>
      </c>
      <c r="O174" s="4">
        <v>25.4</v>
      </c>
      <c r="P174" s="4">
        <v>20.8</v>
      </c>
      <c r="Q174" s="4">
        <v>5.6</v>
      </c>
      <c r="R174" s="4">
        <v>166</v>
      </c>
      <c r="S174" s="4">
        <f t="shared" si="11"/>
        <v>0.16600000000000001</v>
      </c>
      <c r="T174" s="4">
        <f t="shared" si="12"/>
        <v>1.9606299212598426E-2</v>
      </c>
      <c r="V174" s="4" t="s">
        <v>533</v>
      </c>
      <c r="W174" s="4" t="s">
        <v>192</v>
      </c>
      <c r="AB174" s="20"/>
      <c r="AC174" s="20"/>
      <c r="AD174" s="19"/>
      <c r="AE174" s="19"/>
      <c r="AF174" s="19"/>
      <c r="AG174" s="19"/>
      <c r="AH174" s="19"/>
      <c r="AI174" s="19"/>
    </row>
    <row r="175" spans="1:35" ht="12.75" customHeight="1">
      <c r="A175" s="4" t="s">
        <v>193</v>
      </c>
      <c r="B175" s="14" t="s">
        <v>491</v>
      </c>
      <c r="C175" s="4" t="s">
        <v>474</v>
      </c>
      <c r="D175" s="4" t="s">
        <v>475</v>
      </c>
      <c r="E175" s="4" t="s">
        <v>492</v>
      </c>
      <c r="F175" s="4" t="s">
        <v>474</v>
      </c>
      <c r="G175" s="4" t="s">
        <v>486</v>
      </c>
      <c r="H175" s="4" t="s">
        <v>462</v>
      </c>
      <c r="I175" s="8">
        <v>45245</v>
      </c>
      <c r="J175" s="4" t="s">
        <v>477</v>
      </c>
      <c r="K175" s="11">
        <v>1</v>
      </c>
      <c r="L175" s="11">
        <v>8</v>
      </c>
      <c r="M175" s="11">
        <v>4</v>
      </c>
      <c r="N175" s="6" t="s">
        <v>473</v>
      </c>
      <c r="O175" s="4">
        <v>19.5</v>
      </c>
      <c r="P175" s="4">
        <v>16.600000000000001</v>
      </c>
      <c r="Q175" s="4">
        <v>3.7</v>
      </c>
      <c r="R175" s="4">
        <v>73</v>
      </c>
      <c r="S175" s="4">
        <f t="shared" si="11"/>
        <v>7.2999999999999995E-2</v>
      </c>
      <c r="T175" s="4">
        <f t="shared" si="12"/>
        <v>1.123076923076923E-2</v>
      </c>
      <c r="V175" s="4" t="s">
        <v>533</v>
      </c>
      <c r="W175" s="4" t="s">
        <v>193</v>
      </c>
      <c r="AB175" s="20"/>
      <c r="AC175" s="20"/>
      <c r="AD175" s="19"/>
      <c r="AE175" s="19"/>
      <c r="AF175" s="19"/>
      <c r="AG175" s="19"/>
      <c r="AH175" s="19"/>
      <c r="AI175" s="19"/>
    </row>
    <row r="176" spans="1:35" ht="12.75" customHeight="1">
      <c r="A176" s="4" t="s">
        <v>194</v>
      </c>
      <c r="B176" s="14" t="s">
        <v>491</v>
      </c>
      <c r="C176" s="4" t="s">
        <v>474</v>
      </c>
      <c r="D176" s="4" t="s">
        <v>475</v>
      </c>
      <c r="E176" s="4" t="s">
        <v>492</v>
      </c>
      <c r="F176" s="4" t="s">
        <v>474</v>
      </c>
      <c r="G176" s="4" t="s">
        <v>486</v>
      </c>
      <c r="H176" s="4" t="s">
        <v>462</v>
      </c>
      <c r="I176" s="8">
        <v>45245</v>
      </c>
      <c r="J176" s="4" t="s">
        <v>477</v>
      </c>
      <c r="K176" s="11">
        <v>1</v>
      </c>
      <c r="L176" s="11">
        <v>8</v>
      </c>
      <c r="M176" s="11">
        <v>4</v>
      </c>
      <c r="N176" s="6" t="s">
        <v>473</v>
      </c>
      <c r="O176" s="4">
        <v>26.9</v>
      </c>
      <c r="P176" s="4">
        <v>18.3</v>
      </c>
      <c r="Q176" s="4">
        <v>4.4000000000000004</v>
      </c>
      <c r="R176" s="4">
        <v>98</v>
      </c>
      <c r="S176" s="4">
        <f t="shared" si="11"/>
        <v>9.8000000000000004E-2</v>
      </c>
      <c r="T176" s="4">
        <f t="shared" si="12"/>
        <v>1.0929368029739778E-2</v>
      </c>
      <c r="V176" s="4" t="s">
        <v>533</v>
      </c>
      <c r="W176" s="4" t="s">
        <v>194</v>
      </c>
      <c r="AB176" s="20"/>
      <c r="AC176" s="20"/>
      <c r="AD176" s="19"/>
      <c r="AE176" s="19"/>
      <c r="AF176" s="19"/>
      <c r="AG176" s="19"/>
      <c r="AH176" s="19"/>
      <c r="AI176" s="19"/>
    </row>
    <row r="177" spans="1:50" ht="12.75" customHeight="1">
      <c r="A177" s="4" t="s">
        <v>195</v>
      </c>
      <c r="B177" s="14" t="s">
        <v>491</v>
      </c>
      <c r="C177" s="4" t="s">
        <v>474</v>
      </c>
      <c r="D177" s="4" t="s">
        <v>475</v>
      </c>
      <c r="E177" s="4" t="s">
        <v>492</v>
      </c>
      <c r="F177" s="4" t="s">
        <v>474</v>
      </c>
      <c r="G177" s="4" t="s">
        <v>486</v>
      </c>
      <c r="H177" s="4" t="s">
        <v>462</v>
      </c>
      <c r="I177" s="8">
        <v>45245</v>
      </c>
      <c r="J177" s="4" t="s">
        <v>477</v>
      </c>
      <c r="K177" s="11">
        <v>1</v>
      </c>
      <c r="L177" s="11">
        <v>8</v>
      </c>
      <c r="M177" s="11">
        <v>4</v>
      </c>
      <c r="N177" s="6" t="s">
        <v>482</v>
      </c>
      <c r="O177" s="4">
        <v>23.4</v>
      </c>
      <c r="P177" s="4">
        <v>18.8</v>
      </c>
      <c r="Q177" s="4">
        <v>6.5</v>
      </c>
      <c r="R177" s="4">
        <v>179</v>
      </c>
      <c r="S177" s="4">
        <f t="shared" si="11"/>
        <v>0.17899999999999999</v>
      </c>
      <c r="T177" s="4">
        <f t="shared" si="12"/>
        <v>2.2948717948717948E-2</v>
      </c>
      <c r="V177" s="4" t="s">
        <v>533</v>
      </c>
      <c r="W177" s="4" t="s">
        <v>195</v>
      </c>
      <c r="AB177" s="20"/>
      <c r="AC177" s="20"/>
      <c r="AD177" s="19"/>
      <c r="AE177" s="19"/>
      <c r="AF177" s="19"/>
      <c r="AG177" s="19"/>
      <c r="AH177" s="19"/>
      <c r="AI177" s="19"/>
    </row>
    <row r="178" spans="1:50" ht="12.75" customHeight="1">
      <c r="A178" s="4" t="s">
        <v>196</v>
      </c>
      <c r="B178" s="14" t="s">
        <v>491</v>
      </c>
      <c r="C178" s="4" t="s">
        <v>474</v>
      </c>
      <c r="D178" s="4" t="s">
        <v>475</v>
      </c>
      <c r="E178" s="4" t="s">
        <v>492</v>
      </c>
      <c r="F178" s="4" t="s">
        <v>474</v>
      </c>
      <c r="G178" s="4" t="s">
        <v>486</v>
      </c>
      <c r="H178" s="4" t="s">
        <v>462</v>
      </c>
      <c r="I178" s="8">
        <v>45245</v>
      </c>
      <c r="J178" s="4" t="s">
        <v>477</v>
      </c>
      <c r="K178" s="11">
        <v>1</v>
      </c>
      <c r="L178" s="11">
        <v>8</v>
      </c>
      <c r="M178" s="11">
        <v>4</v>
      </c>
      <c r="N178" s="6" t="s">
        <v>482</v>
      </c>
      <c r="O178" s="4">
        <v>22.6</v>
      </c>
      <c r="P178" s="4">
        <v>17.899999999999999</v>
      </c>
      <c r="Q178" s="4">
        <v>5.9</v>
      </c>
      <c r="R178" s="4">
        <v>127</v>
      </c>
      <c r="S178" s="4">
        <f t="shared" si="11"/>
        <v>0.127</v>
      </c>
      <c r="T178" s="4">
        <f t="shared" si="12"/>
        <v>1.6858407079646018E-2</v>
      </c>
      <c r="V178" s="4" t="s">
        <v>533</v>
      </c>
      <c r="W178" s="4" t="s">
        <v>196</v>
      </c>
      <c r="AB178" s="20"/>
      <c r="AC178" s="20"/>
      <c r="AD178" s="19"/>
      <c r="AE178" s="19"/>
      <c r="AF178" s="19"/>
      <c r="AG178" s="19"/>
      <c r="AH178" s="19"/>
      <c r="AI178" s="19"/>
    </row>
    <row r="179" spans="1:50" ht="12.75" customHeight="1">
      <c r="A179" s="4" t="s">
        <v>675</v>
      </c>
      <c r="B179" s="9" t="s">
        <v>491</v>
      </c>
      <c r="C179" s="5" t="s">
        <v>474</v>
      </c>
      <c r="D179" s="5" t="s">
        <v>475</v>
      </c>
      <c r="E179" s="5" t="s">
        <v>492</v>
      </c>
      <c r="F179" s="10" t="s">
        <v>474</v>
      </c>
      <c r="G179" s="12" t="s">
        <v>486</v>
      </c>
      <c r="H179" s="12" t="s">
        <v>462</v>
      </c>
      <c r="I179" s="8">
        <v>45245</v>
      </c>
      <c r="J179" s="10" t="s">
        <v>477</v>
      </c>
      <c r="K179" s="11">
        <v>1</v>
      </c>
      <c r="L179" s="11">
        <v>8</v>
      </c>
      <c r="M179" s="11">
        <v>4</v>
      </c>
      <c r="N179" s="6" t="s">
        <v>482</v>
      </c>
      <c r="O179" s="7">
        <v>35.1</v>
      </c>
      <c r="P179" s="7">
        <v>21.2</v>
      </c>
      <c r="Q179" s="7">
        <v>9.4</v>
      </c>
      <c r="R179" s="4">
        <v>343</v>
      </c>
      <c r="S179" s="4">
        <f t="shared" si="11"/>
        <v>0.34300000000000003</v>
      </c>
      <c r="T179" s="4">
        <f t="shared" si="12"/>
        <v>2.931623931623932E-2</v>
      </c>
      <c r="V179" s="4" t="s">
        <v>540</v>
      </c>
      <c r="W179" s="4" t="s">
        <v>675</v>
      </c>
      <c r="X179" s="4" t="s">
        <v>675</v>
      </c>
      <c r="Y179" s="4">
        <v>1</v>
      </c>
      <c r="Z179" s="4" t="s">
        <v>675</v>
      </c>
      <c r="AA179" s="4">
        <v>1</v>
      </c>
      <c r="AB179" s="24"/>
      <c r="AC179" s="24"/>
      <c r="AD179" s="25"/>
      <c r="AE179" s="26"/>
      <c r="AF179" s="24"/>
      <c r="AG179" s="25"/>
      <c r="AH179" s="25"/>
      <c r="AJ179" s="4">
        <v>0.92700000000000005</v>
      </c>
      <c r="AK179" s="4">
        <v>0.93210000000000004</v>
      </c>
      <c r="AL179" s="4">
        <v>0.92800000000000005</v>
      </c>
      <c r="AM179" s="4">
        <v>5.1000000000000004E-3</v>
      </c>
      <c r="AN179" s="4">
        <v>1E-3</v>
      </c>
      <c r="AO179" s="4">
        <v>0.80392156859999997</v>
      </c>
      <c r="AP179" s="4">
        <v>80.39215686</v>
      </c>
      <c r="AQ179" s="4">
        <v>0.90620000000000001</v>
      </c>
      <c r="AR179" s="4">
        <v>0.92659999999999998</v>
      </c>
      <c r="AS179" s="4">
        <v>0.91010000000000002</v>
      </c>
      <c r="AT179" s="4">
        <v>2.0400000000000001E-2</v>
      </c>
      <c r="AU179" s="4">
        <v>3.8999999999999998E-3</v>
      </c>
      <c r="AV179" s="4">
        <v>0.80882352940000002</v>
      </c>
      <c r="AW179" s="4">
        <v>80.882352940000004</v>
      </c>
    </row>
    <row r="180" spans="1:50" ht="12.75" customHeight="1">
      <c r="A180" s="4" t="s">
        <v>676</v>
      </c>
      <c r="B180" s="9" t="s">
        <v>491</v>
      </c>
      <c r="C180" s="5" t="s">
        <v>474</v>
      </c>
      <c r="D180" s="5" t="s">
        <v>475</v>
      </c>
      <c r="E180" s="5" t="s">
        <v>492</v>
      </c>
      <c r="F180" s="10" t="s">
        <v>474</v>
      </c>
      <c r="G180" s="12" t="s">
        <v>486</v>
      </c>
      <c r="H180" s="12" t="s">
        <v>462</v>
      </c>
      <c r="I180" s="8">
        <v>45245</v>
      </c>
      <c r="J180" s="10" t="s">
        <v>477</v>
      </c>
      <c r="K180" s="11">
        <v>1</v>
      </c>
      <c r="L180" s="11">
        <v>8</v>
      </c>
      <c r="M180" s="11">
        <v>4</v>
      </c>
      <c r="N180" s="6" t="s">
        <v>480</v>
      </c>
      <c r="O180" s="7">
        <v>48.8</v>
      </c>
      <c r="P180" s="7">
        <v>38.6</v>
      </c>
      <c r="Q180" s="7">
        <v>13.5</v>
      </c>
      <c r="R180" s="4">
        <v>970</v>
      </c>
      <c r="S180" s="13">
        <f t="shared" si="11"/>
        <v>0.97</v>
      </c>
      <c r="T180" s="4">
        <f t="shared" si="12"/>
        <v>5.9631147540983601E-2</v>
      </c>
      <c r="V180" s="4" t="s">
        <v>540</v>
      </c>
      <c r="W180" s="4" t="s">
        <v>676</v>
      </c>
      <c r="X180" s="4" t="s">
        <v>676</v>
      </c>
      <c r="Y180" s="4">
        <v>2</v>
      </c>
      <c r="Z180" s="4" t="s">
        <v>676</v>
      </c>
      <c r="AA180" s="4">
        <v>2</v>
      </c>
      <c r="AB180" s="24"/>
      <c r="AC180" s="24"/>
      <c r="AD180" s="25"/>
      <c r="AE180" s="26"/>
      <c r="AF180" s="24"/>
      <c r="AG180" s="25"/>
      <c r="AH180" s="25"/>
      <c r="AJ180" s="4">
        <v>0.92459999999999998</v>
      </c>
      <c r="AK180" s="4">
        <v>0.94059999999999999</v>
      </c>
      <c r="AL180" s="4">
        <v>0.92789999999999995</v>
      </c>
      <c r="AM180" s="4">
        <v>1.6E-2</v>
      </c>
      <c r="AN180" s="4">
        <v>3.3E-3</v>
      </c>
      <c r="AO180" s="4">
        <v>0.79374999999999996</v>
      </c>
      <c r="AP180" s="4">
        <v>79.375</v>
      </c>
      <c r="AQ180" s="4">
        <v>0.91810000000000003</v>
      </c>
      <c r="AR180" s="4">
        <v>0.95369999999999999</v>
      </c>
      <c r="AS180" s="4">
        <v>0.92530000000000001</v>
      </c>
      <c r="AT180" s="4">
        <v>3.56E-2</v>
      </c>
      <c r="AU180" s="4">
        <v>7.1999999999999998E-3</v>
      </c>
      <c r="AV180" s="4">
        <v>0.79775280900000001</v>
      </c>
      <c r="AW180" s="4">
        <v>79.775280899999998</v>
      </c>
      <c r="AX180" s="27">
        <v>84.22</v>
      </c>
    </row>
    <row r="181" spans="1:50" ht="12.75" customHeight="1">
      <c r="A181" s="4" t="s">
        <v>677</v>
      </c>
      <c r="B181" s="9" t="s">
        <v>491</v>
      </c>
      <c r="C181" s="5" t="s">
        <v>474</v>
      </c>
      <c r="D181" s="5" t="s">
        <v>475</v>
      </c>
      <c r="E181" s="5" t="s">
        <v>492</v>
      </c>
      <c r="F181" s="10" t="s">
        <v>474</v>
      </c>
      <c r="G181" s="12" t="s">
        <v>486</v>
      </c>
      <c r="H181" s="12" t="s">
        <v>462</v>
      </c>
      <c r="I181" s="8">
        <v>45245</v>
      </c>
      <c r="J181" s="10" t="s">
        <v>477</v>
      </c>
      <c r="K181" s="11">
        <v>1</v>
      </c>
      <c r="L181" s="11">
        <v>8</v>
      </c>
      <c r="M181" s="11">
        <v>4</v>
      </c>
      <c r="N181" s="6" t="s">
        <v>482</v>
      </c>
      <c r="O181" s="7">
        <v>39.200000000000003</v>
      </c>
      <c r="P181" s="7">
        <v>27.5</v>
      </c>
      <c r="Q181" s="7">
        <v>9.4</v>
      </c>
      <c r="R181" s="4">
        <v>339</v>
      </c>
      <c r="S181" s="4">
        <f t="shared" si="11"/>
        <v>0.33900000000000002</v>
      </c>
      <c r="T181" s="4">
        <f t="shared" si="12"/>
        <v>2.5943877551020407E-2</v>
      </c>
      <c r="V181" s="4" t="s">
        <v>540</v>
      </c>
      <c r="W181" s="4" t="s">
        <v>677</v>
      </c>
      <c r="X181" s="4" t="s">
        <v>677</v>
      </c>
      <c r="Y181" s="4">
        <v>3</v>
      </c>
      <c r="Z181" s="4" t="s">
        <v>677</v>
      </c>
      <c r="AA181" s="4">
        <v>3</v>
      </c>
      <c r="AB181" s="24"/>
      <c r="AC181" s="24"/>
      <c r="AD181" s="25"/>
      <c r="AE181" s="26"/>
      <c r="AF181" s="24"/>
      <c r="AG181" s="25"/>
      <c r="AH181" s="25"/>
      <c r="AJ181" s="4">
        <v>0.93630000000000002</v>
      </c>
      <c r="AK181" s="4">
        <v>0.94089999999999996</v>
      </c>
      <c r="AL181" s="4">
        <v>0.93700000000000006</v>
      </c>
      <c r="AM181" s="4">
        <v>4.5999999999999999E-3</v>
      </c>
      <c r="AN181" s="4">
        <v>6.9999999999999999E-4</v>
      </c>
      <c r="AO181" s="4">
        <v>0.84782608699999995</v>
      </c>
      <c r="AP181" s="4">
        <v>84.782608699999997</v>
      </c>
      <c r="AQ181" s="4">
        <v>0.91300000000000003</v>
      </c>
      <c r="AR181" s="4">
        <v>0.93259999999999998</v>
      </c>
      <c r="AS181" s="4">
        <v>0.91669999999999996</v>
      </c>
      <c r="AT181" s="4">
        <v>1.9599999999999999E-2</v>
      </c>
      <c r="AU181" s="4">
        <v>3.7000000000000002E-3</v>
      </c>
      <c r="AV181" s="4">
        <v>0.81122448979999995</v>
      </c>
      <c r="AW181" s="4">
        <v>81.122448980000001</v>
      </c>
      <c r="AX181" s="27">
        <v>86.43</v>
      </c>
    </row>
    <row r="182" spans="1:50" ht="12.75" customHeight="1">
      <c r="A182" s="4" t="s">
        <v>678</v>
      </c>
      <c r="B182" s="9" t="s">
        <v>491</v>
      </c>
      <c r="C182" s="5" t="s">
        <v>474</v>
      </c>
      <c r="D182" s="5" t="s">
        <v>475</v>
      </c>
      <c r="E182" s="5" t="s">
        <v>492</v>
      </c>
      <c r="F182" s="10" t="s">
        <v>474</v>
      </c>
      <c r="G182" s="12" t="s">
        <v>486</v>
      </c>
      <c r="H182" s="12" t="s">
        <v>462</v>
      </c>
      <c r="I182" s="8">
        <v>45245</v>
      </c>
      <c r="J182" s="10" t="s">
        <v>477</v>
      </c>
      <c r="K182" s="11">
        <v>1</v>
      </c>
      <c r="L182" s="11">
        <v>8</v>
      </c>
      <c r="M182" s="11">
        <v>4</v>
      </c>
      <c r="N182" s="6" t="s">
        <v>482</v>
      </c>
      <c r="O182" s="7">
        <v>38.299999999999997</v>
      </c>
      <c r="P182" s="7">
        <v>30.5</v>
      </c>
      <c r="Q182" s="7">
        <v>11.6</v>
      </c>
      <c r="R182" s="4">
        <v>462</v>
      </c>
      <c r="S182" s="4">
        <f t="shared" si="11"/>
        <v>0.46200000000000002</v>
      </c>
      <c r="T182" s="4">
        <f t="shared" si="12"/>
        <v>3.618798955613578E-2</v>
      </c>
      <c r="V182" s="4" t="s">
        <v>540</v>
      </c>
      <c r="W182" s="4" t="s">
        <v>678</v>
      </c>
      <c r="X182" s="4" t="s">
        <v>678</v>
      </c>
      <c r="Y182" s="4">
        <v>4</v>
      </c>
      <c r="Z182" s="4" t="s">
        <v>678</v>
      </c>
      <c r="AA182" s="4">
        <v>4</v>
      </c>
      <c r="AB182" s="24"/>
      <c r="AC182" s="24"/>
      <c r="AD182" s="25"/>
      <c r="AE182" s="26"/>
      <c r="AF182" s="24"/>
      <c r="AG182" s="25"/>
      <c r="AH182" s="25"/>
      <c r="AJ182" s="4">
        <v>0.92620000000000002</v>
      </c>
      <c r="AK182" s="4">
        <v>0.94489999999999996</v>
      </c>
      <c r="AL182" s="4">
        <v>0.92969999999999997</v>
      </c>
      <c r="AM182" s="4">
        <v>1.8700000000000001E-2</v>
      </c>
      <c r="AN182" s="4">
        <v>3.5000000000000001E-3</v>
      </c>
      <c r="AO182" s="4">
        <v>0.81283422459999999</v>
      </c>
      <c r="AP182" s="4">
        <v>81.283422459999997</v>
      </c>
      <c r="AQ182" s="4">
        <v>0.90390000000000004</v>
      </c>
      <c r="AR182" s="4">
        <v>0.93420000000000003</v>
      </c>
      <c r="AS182" s="4">
        <v>0.90990000000000004</v>
      </c>
      <c r="AT182" s="4">
        <v>3.0300000000000001E-2</v>
      </c>
      <c r="AU182" s="4">
        <v>6.0000000000000001E-3</v>
      </c>
      <c r="AV182" s="4">
        <v>0.80198019799999998</v>
      </c>
      <c r="AW182" s="4">
        <v>80.198019799999997</v>
      </c>
      <c r="AX182" s="27">
        <v>72.400000000000006</v>
      </c>
    </row>
    <row r="183" spans="1:50" ht="12.75" customHeight="1">
      <c r="A183" s="4" t="s">
        <v>679</v>
      </c>
      <c r="B183" s="9" t="s">
        <v>491</v>
      </c>
      <c r="C183" s="5" t="s">
        <v>474</v>
      </c>
      <c r="D183" s="5" t="s">
        <v>475</v>
      </c>
      <c r="E183" s="5" t="s">
        <v>492</v>
      </c>
      <c r="F183" s="10" t="s">
        <v>474</v>
      </c>
      <c r="G183" s="12" t="s">
        <v>486</v>
      </c>
      <c r="H183" s="12" t="s">
        <v>462</v>
      </c>
      <c r="I183" s="8">
        <v>45245</v>
      </c>
      <c r="J183" s="10" t="s">
        <v>477</v>
      </c>
      <c r="K183" s="11">
        <v>1</v>
      </c>
      <c r="L183" s="11">
        <v>8</v>
      </c>
      <c r="M183" s="11">
        <v>4</v>
      </c>
      <c r="N183" s="6" t="s">
        <v>482</v>
      </c>
      <c r="O183" s="7">
        <v>35.200000000000003</v>
      </c>
      <c r="P183" s="7">
        <v>27</v>
      </c>
      <c r="Q183" s="7">
        <v>9.6</v>
      </c>
      <c r="R183" s="4">
        <v>258</v>
      </c>
      <c r="S183" s="4">
        <f t="shared" si="11"/>
        <v>0.25800000000000001</v>
      </c>
      <c r="T183" s="4">
        <f t="shared" si="12"/>
        <v>2.1988636363636363E-2</v>
      </c>
      <c r="V183" s="4" t="s">
        <v>540</v>
      </c>
      <c r="W183" s="4" t="s">
        <v>679</v>
      </c>
      <c r="X183" s="4" t="s">
        <v>679</v>
      </c>
      <c r="Y183" s="4">
        <v>5</v>
      </c>
      <c r="Z183" s="4" t="s">
        <v>679</v>
      </c>
      <c r="AA183" s="4">
        <v>5</v>
      </c>
      <c r="AB183" s="24"/>
      <c r="AC183" s="24"/>
      <c r="AD183" s="25"/>
      <c r="AE183" s="26"/>
      <c r="AF183" s="24"/>
      <c r="AG183" s="25"/>
      <c r="AH183" s="25"/>
      <c r="AJ183" s="4">
        <v>0.91490000000000005</v>
      </c>
      <c r="AK183" s="4">
        <v>0.91949999999999998</v>
      </c>
      <c r="AL183" s="4">
        <v>0.91539999999999999</v>
      </c>
      <c r="AM183" s="4">
        <v>4.5999999999999999E-3</v>
      </c>
      <c r="AN183" s="4">
        <v>5.0000000000000001E-4</v>
      </c>
      <c r="AO183" s="4">
        <v>0.89130434780000001</v>
      </c>
      <c r="AP183" s="4">
        <v>89.130434780000002</v>
      </c>
      <c r="AQ183" s="4">
        <v>0.9274</v>
      </c>
      <c r="AR183" s="4">
        <v>0.95069999999999999</v>
      </c>
      <c r="AS183" s="4">
        <v>0.93149999999999999</v>
      </c>
      <c r="AT183" s="4">
        <v>2.3300000000000001E-2</v>
      </c>
      <c r="AU183" s="4">
        <v>4.1000000000000003E-3</v>
      </c>
      <c r="AV183" s="4">
        <v>0.82403433479999999</v>
      </c>
      <c r="AW183" s="4">
        <v>82.403433480000004</v>
      </c>
      <c r="AX183" s="27">
        <v>78.59</v>
      </c>
    </row>
    <row r="184" spans="1:50" ht="12.75" customHeight="1">
      <c r="A184" s="4" t="s">
        <v>680</v>
      </c>
      <c r="B184" s="9" t="s">
        <v>491</v>
      </c>
      <c r="C184" s="5" t="s">
        <v>474</v>
      </c>
      <c r="D184" s="5" t="s">
        <v>475</v>
      </c>
      <c r="E184" s="5" t="s">
        <v>492</v>
      </c>
      <c r="F184" s="10" t="s">
        <v>474</v>
      </c>
      <c r="G184" s="12" t="s">
        <v>486</v>
      </c>
      <c r="H184" s="12" t="s">
        <v>462</v>
      </c>
      <c r="I184" s="8">
        <v>45245</v>
      </c>
      <c r="J184" s="10" t="s">
        <v>477</v>
      </c>
      <c r="K184" s="11">
        <v>1</v>
      </c>
      <c r="L184" s="11">
        <v>8</v>
      </c>
      <c r="M184" s="11">
        <v>4</v>
      </c>
      <c r="N184" s="6" t="s">
        <v>480</v>
      </c>
      <c r="O184" s="7">
        <v>30.5</v>
      </c>
      <c r="P184" s="7">
        <v>26.1</v>
      </c>
      <c r="Q184" s="7">
        <v>7.7</v>
      </c>
      <c r="R184" s="4">
        <v>242</v>
      </c>
      <c r="S184" s="4">
        <f t="shared" si="11"/>
        <v>0.24199999999999999</v>
      </c>
      <c r="T184" s="4">
        <f t="shared" si="12"/>
        <v>2.3803278688524589E-2</v>
      </c>
      <c r="V184" s="4" t="s">
        <v>540</v>
      </c>
      <c r="W184" s="4" t="s">
        <v>680</v>
      </c>
      <c r="X184" s="4" t="s">
        <v>680</v>
      </c>
      <c r="Y184" s="4">
        <v>6</v>
      </c>
      <c r="Z184" s="4" t="s">
        <v>680</v>
      </c>
      <c r="AA184" s="4">
        <v>6</v>
      </c>
      <c r="AB184" s="24"/>
      <c r="AC184" s="24"/>
      <c r="AD184" s="25"/>
      <c r="AE184" s="26"/>
      <c r="AF184" s="24"/>
      <c r="AG184" s="25"/>
      <c r="AH184" s="25"/>
      <c r="AJ184" s="4">
        <v>0.91800000000000004</v>
      </c>
      <c r="AK184" s="4">
        <v>0.92669999999999997</v>
      </c>
      <c r="AL184" s="4">
        <v>0.91969999999999996</v>
      </c>
      <c r="AM184" s="4">
        <v>8.6999999999999994E-3</v>
      </c>
      <c r="AN184" s="4">
        <v>1.6999999999999999E-3</v>
      </c>
      <c r="AO184" s="4">
        <v>0.80459770109999995</v>
      </c>
      <c r="AP184" s="4">
        <v>80.459770109999994</v>
      </c>
      <c r="AQ184" s="4">
        <v>0.91180000000000005</v>
      </c>
      <c r="AR184" s="4">
        <v>0.92800000000000005</v>
      </c>
      <c r="AS184" s="4">
        <v>0.91439999999999999</v>
      </c>
      <c r="AT184" s="4">
        <v>1.6199999999999999E-2</v>
      </c>
      <c r="AU184" s="4">
        <v>2.5999999999999999E-3</v>
      </c>
      <c r="AV184" s="4">
        <v>0.83950617279999995</v>
      </c>
      <c r="AW184" s="4">
        <v>83.950617280000003</v>
      </c>
    </row>
    <row r="185" spans="1:50" ht="12.75" customHeight="1">
      <c r="A185" s="4" t="s">
        <v>681</v>
      </c>
      <c r="B185" s="9" t="s">
        <v>491</v>
      </c>
      <c r="C185" s="5" t="s">
        <v>474</v>
      </c>
      <c r="D185" s="5" t="s">
        <v>475</v>
      </c>
      <c r="E185" s="5" t="s">
        <v>492</v>
      </c>
      <c r="F185" s="10" t="s">
        <v>474</v>
      </c>
      <c r="G185" s="12" t="s">
        <v>486</v>
      </c>
      <c r="H185" s="12" t="s">
        <v>462</v>
      </c>
      <c r="I185" s="8">
        <v>45245</v>
      </c>
      <c r="J185" s="10" t="s">
        <v>477</v>
      </c>
      <c r="K185" s="11">
        <v>1</v>
      </c>
      <c r="L185" s="11">
        <v>8</v>
      </c>
      <c r="M185" s="11">
        <v>4</v>
      </c>
      <c r="N185" s="6" t="s">
        <v>482</v>
      </c>
      <c r="O185" s="7">
        <v>32.6</v>
      </c>
      <c r="P185" s="7">
        <v>21.6</v>
      </c>
      <c r="Q185" s="7">
        <v>9.3000000000000007</v>
      </c>
      <c r="R185" s="4">
        <v>260</v>
      </c>
      <c r="S185" s="13">
        <f t="shared" si="11"/>
        <v>0.26</v>
      </c>
      <c r="T185" s="4">
        <f t="shared" si="12"/>
        <v>2.3926380368098157E-2</v>
      </c>
      <c r="V185" s="4" t="s">
        <v>540</v>
      </c>
      <c r="W185" s="4" t="s">
        <v>681</v>
      </c>
      <c r="X185" s="4" t="s">
        <v>681</v>
      </c>
      <c r="Y185" s="4">
        <v>7</v>
      </c>
      <c r="Z185" s="4" t="s">
        <v>681</v>
      </c>
      <c r="AA185" s="4">
        <v>7</v>
      </c>
      <c r="AB185" s="24"/>
      <c r="AC185" s="24"/>
      <c r="AD185" s="25"/>
      <c r="AE185" s="26"/>
      <c r="AF185" s="24"/>
      <c r="AG185" s="25"/>
      <c r="AH185" s="25"/>
      <c r="AJ185" s="4">
        <v>0.91539999999999999</v>
      </c>
      <c r="AK185" s="4">
        <v>0.92200000000000004</v>
      </c>
      <c r="AL185" s="4">
        <v>0.91649999999999998</v>
      </c>
      <c r="AM185" s="4">
        <v>6.6E-3</v>
      </c>
      <c r="AN185" s="4">
        <v>1.1000000000000001E-3</v>
      </c>
      <c r="AO185" s="4">
        <v>0.83333333330000003</v>
      </c>
      <c r="AP185" s="4">
        <v>83.333333330000002</v>
      </c>
      <c r="AQ185" s="4">
        <v>0.91259999999999997</v>
      </c>
      <c r="AR185" s="4">
        <v>0.93130000000000002</v>
      </c>
      <c r="AS185" s="4">
        <v>0.91620000000000001</v>
      </c>
      <c r="AT185" s="4">
        <v>1.8700000000000001E-2</v>
      </c>
      <c r="AU185" s="4">
        <v>3.5999999999999999E-3</v>
      </c>
      <c r="AV185" s="4">
        <v>0.80748663099999995</v>
      </c>
      <c r="AW185" s="4">
        <v>80.748663100000002</v>
      </c>
      <c r="AX185" s="27">
        <v>85.17</v>
      </c>
    </row>
    <row r="186" spans="1:50" ht="12.75" customHeight="1">
      <c r="A186" s="4" t="s">
        <v>682</v>
      </c>
      <c r="B186" s="9" t="s">
        <v>491</v>
      </c>
      <c r="C186" s="5" t="s">
        <v>474</v>
      </c>
      <c r="D186" s="5" t="s">
        <v>475</v>
      </c>
      <c r="E186" s="5" t="s">
        <v>492</v>
      </c>
      <c r="F186" s="10" t="s">
        <v>474</v>
      </c>
      <c r="G186" s="12" t="s">
        <v>486</v>
      </c>
      <c r="H186" s="12" t="s">
        <v>462</v>
      </c>
      <c r="I186" s="8">
        <v>45245</v>
      </c>
      <c r="J186" s="10" t="s">
        <v>477</v>
      </c>
      <c r="K186" s="11">
        <v>1</v>
      </c>
      <c r="L186" s="11">
        <v>8</v>
      </c>
      <c r="M186" s="11">
        <v>4</v>
      </c>
      <c r="N186" s="6" t="s">
        <v>482</v>
      </c>
      <c r="O186" s="7">
        <v>31.5</v>
      </c>
      <c r="P186" s="7">
        <v>23.1</v>
      </c>
      <c r="Q186" s="7">
        <v>8.5</v>
      </c>
      <c r="R186" s="4">
        <v>197</v>
      </c>
      <c r="S186" s="4">
        <f t="shared" si="11"/>
        <v>0.19700000000000001</v>
      </c>
      <c r="T186" s="4">
        <f t="shared" si="12"/>
        <v>1.8761904761904761E-2</v>
      </c>
      <c r="V186" s="4" t="s">
        <v>540</v>
      </c>
      <c r="W186" s="4" t="s">
        <v>682</v>
      </c>
      <c r="X186" s="4" t="s">
        <v>682</v>
      </c>
      <c r="Y186" s="4">
        <v>8</v>
      </c>
      <c r="Z186" s="4" t="s">
        <v>682</v>
      </c>
      <c r="AA186" s="4">
        <v>8</v>
      </c>
      <c r="AB186" s="24"/>
      <c r="AC186" s="24"/>
      <c r="AD186" s="25"/>
      <c r="AE186" s="26"/>
      <c r="AF186" s="24"/>
      <c r="AG186" s="25"/>
      <c r="AH186" s="25"/>
      <c r="AJ186" s="4">
        <v>0.92249999999999999</v>
      </c>
      <c r="AK186" s="4">
        <v>0.92889999999999995</v>
      </c>
      <c r="AL186" s="4">
        <v>0.92379999999999995</v>
      </c>
      <c r="AM186" s="4">
        <v>6.4000000000000003E-3</v>
      </c>
      <c r="AN186" s="4">
        <v>1.2999999999999999E-3</v>
      </c>
      <c r="AO186" s="4">
        <v>0.796875</v>
      </c>
      <c r="AP186" s="4">
        <v>79.6875</v>
      </c>
      <c r="AQ186" s="4">
        <v>0.92630000000000001</v>
      </c>
      <c r="AR186" s="4">
        <v>0.94350000000000001</v>
      </c>
      <c r="AS186" s="4">
        <v>0.92910000000000004</v>
      </c>
      <c r="AT186" s="4">
        <v>1.72E-2</v>
      </c>
      <c r="AU186" s="4">
        <v>2.8E-3</v>
      </c>
      <c r="AV186" s="4">
        <v>0.83720930230000001</v>
      </c>
      <c r="AW186" s="4">
        <v>83.720930229999993</v>
      </c>
      <c r="AX186" s="27">
        <v>91.19</v>
      </c>
    </row>
    <row r="187" spans="1:50" ht="12.75" customHeight="1">
      <c r="A187" s="4" t="s">
        <v>683</v>
      </c>
      <c r="B187" s="9" t="s">
        <v>491</v>
      </c>
      <c r="C187" s="5" t="s">
        <v>474</v>
      </c>
      <c r="D187" s="5" t="s">
        <v>475</v>
      </c>
      <c r="E187" s="5" t="s">
        <v>492</v>
      </c>
      <c r="F187" s="10" t="s">
        <v>474</v>
      </c>
      <c r="G187" s="12" t="s">
        <v>486</v>
      </c>
      <c r="H187" s="12" t="s">
        <v>462</v>
      </c>
      <c r="I187" s="8">
        <v>45245</v>
      </c>
      <c r="J187" s="10" t="s">
        <v>477</v>
      </c>
      <c r="K187" s="11">
        <v>1</v>
      </c>
      <c r="L187" s="11">
        <v>8</v>
      </c>
      <c r="M187" s="11">
        <v>4</v>
      </c>
      <c r="N187" s="6" t="s">
        <v>482</v>
      </c>
      <c r="O187" s="7">
        <v>23.1</v>
      </c>
      <c r="P187" s="7">
        <v>16</v>
      </c>
      <c r="Q187" s="7">
        <v>7.2</v>
      </c>
      <c r="R187" s="4">
        <v>115</v>
      </c>
      <c r="S187" s="4">
        <f t="shared" si="11"/>
        <v>0.115</v>
      </c>
      <c r="T187" s="4">
        <f t="shared" si="12"/>
        <v>1.4935064935064937E-2</v>
      </c>
      <c r="V187" s="4" t="s">
        <v>540</v>
      </c>
      <c r="W187" s="4" t="s">
        <v>683</v>
      </c>
      <c r="X187" s="4" t="s">
        <v>683</v>
      </c>
      <c r="Y187" s="4">
        <v>9</v>
      </c>
      <c r="Z187" s="4" t="s">
        <v>683</v>
      </c>
      <c r="AA187" s="4">
        <v>9</v>
      </c>
      <c r="AB187" s="24"/>
      <c r="AC187" s="24"/>
      <c r="AD187" s="25"/>
      <c r="AE187" s="26"/>
      <c r="AF187" s="24"/>
      <c r="AG187" s="25"/>
      <c r="AH187" s="25"/>
      <c r="AJ187" s="4">
        <v>0.90849999999999997</v>
      </c>
      <c r="AK187" s="4">
        <v>0.91320000000000001</v>
      </c>
      <c r="AL187" s="4">
        <v>0.90920000000000001</v>
      </c>
      <c r="AM187" s="4">
        <v>4.7000000000000002E-3</v>
      </c>
      <c r="AN187" s="4">
        <v>6.9999999999999999E-4</v>
      </c>
      <c r="AO187" s="4">
        <v>0.85106382979999995</v>
      </c>
      <c r="AP187" s="4">
        <v>85.106382980000006</v>
      </c>
      <c r="AQ187" s="4">
        <v>0.91949999999999998</v>
      </c>
      <c r="AR187" s="4">
        <v>0.93049999999999999</v>
      </c>
      <c r="AS187" s="4">
        <v>0.92079999999999995</v>
      </c>
      <c r="AT187" s="4">
        <v>1.0999999999999999E-2</v>
      </c>
      <c r="AU187" s="4">
        <v>1.2999999999999999E-3</v>
      </c>
      <c r="AV187" s="4">
        <v>0.88181818180000004</v>
      </c>
      <c r="AW187" s="4">
        <v>88.181818179999993</v>
      </c>
    </row>
    <row r="188" spans="1:50" ht="12.75" customHeight="1">
      <c r="A188" s="4" t="s">
        <v>684</v>
      </c>
      <c r="B188" s="9" t="s">
        <v>491</v>
      </c>
      <c r="C188" s="5" t="s">
        <v>474</v>
      </c>
      <c r="D188" s="5" t="s">
        <v>475</v>
      </c>
      <c r="E188" s="5" t="s">
        <v>492</v>
      </c>
      <c r="F188" s="10" t="s">
        <v>474</v>
      </c>
      <c r="G188" s="12" t="s">
        <v>486</v>
      </c>
      <c r="H188" s="12" t="s">
        <v>462</v>
      </c>
      <c r="I188" s="8">
        <v>45245</v>
      </c>
      <c r="J188" s="10" t="s">
        <v>477</v>
      </c>
      <c r="K188" s="11">
        <v>1</v>
      </c>
      <c r="L188" s="11">
        <v>8</v>
      </c>
      <c r="M188" s="11">
        <v>4</v>
      </c>
      <c r="N188" s="6" t="s">
        <v>560</v>
      </c>
      <c r="O188" s="7">
        <v>34.299999999999997</v>
      </c>
      <c r="P188" s="7">
        <v>22.1</v>
      </c>
      <c r="Q188" s="7">
        <v>7.9</v>
      </c>
      <c r="R188" s="4">
        <v>251</v>
      </c>
      <c r="S188" s="4">
        <f t="shared" si="11"/>
        <v>0.251</v>
      </c>
      <c r="T188" s="4">
        <f t="shared" si="12"/>
        <v>2.1953352769679302E-2</v>
      </c>
      <c r="V188" s="4" t="s">
        <v>540</v>
      </c>
      <c r="W188" s="4" t="s">
        <v>684</v>
      </c>
      <c r="X188" s="4" t="s">
        <v>684</v>
      </c>
      <c r="Y188" s="4">
        <v>10</v>
      </c>
      <c r="Z188" s="4" t="s">
        <v>684</v>
      </c>
      <c r="AA188" s="4">
        <v>10</v>
      </c>
      <c r="AB188" s="24"/>
      <c r="AC188" s="24"/>
      <c r="AD188" s="25"/>
      <c r="AE188" s="26"/>
      <c r="AF188" s="24"/>
      <c r="AG188" s="25"/>
      <c r="AH188" s="25"/>
      <c r="AJ188" s="4">
        <v>0.93149999999999999</v>
      </c>
      <c r="AK188" s="4">
        <v>0.93610000000000004</v>
      </c>
      <c r="AL188" s="4">
        <v>0.93220000000000003</v>
      </c>
      <c r="AM188" s="4">
        <v>4.5999999999999999E-3</v>
      </c>
      <c r="AN188" s="4">
        <v>6.9999999999999999E-4</v>
      </c>
      <c r="AO188" s="4">
        <v>0.84782608699999995</v>
      </c>
      <c r="AP188" s="4">
        <v>84.782608699999997</v>
      </c>
      <c r="AQ188" s="4">
        <v>0.92290000000000005</v>
      </c>
      <c r="AR188" s="4">
        <v>0.94379999999999997</v>
      </c>
      <c r="AS188" s="4">
        <v>0.92700000000000005</v>
      </c>
      <c r="AT188" s="4">
        <v>2.0899999999999998E-2</v>
      </c>
      <c r="AU188" s="4">
        <v>4.1000000000000003E-3</v>
      </c>
      <c r="AV188" s="4">
        <v>0.80382775120000005</v>
      </c>
      <c r="AW188" s="4">
        <v>80.382775120000005</v>
      </c>
      <c r="AX188" s="27">
        <v>138.44</v>
      </c>
    </row>
    <row r="189" spans="1:50" ht="12.75" customHeight="1">
      <c r="A189" s="4" t="s">
        <v>685</v>
      </c>
      <c r="B189" s="9" t="s">
        <v>491</v>
      </c>
      <c r="C189" s="5" t="s">
        <v>474</v>
      </c>
      <c r="D189" s="5" t="s">
        <v>475</v>
      </c>
      <c r="E189" s="5" t="s">
        <v>492</v>
      </c>
      <c r="F189" s="10" t="s">
        <v>474</v>
      </c>
      <c r="G189" s="12" t="s">
        <v>486</v>
      </c>
      <c r="H189" s="12" t="s">
        <v>462</v>
      </c>
      <c r="I189" s="8">
        <v>45245</v>
      </c>
      <c r="J189" s="10" t="s">
        <v>477</v>
      </c>
      <c r="K189" s="11">
        <v>1</v>
      </c>
      <c r="L189" s="11">
        <v>8</v>
      </c>
      <c r="M189" s="11">
        <v>4</v>
      </c>
      <c r="N189" s="6" t="s">
        <v>482</v>
      </c>
      <c r="O189" s="7">
        <v>27.1</v>
      </c>
      <c r="P189" s="7">
        <v>23</v>
      </c>
      <c r="Q189" s="7">
        <v>8.8000000000000007</v>
      </c>
      <c r="R189" s="4">
        <v>258</v>
      </c>
      <c r="S189" s="4">
        <f t="shared" si="11"/>
        <v>0.25800000000000001</v>
      </c>
      <c r="T189" s="4">
        <f t="shared" si="12"/>
        <v>2.8560885608856092E-2</v>
      </c>
      <c r="V189" s="4" t="s">
        <v>540</v>
      </c>
      <c r="W189" s="4" t="s">
        <v>685</v>
      </c>
      <c r="X189" s="4" t="s">
        <v>685</v>
      </c>
      <c r="Y189" s="4">
        <v>11</v>
      </c>
      <c r="Z189" s="4" t="s">
        <v>685</v>
      </c>
      <c r="AA189" s="4">
        <v>11</v>
      </c>
      <c r="AB189" s="24"/>
      <c r="AC189" s="24"/>
      <c r="AD189" s="25"/>
      <c r="AE189" s="26"/>
      <c r="AF189" s="24"/>
      <c r="AG189" s="25"/>
      <c r="AH189" s="25"/>
      <c r="AJ189" s="4">
        <v>0.90180000000000005</v>
      </c>
      <c r="AK189" s="4">
        <v>0.90739999999999998</v>
      </c>
      <c r="AL189" s="4">
        <v>0.90269999999999995</v>
      </c>
      <c r="AM189" s="4">
        <v>5.5999999999999999E-3</v>
      </c>
      <c r="AN189" s="4">
        <v>8.9999999999999998E-4</v>
      </c>
      <c r="AO189" s="4">
        <v>0.83928571429999999</v>
      </c>
      <c r="AP189" s="4">
        <v>83.928571430000005</v>
      </c>
      <c r="AQ189" s="4">
        <v>0.91539999999999999</v>
      </c>
      <c r="AR189" s="4">
        <v>0.92989999999999995</v>
      </c>
      <c r="AS189" s="4">
        <v>0.91790000000000005</v>
      </c>
      <c r="AT189" s="4">
        <v>1.4500000000000001E-2</v>
      </c>
      <c r="AU189" s="4">
        <v>2.5000000000000001E-3</v>
      </c>
      <c r="AV189" s="4">
        <v>0.82758620689999995</v>
      </c>
      <c r="AW189" s="4">
        <v>82.758620690000001</v>
      </c>
      <c r="AX189" s="27">
        <v>97.31</v>
      </c>
    </row>
    <row r="190" spans="1:50" ht="12.75" customHeight="1">
      <c r="A190" s="4" t="s">
        <v>686</v>
      </c>
      <c r="B190" s="9" t="s">
        <v>491</v>
      </c>
      <c r="C190" s="5" t="s">
        <v>474</v>
      </c>
      <c r="D190" s="5" t="s">
        <v>475</v>
      </c>
      <c r="E190" s="5" t="s">
        <v>492</v>
      </c>
      <c r="F190" s="10" t="s">
        <v>474</v>
      </c>
      <c r="G190" s="12" t="s">
        <v>486</v>
      </c>
      <c r="H190" s="12" t="s">
        <v>462</v>
      </c>
      <c r="I190" s="8">
        <v>45245</v>
      </c>
      <c r="J190" s="10" t="s">
        <v>477</v>
      </c>
      <c r="K190" s="11">
        <v>1</v>
      </c>
      <c r="L190" s="11">
        <v>8</v>
      </c>
      <c r="M190" s="11">
        <v>4</v>
      </c>
      <c r="N190" s="6" t="s">
        <v>482</v>
      </c>
      <c r="O190" s="7">
        <v>34</v>
      </c>
      <c r="P190" s="7">
        <v>27</v>
      </c>
      <c r="Q190" s="7">
        <v>9</v>
      </c>
      <c r="R190" s="4">
        <v>294</v>
      </c>
      <c r="S190" s="4">
        <f t="shared" si="11"/>
        <v>0.29399999999999998</v>
      </c>
      <c r="T190" s="4">
        <f t="shared" si="12"/>
        <v>2.5941176470588231E-2</v>
      </c>
      <c r="V190" s="4" t="s">
        <v>540</v>
      </c>
      <c r="W190" s="4" t="s">
        <v>686</v>
      </c>
      <c r="X190" s="4" t="s">
        <v>686</v>
      </c>
      <c r="Y190" s="4">
        <v>12</v>
      </c>
      <c r="Z190" s="4" t="s">
        <v>686</v>
      </c>
      <c r="AA190" s="4">
        <v>12</v>
      </c>
      <c r="AB190" s="24"/>
      <c r="AC190" s="24"/>
      <c r="AD190" s="25"/>
      <c r="AE190" s="26"/>
      <c r="AF190" s="24"/>
      <c r="AG190" s="25"/>
      <c r="AH190" s="25"/>
      <c r="AJ190" s="4">
        <v>0.93359999999999999</v>
      </c>
      <c r="AK190" s="4">
        <v>0.94110000000000005</v>
      </c>
      <c r="AL190" s="4">
        <v>0.93469999999999998</v>
      </c>
      <c r="AM190" s="4">
        <v>7.4999999999999997E-3</v>
      </c>
      <c r="AN190" s="4">
        <v>1.1000000000000001E-3</v>
      </c>
      <c r="AO190" s="4">
        <v>0.85333333330000005</v>
      </c>
      <c r="AP190" s="4">
        <v>85.333333330000002</v>
      </c>
      <c r="AQ190" s="4">
        <v>0.9405</v>
      </c>
      <c r="AR190" s="4">
        <v>0.95409999999999995</v>
      </c>
      <c r="AS190" s="4">
        <v>0.94269999999999998</v>
      </c>
      <c r="AT190" s="4">
        <v>1.3599999999999999E-2</v>
      </c>
      <c r="AU190" s="4">
        <v>2.2000000000000001E-3</v>
      </c>
      <c r="AV190" s="4">
        <v>0.83823529409999997</v>
      </c>
      <c r="AW190" s="4">
        <v>83.823529410000006</v>
      </c>
      <c r="AX190" s="27">
        <v>90.9</v>
      </c>
    </row>
    <row r="191" spans="1:50" ht="12.75" customHeight="1">
      <c r="A191" s="4" t="s">
        <v>687</v>
      </c>
      <c r="B191" s="9" t="s">
        <v>491</v>
      </c>
      <c r="C191" s="5" t="s">
        <v>474</v>
      </c>
      <c r="D191" s="5" t="s">
        <v>475</v>
      </c>
      <c r="E191" s="5" t="s">
        <v>492</v>
      </c>
      <c r="F191" s="10" t="s">
        <v>474</v>
      </c>
      <c r="G191" s="12" t="s">
        <v>486</v>
      </c>
      <c r="H191" s="12" t="s">
        <v>462</v>
      </c>
      <c r="I191" s="8">
        <v>45245</v>
      </c>
      <c r="J191" s="10" t="s">
        <v>477</v>
      </c>
      <c r="K191" s="11">
        <v>1</v>
      </c>
      <c r="L191" s="11">
        <v>8</v>
      </c>
      <c r="M191" s="11">
        <v>4</v>
      </c>
      <c r="N191" s="6" t="s">
        <v>482</v>
      </c>
      <c r="O191" s="7">
        <v>33.299999999999997</v>
      </c>
      <c r="P191" s="7">
        <v>24.2</v>
      </c>
      <c r="Q191" s="7">
        <v>7.4</v>
      </c>
      <c r="R191" s="4">
        <v>120</v>
      </c>
      <c r="S191" s="13">
        <f t="shared" si="11"/>
        <v>0.12</v>
      </c>
      <c r="T191" s="4">
        <f t="shared" si="12"/>
        <v>1.0810810810810811E-2</v>
      </c>
      <c r="V191" s="4" t="s">
        <v>540</v>
      </c>
      <c r="W191" s="4" t="s">
        <v>687</v>
      </c>
      <c r="X191" s="4" t="s">
        <v>687</v>
      </c>
      <c r="Y191" s="4">
        <v>13</v>
      </c>
      <c r="Z191" s="4" t="s">
        <v>687</v>
      </c>
      <c r="AA191" s="4">
        <v>13</v>
      </c>
      <c r="AB191" s="24"/>
      <c r="AC191" s="24"/>
      <c r="AD191" s="25"/>
      <c r="AE191" s="26"/>
      <c r="AF191" s="24"/>
      <c r="AG191" s="25"/>
      <c r="AH191" s="25"/>
      <c r="AJ191" s="4">
        <v>0.91759999999999997</v>
      </c>
      <c r="AK191" s="4">
        <v>0.92700000000000005</v>
      </c>
      <c r="AL191" s="4">
        <v>0.9194</v>
      </c>
      <c r="AM191" s="4">
        <v>9.4000000000000004E-3</v>
      </c>
      <c r="AN191" s="4">
        <v>1.8E-3</v>
      </c>
      <c r="AO191" s="4">
        <v>0.80851063830000003</v>
      </c>
      <c r="AP191" s="4">
        <v>80.851063830000001</v>
      </c>
      <c r="AQ191" s="4">
        <v>0.93440000000000001</v>
      </c>
      <c r="AR191" s="4">
        <v>0.94989999999999997</v>
      </c>
      <c r="AS191" s="4">
        <v>0.93679999999999997</v>
      </c>
      <c r="AT191" s="4">
        <v>1.55E-2</v>
      </c>
      <c r="AU191" s="4">
        <v>2.3999999999999998E-3</v>
      </c>
      <c r="AV191" s="4">
        <v>0.84516129029999998</v>
      </c>
      <c r="AW191" s="4">
        <v>84.516129030000002</v>
      </c>
    </row>
    <row r="192" spans="1:50" ht="12.75" customHeight="1">
      <c r="A192" s="4" t="s">
        <v>688</v>
      </c>
      <c r="B192" s="14" t="s">
        <v>491</v>
      </c>
      <c r="C192" s="4" t="s">
        <v>474</v>
      </c>
      <c r="D192" s="4" t="s">
        <v>475</v>
      </c>
      <c r="E192" s="4" t="s">
        <v>492</v>
      </c>
      <c r="F192" s="4" t="s">
        <v>474</v>
      </c>
      <c r="G192" s="4" t="s">
        <v>486</v>
      </c>
      <c r="H192" s="4" t="s">
        <v>462</v>
      </c>
      <c r="I192" s="8">
        <v>45245</v>
      </c>
      <c r="J192" s="4" t="s">
        <v>477</v>
      </c>
      <c r="K192" s="11">
        <v>1</v>
      </c>
      <c r="L192" s="11">
        <v>8</v>
      </c>
      <c r="M192" s="11">
        <v>4</v>
      </c>
      <c r="N192" s="6" t="s">
        <v>560</v>
      </c>
      <c r="O192" s="4">
        <v>28.6</v>
      </c>
      <c r="P192" s="4">
        <v>24.5</v>
      </c>
      <c r="Q192" s="4">
        <v>6.8</v>
      </c>
      <c r="R192" s="4">
        <v>277</v>
      </c>
      <c r="S192" s="4">
        <f t="shared" si="11"/>
        <v>0.27700000000000002</v>
      </c>
      <c r="T192" s="4">
        <f t="shared" si="12"/>
        <v>2.9055944055944055E-2</v>
      </c>
      <c r="V192" s="4" t="s">
        <v>533</v>
      </c>
      <c r="W192" s="4" t="s">
        <v>688</v>
      </c>
      <c r="AB192" s="20"/>
      <c r="AC192" s="20"/>
      <c r="AD192" s="19"/>
      <c r="AE192" s="19"/>
      <c r="AF192" s="19"/>
      <c r="AG192" s="19"/>
      <c r="AH192" s="19"/>
      <c r="AI192" s="19"/>
    </row>
    <row r="193" spans="1:35">
      <c r="A193" s="4" t="s">
        <v>212</v>
      </c>
      <c r="B193" s="9" t="s">
        <v>494</v>
      </c>
      <c r="C193" s="5" t="s">
        <v>474</v>
      </c>
      <c r="D193" s="5" t="s">
        <v>475</v>
      </c>
      <c r="E193" s="5" t="s">
        <v>495</v>
      </c>
      <c r="F193" s="12" t="s">
        <v>474</v>
      </c>
      <c r="G193" s="12" t="s">
        <v>486</v>
      </c>
      <c r="H193" s="12" t="s">
        <v>462</v>
      </c>
      <c r="I193" s="8">
        <v>45245</v>
      </c>
      <c r="J193" s="10" t="s">
        <v>477</v>
      </c>
      <c r="K193" s="11">
        <v>1</v>
      </c>
      <c r="L193" s="11">
        <v>9</v>
      </c>
      <c r="M193" s="11">
        <v>3</v>
      </c>
      <c r="N193" s="6" t="s">
        <v>560</v>
      </c>
      <c r="O193" s="7">
        <v>24.8</v>
      </c>
      <c r="P193" s="7">
        <v>19.899999999999999</v>
      </c>
      <c r="Q193" s="7">
        <v>5.6</v>
      </c>
      <c r="R193" s="4">
        <v>122</v>
      </c>
      <c r="S193" s="4">
        <f t="shared" si="11"/>
        <v>0.122</v>
      </c>
      <c r="T193" s="4">
        <f t="shared" si="12"/>
        <v>1.4758064516129031E-2</v>
      </c>
      <c r="V193" s="4" t="s">
        <v>527</v>
      </c>
      <c r="W193" s="4" t="s">
        <v>212</v>
      </c>
      <c r="X193" s="4" t="s">
        <v>212</v>
      </c>
      <c r="Y193" s="4" t="s">
        <v>572</v>
      </c>
      <c r="Z193" s="4" t="s">
        <v>212</v>
      </c>
      <c r="AA193" s="4" t="s">
        <v>572</v>
      </c>
      <c r="AB193" s="20">
        <v>1.1154999999999999</v>
      </c>
      <c r="AC193" s="20">
        <v>1.1205000000000001</v>
      </c>
      <c r="AD193" s="19">
        <f t="shared" si="9"/>
        <v>5.0000000000001155</v>
      </c>
      <c r="AE193" s="19">
        <v>484400</v>
      </c>
      <c r="AF193" s="19">
        <v>393006</v>
      </c>
      <c r="AG193" s="19">
        <v>476772</v>
      </c>
      <c r="AH193" s="19">
        <f t="shared" si="7"/>
        <v>451392.66666666669</v>
      </c>
      <c r="AI193" s="19">
        <f t="shared" si="10"/>
        <v>90278.533333331259</v>
      </c>
    </row>
    <row r="194" spans="1:35">
      <c r="A194" s="4" t="s">
        <v>213</v>
      </c>
      <c r="B194" s="9" t="s">
        <v>494</v>
      </c>
      <c r="C194" s="5" t="s">
        <v>474</v>
      </c>
      <c r="D194" s="5" t="s">
        <v>475</v>
      </c>
      <c r="E194" s="5" t="s">
        <v>495</v>
      </c>
      <c r="F194" s="12" t="s">
        <v>474</v>
      </c>
      <c r="G194" s="12" t="s">
        <v>486</v>
      </c>
      <c r="H194" s="12" t="s">
        <v>462</v>
      </c>
      <c r="I194" s="8">
        <v>45245</v>
      </c>
      <c r="J194" s="10" t="s">
        <v>477</v>
      </c>
      <c r="K194" s="11">
        <v>1</v>
      </c>
      <c r="L194" s="11">
        <v>9</v>
      </c>
      <c r="M194" s="11">
        <v>3</v>
      </c>
      <c r="N194" s="6" t="s">
        <v>482</v>
      </c>
      <c r="O194" s="7">
        <v>35.6</v>
      </c>
      <c r="P194" s="7">
        <v>27.9</v>
      </c>
      <c r="Q194" s="7">
        <v>8.9</v>
      </c>
      <c r="R194" s="4">
        <v>385</v>
      </c>
      <c r="S194" s="4">
        <f t="shared" ref="S194:S258" si="13">R194/1000</f>
        <v>0.38500000000000001</v>
      </c>
      <c r="T194" s="4">
        <f t="shared" si="12"/>
        <v>3.2443820224719103E-2</v>
      </c>
      <c r="V194" s="4" t="s">
        <v>527</v>
      </c>
      <c r="W194" s="4" t="s">
        <v>213</v>
      </c>
      <c r="X194" s="4" t="s">
        <v>213</v>
      </c>
      <c r="Y194" s="4" t="s">
        <v>573</v>
      </c>
      <c r="Z194" s="4" t="s">
        <v>213</v>
      </c>
      <c r="AA194" s="4" t="s">
        <v>573</v>
      </c>
      <c r="AB194" s="20">
        <v>0.93559999999999999</v>
      </c>
      <c r="AC194" s="20">
        <v>0.95520000000000005</v>
      </c>
      <c r="AD194" s="19">
        <f t="shared" si="9"/>
        <v>19.600000000000062</v>
      </c>
      <c r="AE194" s="19">
        <v>593888</v>
      </c>
      <c r="AF194" s="19">
        <v>678599</v>
      </c>
      <c r="AG194" s="19">
        <v>606241</v>
      </c>
      <c r="AH194" s="19">
        <f t="shared" si="7"/>
        <v>626242.66666666663</v>
      </c>
      <c r="AI194" s="19">
        <f t="shared" si="10"/>
        <v>31951.156462584931</v>
      </c>
    </row>
    <row r="195" spans="1:35">
      <c r="A195" s="4" t="s">
        <v>214</v>
      </c>
      <c r="B195" s="9" t="s">
        <v>494</v>
      </c>
      <c r="C195" s="5" t="s">
        <v>474</v>
      </c>
      <c r="D195" s="5" t="s">
        <v>475</v>
      </c>
      <c r="E195" s="5" t="s">
        <v>495</v>
      </c>
      <c r="F195" s="12" t="s">
        <v>474</v>
      </c>
      <c r="G195" s="12" t="s">
        <v>486</v>
      </c>
      <c r="H195" s="12" t="s">
        <v>462</v>
      </c>
      <c r="I195" s="8">
        <v>45245</v>
      </c>
      <c r="J195" s="10" t="s">
        <v>477</v>
      </c>
      <c r="K195" s="11">
        <v>1</v>
      </c>
      <c r="L195" s="11">
        <v>9</v>
      </c>
      <c r="M195" s="11">
        <v>3</v>
      </c>
      <c r="N195" s="6" t="s">
        <v>482</v>
      </c>
      <c r="O195" s="7">
        <v>29.8</v>
      </c>
      <c r="P195" s="7">
        <v>22.7</v>
      </c>
      <c r="Q195" s="7">
        <v>7.4</v>
      </c>
      <c r="R195" s="4">
        <v>224</v>
      </c>
      <c r="S195" s="4">
        <f t="shared" si="13"/>
        <v>0.224</v>
      </c>
      <c r="T195" s="4">
        <f t="shared" ref="T195:T258" si="14">S195/O195*3</f>
        <v>2.2550335570469798E-2</v>
      </c>
      <c r="V195" s="4" t="s">
        <v>527</v>
      </c>
      <c r="W195" s="4" t="s">
        <v>214</v>
      </c>
      <c r="X195" s="4" t="s">
        <v>214</v>
      </c>
      <c r="Y195" s="4" t="s">
        <v>574</v>
      </c>
      <c r="Z195" s="4" t="s">
        <v>214</v>
      </c>
      <c r="AA195" s="4" t="s">
        <v>574</v>
      </c>
      <c r="AB195" s="20">
        <v>0.90369999999999995</v>
      </c>
      <c r="AC195" s="20">
        <v>0.90820000000000001</v>
      </c>
      <c r="AD195" s="19">
        <f t="shared" si="9"/>
        <v>4.5000000000000595</v>
      </c>
      <c r="AE195" s="19">
        <v>376169</v>
      </c>
      <c r="AF195" s="19">
        <v>383916</v>
      </c>
      <c r="AG195" s="19">
        <v>400419</v>
      </c>
      <c r="AH195" s="19">
        <f t="shared" si="7"/>
        <v>386834.66666666669</v>
      </c>
      <c r="AI195" s="19">
        <f t="shared" si="10"/>
        <v>85963.25925925812</v>
      </c>
    </row>
    <row r="196" spans="1:35">
      <c r="A196" s="4" t="s">
        <v>215</v>
      </c>
      <c r="B196" s="9" t="s">
        <v>494</v>
      </c>
      <c r="C196" s="5" t="s">
        <v>474</v>
      </c>
      <c r="D196" s="5" t="s">
        <v>475</v>
      </c>
      <c r="E196" s="5" t="s">
        <v>495</v>
      </c>
      <c r="F196" s="12" t="s">
        <v>474</v>
      </c>
      <c r="G196" s="12" t="s">
        <v>486</v>
      </c>
      <c r="H196" s="12" t="s">
        <v>462</v>
      </c>
      <c r="I196" s="8">
        <v>45245</v>
      </c>
      <c r="J196" s="10" t="s">
        <v>477</v>
      </c>
      <c r="K196" s="11">
        <v>1</v>
      </c>
      <c r="L196" s="11">
        <v>9</v>
      </c>
      <c r="M196" s="11">
        <v>3</v>
      </c>
      <c r="N196" s="6" t="s">
        <v>479</v>
      </c>
      <c r="O196" s="7">
        <v>53</v>
      </c>
      <c r="P196" s="7">
        <v>42.1</v>
      </c>
      <c r="Q196" s="7">
        <v>12.2</v>
      </c>
      <c r="R196" s="4">
        <v>1124</v>
      </c>
      <c r="S196" s="4">
        <f t="shared" si="13"/>
        <v>1.1240000000000001</v>
      </c>
      <c r="T196" s="4">
        <f t="shared" si="14"/>
        <v>6.3622641509433961E-2</v>
      </c>
      <c r="V196" s="4" t="s">
        <v>527</v>
      </c>
      <c r="W196" s="4" t="s">
        <v>215</v>
      </c>
      <c r="X196" s="4" t="s">
        <v>215</v>
      </c>
      <c r="Y196" s="4" t="s">
        <v>575</v>
      </c>
      <c r="Z196" s="4" t="s">
        <v>215</v>
      </c>
      <c r="AA196" s="4" t="s">
        <v>575</v>
      </c>
      <c r="AB196" s="20">
        <v>0.91459999999999997</v>
      </c>
      <c r="AC196" s="20">
        <v>0.94299999999999995</v>
      </c>
      <c r="AD196" s="19">
        <f t="shared" si="9"/>
        <v>28.399999999999981</v>
      </c>
      <c r="AE196" s="19">
        <v>893633</v>
      </c>
      <c r="AF196" s="19">
        <v>1013599</v>
      </c>
      <c r="AG196" s="19">
        <v>965994</v>
      </c>
      <c r="AH196" s="19">
        <f t="shared" si="7"/>
        <v>957742</v>
      </c>
      <c r="AI196" s="19">
        <f t="shared" si="10"/>
        <v>33723.30985915495</v>
      </c>
    </row>
    <row r="197" spans="1:35">
      <c r="A197" s="4" t="s">
        <v>216</v>
      </c>
      <c r="B197" s="9" t="s">
        <v>494</v>
      </c>
      <c r="C197" s="5" t="s">
        <v>474</v>
      </c>
      <c r="D197" s="5" t="s">
        <v>475</v>
      </c>
      <c r="E197" s="5" t="s">
        <v>495</v>
      </c>
      <c r="F197" s="12" t="s">
        <v>474</v>
      </c>
      <c r="G197" s="12" t="s">
        <v>486</v>
      </c>
      <c r="H197" s="12" t="s">
        <v>462</v>
      </c>
      <c r="I197" s="8">
        <v>45245</v>
      </c>
      <c r="J197" s="10" t="s">
        <v>477</v>
      </c>
      <c r="K197" s="11">
        <v>1</v>
      </c>
      <c r="L197" s="11">
        <v>9</v>
      </c>
      <c r="M197" s="11">
        <v>3</v>
      </c>
      <c r="N197" s="6" t="s">
        <v>482</v>
      </c>
      <c r="O197" s="7">
        <v>35.700000000000003</v>
      </c>
      <c r="P197" s="7">
        <v>28.5</v>
      </c>
      <c r="Q197" s="7">
        <v>9.6</v>
      </c>
      <c r="R197" s="4">
        <v>396</v>
      </c>
      <c r="S197" s="4">
        <f t="shared" si="13"/>
        <v>0.39600000000000002</v>
      </c>
      <c r="T197" s="4">
        <f t="shared" si="14"/>
        <v>3.3277310924369752E-2</v>
      </c>
      <c r="V197" s="4" t="s">
        <v>527</v>
      </c>
      <c r="W197" s="4" t="s">
        <v>216</v>
      </c>
      <c r="X197" s="4" t="s">
        <v>216</v>
      </c>
      <c r="Y197" s="4" t="s">
        <v>576</v>
      </c>
      <c r="Z197" s="4" t="s">
        <v>216</v>
      </c>
      <c r="AA197" s="4" t="s">
        <v>576</v>
      </c>
      <c r="AB197" s="20">
        <v>1.1163000000000001</v>
      </c>
      <c r="AC197" s="20">
        <v>1.1286</v>
      </c>
      <c r="AD197" s="19">
        <f t="shared" si="9"/>
        <v>12.299999999999978</v>
      </c>
      <c r="AE197" s="19">
        <v>421099</v>
      </c>
      <c r="AF197" s="19">
        <v>493693</v>
      </c>
      <c r="AG197" s="19">
        <v>432448</v>
      </c>
      <c r="AH197" s="19">
        <f t="shared" si="7"/>
        <v>449080</v>
      </c>
      <c r="AI197" s="19">
        <f t="shared" si="10"/>
        <v>36510.569105691124</v>
      </c>
    </row>
    <row r="198" spans="1:35">
      <c r="A198" s="4" t="s">
        <v>217</v>
      </c>
      <c r="B198" s="9" t="s">
        <v>494</v>
      </c>
      <c r="C198" s="5" t="s">
        <v>474</v>
      </c>
      <c r="D198" s="5" t="s">
        <v>475</v>
      </c>
      <c r="E198" s="5" t="s">
        <v>495</v>
      </c>
      <c r="F198" s="12" t="s">
        <v>474</v>
      </c>
      <c r="G198" s="12" t="s">
        <v>486</v>
      </c>
      <c r="H198" s="12" t="s">
        <v>462</v>
      </c>
      <c r="I198" s="8">
        <v>45245</v>
      </c>
      <c r="J198" s="10" t="s">
        <v>477</v>
      </c>
      <c r="K198" s="11">
        <v>1</v>
      </c>
      <c r="L198" s="11">
        <v>9</v>
      </c>
      <c r="M198" s="11">
        <v>3</v>
      </c>
      <c r="N198" s="6" t="s">
        <v>482</v>
      </c>
      <c r="O198" s="7">
        <v>32.1</v>
      </c>
      <c r="P198" s="7">
        <v>25.4</v>
      </c>
      <c r="Q198" s="7">
        <v>8.1999999999999993</v>
      </c>
      <c r="R198" s="4">
        <v>309</v>
      </c>
      <c r="S198" s="4">
        <f t="shared" si="13"/>
        <v>0.309</v>
      </c>
      <c r="T198" s="4">
        <f t="shared" si="14"/>
        <v>2.8878504672897196E-2</v>
      </c>
      <c r="V198" s="4" t="s">
        <v>527</v>
      </c>
      <c r="W198" s="4" t="s">
        <v>217</v>
      </c>
      <c r="X198" s="4" t="s">
        <v>217</v>
      </c>
      <c r="Y198" s="4" t="s">
        <v>577</v>
      </c>
      <c r="Z198" s="4" t="s">
        <v>217</v>
      </c>
      <c r="AA198" s="4" t="s">
        <v>577</v>
      </c>
      <c r="AB198" s="20">
        <v>0.91739999999999999</v>
      </c>
      <c r="AC198" s="20">
        <v>0.9355</v>
      </c>
      <c r="AD198" s="19">
        <f t="shared" si="9"/>
        <v>18.100000000000005</v>
      </c>
      <c r="AE198" s="19">
        <v>498145</v>
      </c>
      <c r="AF198" s="19">
        <v>536628</v>
      </c>
      <c r="AG198" s="19">
        <v>509565</v>
      </c>
      <c r="AH198" s="19">
        <f t="shared" si="7"/>
        <v>514779.33333333331</v>
      </c>
      <c r="AI198" s="19">
        <f t="shared" si="10"/>
        <v>28440.84714548802</v>
      </c>
    </row>
    <row r="199" spans="1:35">
      <c r="A199" s="4" t="s">
        <v>218</v>
      </c>
      <c r="B199" s="9" t="s">
        <v>494</v>
      </c>
      <c r="C199" s="5" t="s">
        <v>474</v>
      </c>
      <c r="D199" s="5" t="s">
        <v>475</v>
      </c>
      <c r="E199" s="5" t="s">
        <v>495</v>
      </c>
      <c r="F199" s="12" t="s">
        <v>474</v>
      </c>
      <c r="G199" s="12" t="s">
        <v>486</v>
      </c>
      <c r="H199" s="12" t="s">
        <v>462</v>
      </c>
      <c r="I199" s="8">
        <v>45245</v>
      </c>
      <c r="J199" s="10" t="s">
        <v>477</v>
      </c>
      <c r="K199" s="11">
        <v>1</v>
      </c>
      <c r="L199" s="11">
        <v>9</v>
      </c>
      <c r="M199" s="11">
        <v>3</v>
      </c>
      <c r="N199" s="6" t="s">
        <v>482</v>
      </c>
      <c r="O199" s="7">
        <v>31.6</v>
      </c>
      <c r="P199" s="7">
        <v>24.8</v>
      </c>
      <c r="Q199" s="7">
        <v>9.4</v>
      </c>
      <c r="R199" s="4">
        <v>335</v>
      </c>
      <c r="S199" s="4">
        <f t="shared" si="13"/>
        <v>0.33500000000000002</v>
      </c>
      <c r="T199" s="4">
        <f t="shared" si="14"/>
        <v>3.1803797468354433E-2</v>
      </c>
      <c r="V199" s="4" t="s">
        <v>527</v>
      </c>
      <c r="W199" s="4" t="s">
        <v>218</v>
      </c>
      <c r="X199" s="4" t="s">
        <v>218</v>
      </c>
      <c r="Y199" s="4" t="s">
        <v>578</v>
      </c>
      <c r="Z199" s="4" t="s">
        <v>218</v>
      </c>
      <c r="AA199" s="4" t="s">
        <v>578</v>
      </c>
      <c r="AB199" s="20">
        <v>1.1106</v>
      </c>
      <c r="AC199" s="20">
        <v>1.1183000000000001</v>
      </c>
      <c r="AD199" s="19">
        <f t="shared" si="9"/>
        <v>7.7000000000000401</v>
      </c>
      <c r="AE199" s="19">
        <v>484136</v>
      </c>
      <c r="AF199" s="19">
        <v>473701</v>
      </c>
      <c r="AG199" s="19">
        <v>50968</v>
      </c>
      <c r="AH199" s="19">
        <f t="shared" si="7"/>
        <v>336268.33333333331</v>
      </c>
      <c r="AI199" s="19">
        <f t="shared" si="10"/>
        <v>43671.212121211895</v>
      </c>
    </row>
    <row r="200" spans="1:35">
      <c r="A200" s="4" t="s">
        <v>219</v>
      </c>
      <c r="B200" s="9" t="s">
        <v>494</v>
      </c>
      <c r="C200" s="5" t="s">
        <v>474</v>
      </c>
      <c r="D200" s="5" t="s">
        <v>475</v>
      </c>
      <c r="E200" s="5" t="s">
        <v>495</v>
      </c>
      <c r="F200" s="12" t="s">
        <v>474</v>
      </c>
      <c r="G200" s="12" t="s">
        <v>486</v>
      </c>
      <c r="H200" s="12" t="s">
        <v>462</v>
      </c>
      <c r="I200" s="8">
        <v>45245</v>
      </c>
      <c r="J200" s="10" t="s">
        <v>477</v>
      </c>
      <c r="K200" s="11">
        <v>1</v>
      </c>
      <c r="L200" s="11">
        <v>9</v>
      </c>
      <c r="M200" s="11">
        <v>3</v>
      </c>
      <c r="N200" s="6" t="s">
        <v>480</v>
      </c>
      <c r="O200" s="7">
        <v>28.9</v>
      </c>
      <c r="P200" s="7">
        <v>23</v>
      </c>
      <c r="Q200" s="7">
        <v>7.5</v>
      </c>
      <c r="R200" s="4">
        <v>281</v>
      </c>
      <c r="S200" s="4">
        <f t="shared" si="13"/>
        <v>0.28100000000000003</v>
      </c>
      <c r="T200" s="4">
        <f t="shared" si="14"/>
        <v>2.9169550173010386E-2</v>
      </c>
      <c r="V200" s="4" t="s">
        <v>527</v>
      </c>
      <c r="W200" s="4" t="s">
        <v>219</v>
      </c>
      <c r="X200" s="4" t="s">
        <v>219</v>
      </c>
      <c r="Y200" s="4" t="s">
        <v>579</v>
      </c>
      <c r="Z200" s="4" t="s">
        <v>219</v>
      </c>
      <c r="AA200" s="4" t="s">
        <v>579</v>
      </c>
      <c r="AB200" s="20">
        <v>0.89959999999999996</v>
      </c>
      <c r="AC200" s="20">
        <v>0.90839999999999999</v>
      </c>
      <c r="AD200" s="19">
        <f t="shared" si="9"/>
        <v>8.8000000000000291</v>
      </c>
      <c r="AE200" s="19">
        <v>747847</v>
      </c>
      <c r="AF200" s="19">
        <v>832798</v>
      </c>
      <c r="AG200" s="19">
        <v>841937</v>
      </c>
      <c r="AH200" s="19">
        <f t="shared" si="7"/>
        <v>807527.33333333337</v>
      </c>
      <c r="AI200" s="19">
        <f t="shared" si="10"/>
        <v>91764.46969696939</v>
      </c>
    </row>
    <row r="201" spans="1:35">
      <c r="A201" s="4" t="s">
        <v>220</v>
      </c>
      <c r="B201" s="9" t="s">
        <v>494</v>
      </c>
      <c r="C201" s="5" t="s">
        <v>474</v>
      </c>
      <c r="D201" s="5" t="s">
        <v>475</v>
      </c>
      <c r="E201" s="5" t="s">
        <v>495</v>
      </c>
      <c r="F201" s="12" t="s">
        <v>474</v>
      </c>
      <c r="G201" s="12" t="s">
        <v>486</v>
      </c>
      <c r="H201" s="12" t="s">
        <v>462</v>
      </c>
      <c r="I201" s="8">
        <v>45245</v>
      </c>
      <c r="J201" s="10" t="s">
        <v>477</v>
      </c>
      <c r="K201" s="11">
        <v>1</v>
      </c>
      <c r="L201" s="11">
        <v>9</v>
      </c>
      <c r="M201" s="11">
        <v>3</v>
      </c>
      <c r="N201" s="6" t="s">
        <v>482</v>
      </c>
      <c r="O201" s="7">
        <v>24.3</v>
      </c>
      <c r="P201" s="7">
        <v>19.3</v>
      </c>
      <c r="Q201" s="7">
        <v>5.8</v>
      </c>
      <c r="R201" s="4">
        <v>122</v>
      </c>
      <c r="S201" s="4">
        <f t="shared" si="13"/>
        <v>0.122</v>
      </c>
      <c r="T201" s="4">
        <f t="shared" si="14"/>
        <v>1.5061728395061726E-2</v>
      </c>
      <c r="V201" s="4" t="s">
        <v>527</v>
      </c>
      <c r="W201" s="4" t="s">
        <v>220</v>
      </c>
      <c r="X201" s="4" t="s">
        <v>220</v>
      </c>
      <c r="Y201" s="4" t="s">
        <v>580</v>
      </c>
      <c r="Z201" s="4" t="s">
        <v>220</v>
      </c>
      <c r="AA201" s="4" t="s">
        <v>580</v>
      </c>
      <c r="AB201" s="20">
        <v>0.91310000000000002</v>
      </c>
      <c r="AC201" s="20">
        <v>0.9153</v>
      </c>
      <c r="AD201" s="19">
        <f t="shared" si="9"/>
        <v>2.1999999999999797</v>
      </c>
      <c r="AE201" s="19">
        <v>211061</v>
      </c>
      <c r="AF201" s="19">
        <v>266931</v>
      </c>
      <c r="AG201" s="19">
        <v>185551</v>
      </c>
      <c r="AH201" s="19">
        <f t="shared" si="7"/>
        <v>221181</v>
      </c>
      <c r="AI201" s="19">
        <f t="shared" si="10"/>
        <v>100536.81818181911</v>
      </c>
    </row>
    <row r="202" spans="1:35">
      <c r="A202" s="4" t="s">
        <v>221</v>
      </c>
      <c r="B202" s="9" t="s">
        <v>494</v>
      </c>
      <c r="C202" s="5" t="s">
        <v>474</v>
      </c>
      <c r="D202" s="5" t="s">
        <v>475</v>
      </c>
      <c r="E202" s="5" t="s">
        <v>495</v>
      </c>
      <c r="F202" s="12" t="s">
        <v>474</v>
      </c>
      <c r="G202" s="12" t="s">
        <v>486</v>
      </c>
      <c r="H202" s="12" t="s">
        <v>462</v>
      </c>
      <c r="I202" s="8">
        <v>45245</v>
      </c>
      <c r="J202" s="10" t="s">
        <v>477</v>
      </c>
      <c r="K202" s="11">
        <v>1</v>
      </c>
      <c r="L202" s="11">
        <v>9</v>
      </c>
      <c r="M202" s="11">
        <v>3</v>
      </c>
      <c r="N202" s="6" t="s">
        <v>482</v>
      </c>
      <c r="O202" s="7">
        <v>35.5</v>
      </c>
      <c r="P202" s="7">
        <v>27.3</v>
      </c>
      <c r="Q202" s="7">
        <v>8.5</v>
      </c>
      <c r="R202" s="4">
        <v>415</v>
      </c>
      <c r="S202" s="4">
        <f t="shared" si="13"/>
        <v>0.41499999999999998</v>
      </c>
      <c r="T202" s="4">
        <f t="shared" si="14"/>
        <v>3.5070422535211268E-2</v>
      </c>
      <c r="V202" s="4" t="s">
        <v>527</v>
      </c>
      <c r="W202" s="4" t="s">
        <v>221</v>
      </c>
      <c r="X202" s="4" t="s">
        <v>221</v>
      </c>
      <c r="Y202" s="4" t="s">
        <v>581</v>
      </c>
      <c r="Z202" s="4" t="s">
        <v>221</v>
      </c>
      <c r="AA202" s="4" t="s">
        <v>581</v>
      </c>
      <c r="AB202" s="20">
        <v>1.1022000000000001</v>
      </c>
      <c r="AC202" s="20">
        <v>1.1129</v>
      </c>
      <c r="AD202" s="19">
        <f t="shared" si="9"/>
        <v>10.699999999999932</v>
      </c>
      <c r="AE202" s="19">
        <v>546217</v>
      </c>
      <c r="AF202" s="19">
        <v>567141</v>
      </c>
      <c r="AG202" s="19">
        <v>511162</v>
      </c>
      <c r="AH202" s="19">
        <f t="shared" si="7"/>
        <v>541506.66666666663</v>
      </c>
      <c r="AI202" s="19">
        <f t="shared" si="10"/>
        <v>50608.099688473842</v>
      </c>
    </row>
    <row r="203" spans="1:35">
      <c r="A203" s="4" t="s">
        <v>222</v>
      </c>
      <c r="B203" s="9" t="s">
        <v>494</v>
      </c>
      <c r="C203" s="5" t="s">
        <v>474</v>
      </c>
      <c r="D203" s="5" t="s">
        <v>475</v>
      </c>
      <c r="E203" s="5" t="s">
        <v>495</v>
      </c>
      <c r="F203" s="12" t="s">
        <v>474</v>
      </c>
      <c r="G203" s="12" t="s">
        <v>486</v>
      </c>
      <c r="H203" s="12" t="s">
        <v>462</v>
      </c>
      <c r="I203" s="8">
        <v>45245</v>
      </c>
      <c r="J203" s="10" t="s">
        <v>477</v>
      </c>
      <c r="K203" s="11">
        <v>1</v>
      </c>
      <c r="L203" s="11">
        <v>9</v>
      </c>
      <c r="M203" s="11">
        <v>3</v>
      </c>
      <c r="N203" s="6" t="s">
        <v>482</v>
      </c>
      <c r="O203" s="7">
        <v>28.4</v>
      </c>
      <c r="P203" s="7">
        <v>21</v>
      </c>
      <c r="Q203" s="7">
        <v>6.3</v>
      </c>
      <c r="R203" s="4">
        <v>143</v>
      </c>
      <c r="S203" s="4">
        <f t="shared" si="13"/>
        <v>0.14299999999999999</v>
      </c>
      <c r="T203" s="4">
        <f t="shared" si="14"/>
        <v>1.51056338028169E-2</v>
      </c>
      <c r="V203" s="4" t="s">
        <v>527</v>
      </c>
      <c r="W203" s="4" t="s">
        <v>222</v>
      </c>
      <c r="X203" s="4" t="s">
        <v>222</v>
      </c>
      <c r="Y203" s="4" t="s">
        <v>582</v>
      </c>
      <c r="Z203" s="4" t="s">
        <v>222</v>
      </c>
      <c r="AA203" s="4" t="s">
        <v>582</v>
      </c>
      <c r="AB203" s="20">
        <v>1.1003000000000001</v>
      </c>
      <c r="AC203" s="20">
        <v>1.1067</v>
      </c>
      <c r="AD203" s="19">
        <f t="shared" si="9"/>
        <v>6.3999999999999613</v>
      </c>
      <c r="AE203" s="19">
        <v>301065</v>
      </c>
      <c r="AF203" s="19">
        <v>390338</v>
      </c>
      <c r="AG203" s="19">
        <v>285333</v>
      </c>
      <c r="AH203" s="19">
        <f t="shared" si="7"/>
        <v>325578.66666666669</v>
      </c>
      <c r="AI203" s="19">
        <f t="shared" si="10"/>
        <v>50871.666666666977</v>
      </c>
    </row>
    <row r="204" spans="1:35">
      <c r="A204" s="4" t="s">
        <v>223</v>
      </c>
      <c r="B204" s="9" t="s">
        <v>494</v>
      </c>
      <c r="C204" s="5" t="s">
        <v>474</v>
      </c>
      <c r="D204" s="5" t="s">
        <v>475</v>
      </c>
      <c r="E204" s="5" t="s">
        <v>495</v>
      </c>
      <c r="F204" s="12" t="s">
        <v>474</v>
      </c>
      <c r="G204" s="12" t="s">
        <v>486</v>
      </c>
      <c r="H204" s="12" t="s">
        <v>462</v>
      </c>
      <c r="I204" s="8">
        <v>45245</v>
      </c>
      <c r="J204" s="10" t="s">
        <v>477</v>
      </c>
      <c r="K204" s="11">
        <v>1</v>
      </c>
      <c r="L204" s="11">
        <v>9</v>
      </c>
      <c r="M204" s="11">
        <v>3</v>
      </c>
      <c r="N204" s="6" t="s">
        <v>479</v>
      </c>
      <c r="O204" s="7">
        <v>32.6</v>
      </c>
      <c r="P204" s="7">
        <v>24.8</v>
      </c>
      <c r="Q204" s="7">
        <v>7.4</v>
      </c>
      <c r="R204" s="4">
        <v>239</v>
      </c>
      <c r="S204" s="4">
        <f t="shared" si="13"/>
        <v>0.23899999999999999</v>
      </c>
      <c r="T204" s="4">
        <f t="shared" si="14"/>
        <v>2.1993865030674846E-2</v>
      </c>
      <c r="V204" s="4" t="s">
        <v>527</v>
      </c>
      <c r="W204" s="4" t="s">
        <v>223</v>
      </c>
      <c r="X204" s="4" t="s">
        <v>223</v>
      </c>
      <c r="Y204" s="4" t="s">
        <v>583</v>
      </c>
      <c r="Z204" s="4" t="s">
        <v>223</v>
      </c>
      <c r="AA204" s="4" t="s">
        <v>583</v>
      </c>
      <c r="AB204" s="20">
        <v>0.93400000000000005</v>
      </c>
      <c r="AC204" s="20">
        <v>0.93769999999999998</v>
      </c>
      <c r="AD204" s="19">
        <f t="shared" si="9"/>
        <v>3.6999999999999256</v>
      </c>
      <c r="AE204" s="19">
        <v>295814</v>
      </c>
      <c r="AF204" s="19">
        <v>411775</v>
      </c>
      <c r="AG204" s="19">
        <v>336074</v>
      </c>
      <c r="AH204" s="19">
        <f t="shared" si="7"/>
        <v>347887.66666666669</v>
      </c>
      <c r="AI204" s="19">
        <f t="shared" si="10"/>
        <v>94023.69369369559</v>
      </c>
    </row>
    <row r="205" spans="1:35">
      <c r="A205" s="4" t="s">
        <v>224</v>
      </c>
      <c r="B205" s="9" t="s">
        <v>494</v>
      </c>
      <c r="C205" s="5" t="s">
        <v>474</v>
      </c>
      <c r="D205" s="5" t="s">
        <v>475</v>
      </c>
      <c r="E205" s="5" t="s">
        <v>495</v>
      </c>
      <c r="F205" s="12" t="s">
        <v>474</v>
      </c>
      <c r="G205" s="12" t="s">
        <v>486</v>
      </c>
      <c r="H205" s="12" t="s">
        <v>462</v>
      </c>
      <c r="I205" s="8">
        <v>45245</v>
      </c>
      <c r="J205" s="10" t="s">
        <v>477</v>
      </c>
      <c r="K205" s="11">
        <v>1</v>
      </c>
      <c r="L205" s="11">
        <v>9</v>
      </c>
      <c r="M205" s="11">
        <v>3</v>
      </c>
      <c r="N205" s="6" t="s">
        <v>482</v>
      </c>
      <c r="O205" s="7">
        <v>26.5</v>
      </c>
      <c r="P205" s="7">
        <v>22.9</v>
      </c>
      <c r="Q205" s="7">
        <v>7.5</v>
      </c>
      <c r="R205" s="4">
        <v>208</v>
      </c>
      <c r="S205" s="4">
        <f t="shared" si="13"/>
        <v>0.20799999999999999</v>
      </c>
      <c r="T205" s="4">
        <f t="shared" si="14"/>
        <v>2.3547169811320753E-2</v>
      </c>
      <c r="V205" s="4" t="s">
        <v>527</v>
      </c>
      <c r="W205" s="4" t="s">
        <v>224</v>
      </c>
      <c r="X205" s="4" t="s">
        <v>224</v>
      </c>
      <c r="Y205" s="4" t="s">
        <v>584</v>
      </c>
      <c r="Z205" s="4" t="s">
        <v>224</v>
      </c>
      <c r="AA205" s="4" t="s">
        <v>584</v>
      </c>
      <c r="AB205" s="20">
        <v>0.91959999999999997</v>
      </c>
      <c r="AC205" s="20">
        <v>0.92320000000000002</v>
      </c>
      <c r="AD205" s="19">
        <f t="shared" si="9"/>
        <v>3.6000000000000476</v>
      </c>
      <c r="AE205" s="19">
        <v>259969</v>
      </c>
      <c r="AF205" s="19">
        <v>306362</v>
      </c>
      <c r="AG205" s="19">
        <v>290628</v>
      </c>
      <c r="AH205" s="19">
        <f t="shared" si="7"/>
        <v>285653</v>
      </c>
      <c r="AI205" s="19">
        <f t="shared" si="10"/>
        <v>79348.0555555545</v>
      </c>
    </row>
    <row r="206" spans="1:35">
      <c r="A206" s="4" t="s">
        <v>225</v>
      </c>
      <c r="B206" s="9" t="s">
        <v>494</v>
      </c>
      <c r="C206" s="5" t="s">
        <v>474</v>
      </c>
      <c r="D206" s="5" t="s">
        <v>475</v>
      </c>
      <c r="E206" s="5" t="s">
        <v>495</v>
      </c>
      <c r="F206" s="12" t="s">
        <v>474</v>
      </c>
      <c r="G206" s="12" t="s">
        <v>486</v>
      </c>
      <c r="H206" s="12" t="s">
        <v>462</v>
      </c>
      <c r="I206" s="8">
        <v>45245</v>
      </c>
      <c r="J206" s="10" t="s">
        <v>477</v>
      </c>
      <c r="K206" s="11">
        <v>1</v>
      </c>
      <c r="L206" s="11">
        <v>9</v>
      </c>
      <c r="M206" s="11">
        <v>3</v>
      </c>
      <c r="N206" s="6" t="s">
        <v>482</v>
      </c>
      <c r="O206" s="7">
        <v>30.2</v>
      </c>
      <c r="P206" s="7">
        <v>23.5</v>
      </c>
      <c r="Q206" s="7">
        <v>7.4</v>
      </c>
      <c r="R206" s="4">
        <v>225</v>
      </c>
      <c r="S206" s="4">
        <f t="shared" si="13"/>
        <v>0.22500000000000001</v>
      </c>
      <c r="T206" s="4">
        <f t="shared" si="14"/>
        <v>2.2350993377483447E-2</v>
      </c>
      <c r="V206" s="4" t="s">
        <v>527</v>
      </c>
      <c r="W206" s="4" t="s">
        <v>225</v>
      </c>
      <c r="X206" s="4" t="s">
        <v>225</v>
      </c>
      <c r="Y206" s="4" t="s">
        <v>585</v>
      </c>
      <c r="Z206" s="4" t="s">
        <v>225</v>
      </c>
      <c r="AA206" s="4" t="s">
        <v>585</v>
      </c>
      <c r="AB206" s="20">
        <v>0.93269999999999997</v>
      </c>
      <c r="AC206" s="20">
        <v>0.93730000000000002</v>
      </c>
      <c r="AD206" s="19">
        <f t="shared" si="9"/>
        <v>4.6000000000000485</v>
      </c>
      <c r="AE206" s="19">
        <v>702042</v>
      </c>
      <c r="AF206" s="19">
        <v>675830</v>
      </c>
      <c r="AG206" s="19">
        <v>701219</v>
      </c>
      <c r="AH206" s="19">
        <f t="shared" si="7"/>
        <v>693030.33333333337</v>
      </c>
      <c r="AI206" s="19">
        <f t="shared" si="10"/>
        <v>150658.76811594045</v>
      </c>
    </row>
    <row r="207" spans="1:35">
      <c r="A207" s="4" t="s">
        <v>226</v>
      </c>
      <c r="B207" s="9" t="s">
        <v>494</v>
      </c>
      <c r="C207" s="5" t="s">
        <v>474</v>
      </c>
      <c r="D207" s="5" t="s">
        <v>475</v>
      </c>
      <c r="E207" s="5" t="s">
        <v>495</v>
      </c>
      <c r="F207" s="12" t="s">
        <v>474</v>
      </c>
      <c r="G207" s="12" t="s">
        <v>486</v>
      </c>
      <c r="H207" s="12" t="s">
        <v>462</v>
      </c>
      <c r="I207" s="8">
        <v>45245</v>
      </c>
      <c r="J207" s="10" t="s">
        <v>477</v>
      </c>
      <c r="K207" s="11">
        <v>1</v>
      </c>
      <c r="L207" s="11">
        <v>9</v>
      </c>
      <c r="M207" s="11">
        <v>3</v>
      </c>
      <c r="N207" s="6" t="s">
        <v>482</v>
      </c>
      <c r="O207" s="7">
        <v>35.9</v>
      </c>
      <c r="P207" s="7">
        <v>27.7</v>
      </c>
      <c r="Q207" s="7">
        <v>9.1999999999999993</v>
      </c>
      <c r="R207" s="4">
        <v>351</v>
      </c>
      <c r="S207" s="4">
        <f t="shared" si="13"/>
        <v>0.35099999999999998</v>
      </c>
      <c r="T207" s="4">
        <f t="shared" si="14"/>
        <v>2.9331476323119776E-2</v>
      </c>
      <c r="V207" s="4" t="s">
        <v>527</v>
      </c>
      <c r="W207" s="4" t="s">
        <v>226</v>
      </c>
      <c r="X207" s="4" t="s">
        <v>226</v>
      </c>
      <c r="Y207" s="4" t="s">
        <v>586</v>
      </c>
      <c r="Z207" s="4" t="s">
        <v>226</v>
      </c>
      <c r="AA207" s="4" t="s">
        <v>586</v>
      </c>
      <c r="AB207" s="20">
        <v>0.92949999999999999</v>
      </c>
      <c r="AC207" s="20">
        <v>0.93740000000000001</v>
      </c>
      <c r="AD207" s="19">
        <f t="shared" si="9"/>
        <v>7.9000000000000181</v>
      </c>
      <c r="AE207" s="19">
        <v>240711</v>
      </c>
      <c r="AF207" s="19">
        <v>295005</v>
      </c>
      <c r="AG207" s="19">
        <v>320441</v>
      </c>
      <c r="AH207" s="19">
        <f t="shared" si="7"/>
        <v>285385.66666666669</v>
      </c>
      <c r="AI207" s="19">
        <f t="shared" si="10"/>
        <v>36124.767932489369</v>
      </c>
    </row>
    <row r="208" spans="1:35">
      <c r="A208" s="4" t="s">
        <v>496</v>
      </c>
      <c r="B208" s="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6"/>
      <c r="O208" s="7"/>
      <c r="P208" s="7"/>
      <c r="Q208" s="7"/>
      <c r="R208" s="7"/>
      <c r="S208" s="7"/>
      <c r="T208" s="4" t="e">
        <f t="shared" si="14"/>
        <v>#DIV/0!</v>
      </c>
      <c r="U208" s="7"/>
      <c r="V208" s="7"/>
      <c r="W208" s="7"/>
      <c r="X208" s="7"/>
      <c r="Y208" s="4" t="s">
        <v>587</v>
      </c>
      <c r="Z208" s="7"/>
      <c r="AA208" s="4" t="s">
        <v>587</v>
      </c>
      <c r="AB208" s="21">
        <v>0.92500000000000004</v>
      </c>
      <c r="AC208" s="20"/>
      <c r="AD208" s="20"/>
      <c r="AE208" s="20"/>
      <c r="AF208" s="20"/>
      <c r="AG208" s="20"/>
      <c r="AH208" s="20"/>
      <c r="AI208" s="20"/>
    </row>
    <row r="209" spans="1:35">
      <c r="A209" s="4" t="s">
        <v>227</v>
      </c>
      <c r="B209" s="9" t="s">
        <v>494</v>
      </c>
      <c r="C209" s="5" t="s">
        <v>474</v>
      </c>
      <c r="D209" s="5" t="s">
        <v>475</v>
      </c>
      <c r="E209" s="5" t="s">
        <v>495</v>
      </c>
      <c r="F209" s="12" t="s">
        <v>474</v>
      </c>
      <c r="G209" s="12" t="s">
        <v>486</v>
      </c>
      <c r="H209" s="12" t="s">
        <v>462</v>
      </c>
      <c r="I209" s="8">
        <v>45245</v>
      </c>
      <c r="J209" s="10" t="s">
        <v>477</v>
      </c>
      <c r="K209" s="11">
        <v>1</v>
      </c>
      <c r="L209" s="11">
        <v>9</v>
      </c>
      <c r="M209" s="11">
        <v>3</v>
      </c>
      <c r="N209" s="6" t="s">
        <v>479</v>
      </c>
      <c r="O209" s="7">
        <v>27.2</v>
      </c>
      <c r="P209" s="7">
        <v>21.8</v>
      </c>
      <c r="Q209" s="7">
        <v>5.8</v>
      </c>
      <c r="R209" s="4">
        <v>155</v>
      </c>
      <c r="S209" s="4">
        <f t="shared" si="13"/>
        <v>0.155</v>
      </c>
      <c r="T209" s="4">
        <f t="shared" si="14"/>
        <v>1.7095588235294116E-2</v>
      </c>
      <c r="V209" s="4" t="s">
        <v>527</v>
      </c>
      <c r="W209" s="4" t="s">
        <v>227</v>
      </c>
      <c r="X209" s="4" t="s">
        <v>227</v>
      </c>
      <c r="Y209" s="4" t="s">
        <v>588</v>
      </c>
      <c r="Z209" s="4" t="s">
        <v>227</v>
      </c>
      <c r="AA209" s="4" t="s">
        <v>588</v>
      </c>
      <c r="AB209" s="20">
        <v>0.93279999999999996</v>
      </c>
      <c r="AC209" s="20">
        <v>0.93600000000000005</v>
      </c>
      <c r="AD209" s="19">
        <f t="shared" ref="AD209:AD339" si="15">(AC209-AB209)*1000</f>
        <v>3.2000000000000917</v>
      </c>
      <c r="AE209" s="19">
        <v>286316</v>
      </c>
      <c r="AF209" s="19">
        <v>343977</v>
      </c>
      <c r="AG209" s="19">
        <v>329097</v>
      </c>
      <c r="AH209" s="19">
        <f t="shared" ref="AH209:AH339" si="16">AVERAGE(AE209:AG209)</f>
        <v>319796.66666666669</v>
      </c>
      <c r="AI209" s="19">
        <f t="shared" ref="AI209:AI339" si="17">(AVERAGE(AE209:AG209))/AD209</f>
        <v>99936.458333330476</v>
      </c>
    </row>
    <row r="210" spans="1:35">
      <c r="A210" s="4" t="s">
        <v>228</v>
      </c>
      <c r="B210" s="9" t="s">
        <v>494</v>
      </c>
      <c r="C210" s="5" t="s">
        <v>474</v>
      </c>
      <c r="D210" s="5" t="s">
        <v>475</v>
      </c>
      <c r="E210" s="5" t="s">
        <v>495</v>
      </c>
      <c r="F210" s="12" t="s">
        <v>474</v>
      </c>
      <c r="G210" s="12" t="s">
        <v>486</v>
      </c>
      <c r="H210" s="12" t="s">
        <v>462</v>
      </c>
      <c r="I210" s="8">
        <v>45245</v>
      </c>
      <c r="J210" s="10" t="s">
        <v>477</v>
      </c>
      <c r="K210" s="11">
        <v>1</v>
      </c>
      <c r="L210" s="11">
        <v>9</v>
      </c>
      <c r="M210" s="11">
        <v>3</v>
      </c>
      <c r="N210" s="6" t="s">
        <v>560</v>
      </c>
      <c r="O210" s="7">
        <v>27.5</v>
      </c>
      <c r="P210" s="7">
        <v>21.7</v>
      </c>
      <c r="Q210" s="7">
        <v>6.1</v>
      </c>
      <c r="R210" s="4">
        <v>173</v>
      </c>
      <c r="S210" s="4">
        <f t="shared" si="13"/>
        <v>0.17299999999999999</v>
      </c>
      <c r="T210" s="4">
        <f t="shared" si="14"/>
        <v>1.887272727272727E-2</v>
      </c>
      <c r="V210" s="4" t="s">
        <v>527</v>
      </c>
      <c r="W210" s="4" t="s">
        <v>228</v>
      </c>
      <c r="X210" s="4" t="s">
        <v>228</v>
      </c>
      <c r="Y210" s="4" t="s">
        <v>589</v>
      </c>
      <c r="Z210" s="4" t="s">
        <v>228</v>
      </c>
      <c r="AA210" s="4" t="s">
        <v>589</v>
      </c>
      <c r="AB210" s="20">
        <v>1.1354</v>
      </c>
      <c r="AC210" s="20">
        <v>1.1400999999999999</v>
      </c>
      <c r="AD210" s="19">
        <f t="shared" si="15"/>
        <v>4.6999999999999265</v>
      </c>
      <c r="AE210" s="19">
        <v>226740</v>
      </c>
      <c r="AF210" s="19">
        <v>254698</v>
      </c>
      <c r="AG210" s="19">
        <v>231048</v>
      </c>
      <c r="AH210" s="19">
        <f t="shared" si="16"/>
        <v>237495.33333333334</v>
      </c>
      <c r="AI210" s="19">
        <f t="shared" si="17"/>
        <v>50530.921985816392</v>
      </c>
    </row>
    <row r="211" spans="1:35">
      <c r="A211" s="4" t="s">
        <v>229</v>
      </c>
      <c r="B211" s="9" t="s">
        <v>494</v>
      </c>
      <c r="C211" s="5" t="s">
        <v>474</v>
      </c>
      <c r="D211" s="5" t="s">
        <v>475</v>
      </c>
      <c r="E211" s="5" t="s">
        <v>495</v>
      </c>
      <c r="F211" s="12" t="s">
        <v>474</v>
      </c>
      <c r="G211" s="12" t="s">
        <v>486</v>
      </c>
      <c r="H211" s="12" t="s">
        <v>462</v>
      </c>
      <c r="I211" s="8">
        <v>45245</v>
      </c>
      <c r="J211" s="10" t="s">
        <v>477</v>
      </c>
      <c r="K211" s="11">
        <v>1</v>
      </c>
      <c r="L211" s="11">
        <v>9</v>
      </c>
      <c r="M211" s="11">
        <v>3</v>
      </c>
      <c r="N211" s="6" t="s">
        <v>230</v>
      </c>
      <c r="O211" s="7">
        <v>34</v>
      </c>
      <c r="P211" s="7">
        <v>23.6</v>
      </c>
      <c r="Q211" s="7">
        <v>6.3</v>
      </c>
      <c r="R211" s="4">
        <v>290</v>
      </c>
      <c r="S211" s="13">
        <f t="shared" si="13"/>
        <v>0.28999999999999998</v>
      </c>
      <c r="T211" s="4">
        <f t="shared" si="14"/>
        <v>2.5588235294117648E-2</v>
      </c>
      <c r="V211" s="4" t="s">
        <v>527</v>
      </c>
      <c r="W211" s="4" t="s">
        <v>229</v>
      </c>
      <c r="X211" s="4" t="s">
        <v>229</v>
      </c>
      <c r="Y211" s="4" t="s">
        <v>590</v>
      </c>
      <c r="Z211" s="4" t="s">
        <v>229</v>
      </c>
      <c r="AA211" s="4" t="s">
        <v>590</v>
      </c>
      <c r="AB211" s="20">
        <v>1.1025</v>
      </c>
      <c r="AC211" s="20">
        <v>1.1079000000000001</v>
      </c>
      <c r="AD211" s="19">
        <f t="shared" si="15"/>
        <v>5.4000000000000714</v>
      </c>
      <c r="AE211" s="19">
        <v>306339</v>
      </c>
      <c r="AF211" s="19">
        <v>368485</v>
      </c>
      <c r="AG211" s="19">
        <v>368485</v>
      </c>
      <c r="AH211" s="19">
        <f t="shared" si="16"/>
        <v>347769.66666666669</v>
      </c>
      <c r="AI211" s="19">
        <f t="shared" si="17"/>
        <v>64401.790123455939</v>
      </c>
    </row>
    <row r="212" spans="1:35">
      <c r="A212" s="4" t="s">
        <v>231</v>
      </c>
      <c r="B212" s="9" t="s">
        <v>494</v>
      </c>
      <c r="C212" s="5" t="s">
        <v>474</v>
      </c>
      <c r="D212" s="5" t="s">
        <v>475</v>
      </c>
      <c r="E212" s="5" t="s">
        <v>495</v>
      </c>
      <c r="F212" s="12" t="s">
        <v>474</v>
      </c>
      <c r="G212" s="12" t="s">
        <v>486</v>
      </c>
      <c r="H212" s="12" t="s">
        <v>462</v>
      </c>
      <c r="I212" s="8">
        <v>45245</v>
      </c>
      <c r="J212" s="10" t="s">
        <v>477</v>
      </c>
      <c r="K212" s="11">
        <v>1</v>
      </c>
      <c r="L212" s="11">
        <v>9</v>
      </c>
      <c r="M212" s="11">
        <v>3</v>
      </c>
      <c r="N212" s="6" t="s">
        <v>482</v>
      </c>
      <c r="O212" s="7">
        <v>29.7</v>
      </c>
      <c r="P212" s="7">
        <v>23</v>
      </c>
      <c r="Q212" s="7">
        <v>6.9</v>
      </c>
      <c r="R212" s="4">
        <v>224</v>
      </c>
      <c r="S212" s="4">
        <f t="shared" si="13"/>
        <v>0.224</v>
      </c>
      <c r="T212" s="4">
        <f t="shared" si="14"/>
        <v>2.2626262626262626E-2</v>
      </c>
      <c r="V212" s="4" t="s">
        <v>527</v>
      </c>
      <c r="W212" s="4" t="s">
        <v>231</v>
      </c>
      <c r="X212" s="4" t="s">
        <v>231</v>
      </c>
      <c r="Y212" s="4" t="s">
        <v>591</v>
      </c>
      <c r="Z212" s="4" t="s">
        <v>231</v>
      </c>
      <c r="AA212" s="4" t="s">
        <v>591</v>
      </c>
      <c r="AB212" s="20">
        <v>0.93130000000000002</v>
      </c>
      <c r="AC212" s="20">
        <v>0.93669999999999998</v>
      </c>
      <c r="AD212" s="19">
        <f t="shared" si="15"/>
        <v>5.3999999999999604</v>
      </c>
      <c r="AE212" s="19">
        <v>314217</v>
      </c>
      <c r="AF212" s="19">
        <v>328222</v>
      </c>
      <c r="AG212" s="19">
        <v>306339</v>
      </c>
      <c r="AH212" s="19">
        <f t="shared" si="16"/>
        <v>316259.33333333331</v>
      </c>
      <c r="AI212" s="19">
        <f t="shared" si="17"/>
        <v>58566.543209876967</v>
      </c>
    </row>
    <row r="213" spans="1:35">
      <c r="A213" s="4" t="s">
        <v>232</v>
      </c>
      <c r="B213" s="9" t="s">
        <v>494</v>
      </c>
      <c r="C213" s="5" t="s">
        <v>474</v>
      </c>
      <c r="D213" s="5" t="s">
        <v>475</v>
      </c>
      <c r="E213" s="5" t="s">
        <v>495</v>
      </c>
      <c r="F213" s="12" t="s">
        <v>474</v>
      </c>
      <c r="G213" s="12" t="s">
        <v>486</v>
      </c>
      <c r="H213" s="12" t="s">
        <v>462</v>
      </c>
      <c r="I213" s="8">
        <v>45245</v>
      </c>
      <c r="J213" s="10" t="s">
        <v>477</v>
      </c>
      <c r="K213" s="11">
        <v>1</v>
      </c>
      <c r="L213" s="11">
        <v>9</v>
      </c>
      <c r="M213" s="11">
        <v>3</v>
      </c>
      <c r="N213" s="6" t="s">
        <v>482</v>
      </c>
      <c r="O213" s="7">
        <v>27.7</v>
      </c>
      <c r="P213" s="7">
        <v>21.2</v>
      </c>
      <c r="Q213" s="7">
        <v>6.2</v>
      </c>
      <c r="R213" s="4">
        <v>171</v>
      </c>
      <c r="S213" s="4">
        <f t="shared" si="13"/>
        <v>0.17100000000000001</v>
      </c>
      <c r="T213" s="4">
        <f t="shared" si="14"/>
        <v>1.8519855595667871E-2</v>
      </c>
      <c r="V213" s="4" t="s">
        <v>527</v>
      </c>
      <c r="W213" s="4" t="s">
        <v>232</v>
      </c>
      <c r="X213" s="4" t="s">
        <v>232</v>
      </c>
      <c r="Y213" s="4" t="s">
        <v>592</v>
      </c>
      <c r="Z213" s="4" t="s">
        <v>232</v>
      </c>
      <c r="AA213" s="4" t="s">
        <v>592</v>
      </c>
      <c r="AB213" s="20">
        <v>0.93049999999999999</v>
      </c>
      <c r="AC213" s="20">
        <v>0.93779999999999997</v>
      </c>
      <c r="AD213" s="19">
        <f t="shared" si="15"/>
        <v>7.2999999999999732</v>
      </c>
      <c r="AE213" s="19">
        <v>470057</v>
      </c>
      <c r="AF213" s="19">
        <v>512114</v>
      </c>
      <c r="AG213" s="19">
        <v>464840</v>
      </c>
      <c r="AH213" s="19">
        <f t="shared" si="16"/>
        <v>482337</v>
      </c>
      <c r="AI213" s="19">
        <f t="shared" si="17"/>
        <v>66073.561643835856</v>
      </c>
    </row>
    <row r="214" spans="1:35">
      <c r="A214" s="4" t="s">
        <v>233</v>
      </c>
      <c r="B214" s="9" t="s">
        <v>494</v>
      </c>
      <c r="C214" s="5" t="s">
        <v>474</v>
      </c>
      <c r="D214" s="5" t="s">
        <v>475</v>
      </c>
      <c r="E214" s="5" t="s">
        <v>495</v>
      </c>
      <c r="F214" s="12" t="s">
        <v>474</v>
      </c>
      <c r="G214" s="12" t="s">
        <v>486</v>
      </c>
      <c r="H214" s="12" t="s">
        <v>462</v>
      </c>
      <c r="I214" s="8">
        <v>45245</v>
      </c>
      <c r="J214" s="10" t="s">
        <v>477</v>
      </c>
      <c r="K214" s="11">
        <v>1</v>
      </c>
      <c r="L214" s="11">
        <v>9</v>
      </c>
      <c r="M214" s="11">
        <v>3</v>
      </c>
      <c r="N214" s="6" t="s">
        <v>482</v>
      </c>
      <c r="O214" s="7">
        <v>33.299999999999997</v>
      </c>
      <c r="P214" s="7">
        <v>26.1</v>
      </c>
      <c r="Q214" s="7">
        <v>8.6999999999999993</v>
      </c>
      <c r="R214" s="4">
        <v>328</v>
      </c>
      <c r="S214" s="4">
        <f t="shared" si="13"/>
        <v>0.32800000000000001</v>
      </c>
      <c r="T214" s="4">
        <f t="shared" si="14"/>
        <v>2.9549549549549553E-2</v>
      </c>
      <c r="V214" s="4" t="s">
        <v>527</v>
      </c>
      <c r="W214" s="4" t="s">
        <v>233</v>
      </c>
      <c r="X214" s="4" t="s">
        <v>233</v>
      </c>
      <c r="Y214" s="4" t="s">
        <v>593</v>
      </c>
      <c r="Z214" s="4" t="s">
        <v>233</v>
      </c>
      <c r="AA214" s="4" t="s">
        <v>593</v>
      </c>
      <c r="AB214" s="20">
        <v>0.91539999999999999</v>
      </c>
      <c r="AC214" s="20">
        <v>0.92479999999999996</v>
      </c>
      <c r="AD214" s="19">
        <f t="shared" si="15"/>
        <v>9.3999999999999631</v>
      </c>
      <c r="AE214" s="19">
        <v>583028</v>
      </c>
      <c r="AF214" s="19">
        <v>565518</v>
      </c>
      <c r="AG214" s="19">
        <v>620674</v>
      </c>
      <c r="AH214" s="19">
        <f t="shared" si="16"/>
        <v>589740</v>
      </c>
      <c r="AI214" s="19">
        <f t="shared" si="17"/>
        <v>62738.29787234067</v>
      </c>
    </row>
    <row r="215" spans="1:35" ht="12.75" customHeight="1">
      <c r="A215" s="4" t="s">
        <v>234</v>
      </c>
      <c r="B215" s="14" t="s">
        <v>494</v>
      </c>
      <c r="C215" s="4" t="s">
        <v>474</v>
      </c>
      <c r="D215" s="4" t="s">
        <v>475</v>
      </c>
      <c r="E215" s="4" t="s">
        <v>495</v>
      </c>
      <c r="F215" s="4" t="s">
        <v>474</v>
      </c>
      <c r="G215" s="4" t="s">
        <v>486</v>
      </c>
      <c r="H215" s="4" t="s">
        <v>462</v>
      </c>
      <c r="I215" s="8">
        <v>45245</v>
      </c>
      <c r="J215" s="4" t="s">
        <v>477</v>
      </c>
      <c r="K215" s="11">
        <v>1</v>
      </c>
      <c r="L215" s="11">
        <v>9</v>
      </c>
      <c r="M215" s="11">
        <v>3</v>
      </c>
      <c r="N215" s="6" t="s">
        <v>482</v>
      </c>
      <c r="O215" s="4">
        <v>34.5</v>
      </c>
      <c r="P215" s="4">
        <v>26.2</v>
      </c>
      <c r="Q215" s="4">
        <v>7.2</v>
      </c>
      <c r="R215" s="4">
        <v>378</v>
      </c>
      <c r="S215" s="4">
        <f t="shared" si="13"/>
        <v>0.378</v>
      </c>
      <c r="T215" s="4">
        <f t="shared" si="14"/>
        <v>3.2869565217391303E-2</v>
      </c>
      <c r="V215" s="4" t="s">
        <v>533</v>
      </c>
      <c r="W215" s="4" t="s">
        <v>234</v>
      </c>
      <c r="AB215" s="20"/>
      <c r="AC215" s="20"/>
      <c r="AD215" s="19"/>
      <c r="AE215" s="19"/>
      <c r="AF215" s="19"/>
      <c r="AG215" s="19"/>
      <c r="AH215" s="19"/>
      <c r="AI215" s="19"/>
    </row>
    <row r="216" spans="1:35" ht="12.75" customHeight="1">
      <c r="A216" s="4" t="s">
        <v>235</v>
      </c>
      <c r="B216" s="14" t="s">
        <v>494</v>
      </c>
      <c r="C216" s="4" t="s">
        <v>474</v>
      </c>
      <c r="D216" s="4" t="s">
        <v>475</v>
      </c>
      <c r="E216" s="4" t="s">
        <v>495</v>
      </c>
      <c r="F216" s="4" t="s">
        <v>474</v>
      </c>
      <c r="G216" s="4" t="s">
        <v>486</v>
      </c>
      <c r="H216" s="4" t="s">
        <v>462</v>
      </c>
      <c r="I216" s="8">
        <v>45245</v>
      </c>
      <c r="J216" s="4" t="s">
        <v>477</v>
      </c>
      <c r="K216" s="11">
        <v>1</v>
      </c>
      <c r="L216" s="11">
        <v>9</v>
      </c>
      <c r="M216" s="11">
        <v>3</v>
      </c>
      <c r="N216" s="6" t="s">
        <v>482</v>
      </c>
      <c r="O216" s="4">
        <v>33.200000000000003</v>
      </c>
      <c r="P216" s="4">
        <v>25.1</v>
      </c>
      <c r="Q216" s="4">
        <v>7.5</v>
      </c>
      <c r="R216" s="4">
        <v>293</v>
      </c>
      <c r="S216" s="4">
        <f t="shared" si="13"/>
        <v>0.29299999999999998</v>
      </c>
      <c r="T216" s="4">
        <f t="shared" si="14"/>
        <v>2.6475903614457827E-2</v>
      </c>
      <c r="V216" s="4" t="s">
        <v>533</v>
      </c>
      <c r="W216" s="4" t="s">
        <v>235</v>
      </c>
      <c r="AB216" s="20"/>
      <c r="AC216" s="20"/>
      <c r="AD216" s="19"/>
      <c r="AE216" s="19"/>
      <c r="AF216" s="19"/>
      <c r="AG216" s="19"/>
      <c r="AH216" s="19"/>
      <c r="AI216" s="19"/>
    </row>
    <row r="217" spans="1:35" ht="12.75" customHeight="1">
      <c r="A217" s="4" t="s">
        <v>236</v>
      </c>
      <c r="B217" s="14" t="s">
        <v>494</v>
      </c>
      <c r="C217" s="4" t="s">
        <v>474</v>
      </c>
      <c r="D217" s="4" t="s">
        <v>475</v>
      </c>
      <c r="E217" s="4" t="s">
        <v>495</v>
      </c>
      <c r="F217" s="4" t="s">
        <v>474</v>
      </c>
      <c r="G217" s="4" t="s">
        <v>486</v>
      </c>
      <c r="H217" s="4" t="s">
        <v>462</v>
      </c>
      <c r="I217" s="8">
        <v>45245</v>
      </c>
      <c r="J217" s="4" t="s">
        <v>477</v>
      </c>
      <c r="K217" s="11">
        <v>1</v>
      </c>
      <c r="L217" s="11">
        <v>9</v>
      </c>
      <c r="M217" s="11">
        <v>3</v>
      </c>
      <c r="N217" s="6" t="s">
        <v>482</v>
      </c>
      <c r="O217" s="4">
        <v>27.1</v>
      </c>
      <c r="P217" s="4">
        <v>32</v>
      </c>
      <c r="Q217" s="4">
        <v>6.2</v>
      </c>
      <c r="R217" s="4">
        <v>180</v>
      </c>
      <c r="S217" s="13">
        <f t="shared" si="13"/>
        <v>0.18</v>
      </c>
      <c r="T217" s="4">
        <f t="shared" si="14"/>
        <v>1.9926199261992617E-2</v>
      </c>
      <c r="V217" s="4" t="s">
        <v>533</v>
      </c>
      <c r="W217" s="4" t="s">
        <v>236</v>
      </c>
      <c r="AB217" s="20"/>
      <c r="AC217" s="20"/>
      <c r="AD217" s="19"/>
      <c r="AE217" s="19"/>
      <c r="AF217" s="19"/>
      <c r="AG217" s="19"/>
      <c r="AH217" s="19"/>
      <c r="AI217" s="19"/>
    </row>
    <row r="218" spans="1:35" ht="12.75" customHeight="1">
      <c r="A218" s="4" t="s">
        <v>237</v>
      </c>
      <c r="B218" s="14" t="s">
        <v>494</v>
      </c>
      <c r="C218" s="4" t="s">
        <v>474</v>
      </c>
      <c r="D218" s="4" t="s">
        <v>475</v>
      </c>
      <c r="E218" s="4" t="s">
        <v>495</v>
      </c>
      <c r="F218" s="4" t="s">
        <v>474</v>
      </c>
      <c r="G218" s="4" t="s">
        <v>486</v>
      </c>
      <c r="H218" s="4" t="s">
        <v>462</v>
      </c>
      <c r="I218" s="8">
        <v>45245</v>
      </c>
      <c r="J218" s="4" t="s">
        <v>477</v>
      </c>
      <c r="K218" s="11">
        <v>1</v>
      </c>
      <c r="L218" s="11">
        <v>9</v>
      </c>
      <c r="M218" s="11">
        <v>3</v>
      </c>
      <c r="N218" s="6" t="s">
        <v>479</v>
      </c>
      <c r="O218" s="4">
        <v>41.9</v>
      </c>
      <c r="P218" s="4">
        <v>33.1</v>
      </c>
      <c r="Q218" s="4">
        <v>9.9</v>
      </c>
      <c r="R218" s="4">
        <v>688</v>
      </c>
      <c r="S218" s="4">
        <f t="shared" si="13"/>
        <v>0.68799999999999994</v>
      </c>
      <c r="T218" s="4">
        <f t="shared" si="14"/>
        <v>4.9260143198090689E-2</v>
      </c>
      <c r="V218" s="4" t="s">
        <v>533</v>
      </c>
      <c r="W218" s="4" t="s">
        <v>237</v>
      </c>
      <c r="AB218" s="20"/>
      <c r="AC218" s="20"/>
      <c r="AD218" s="19"/>
      <c r="AE218" s="19"/>
      <c r="AF218" s="19"/>
      <c r="AG218" s="19"/>
      <c r="AH218" s="19"/>
      <c r="AI218" s="19"/>
    </row>
    <row r="219" spans="1:35" ht="12.75" customHeight="1">
      <c r="A219" s="4" t="s">
        <v>238</v>
      </c>
      <c r="B219" s="14" t="s">
        <v>494</v>
      </c>
      <c r="C219" s="4" t="s">
        <v>474</v>
      </c>
      <c r="D219" s="4" t="s">
        <v>475</v>
      </c>
      <c r="E219" s="4" t="s">
        <v>495</v>
      </c>
      <c r="F219" s="4" t="s">
        <v>474</v>
      </c>
      <c r="G219" s="4" t="s">
        <v>486</v>
      </c>
      <c r="H219" s="4" t="s">
        <v>462</v>
      </c>
      <c r="I219" s="8">
        <v>45245</v>
      </c>
      <c r="J219" s="4" t="s">
        <v>477</v>
      </c>
      <c r="K219" s="11">
        <v>1</v>
      </c>
      <c r="L219" s="11">
        <v>9</v>
      </c>
      <c r="M219" s="11">
        <v>3</v>
      </c>
      <c r="N219" s="6" t="s">
        <v>482</v>
      </c>
      <c r="O219" s="4">
        <v>38.799999999999997</v>
      </c>
      <c r="P219" s="4">
        <v>30</v>
      </c>
      <c r="Q219" s="4">
        <v>9</v>
      </c>
      <c r="R219" s="4">
        <v>303</v>
      </c>
      <c r="S219" s="4">
        <f t="shared" si="13"/>
        <v>0.30299999999999999</v>
      </c>
      <c r="T219" s="4">
        <f t="shared" si="14"/>
        <v>2.3427835051546393E-2</v>
      </c>
      <c r="V219" s="4" t="s">
        <v>533</v>
      </c>
      <c r="W219" s="4" t="s">
        <v>238</v>
      </c>
      <c r="AB219" s="20"/>
      <c r="AC219" s="20"/>
      <c r="AD219" s="19"/>
      <c r="AE219" s="19"/>
      <c r="AF219" s="19"/>
      <c r="AG219" s="19"/>
      <c r="AH219" s="19"/>
      <c r="AI219" s="19"/>
    </row>
    <row r="220" spans="1:35" ht="12.75" customHeight="1">
      <c r="A220" s="4" t="s">
        <v>239</v>
      </c>
      <c r="B220" s="14" t="s">
        <v>494</v>
      </c>
      <c r="C220" s="4" t="s">
        <v>474</v>
      </c>
      <c r="D220" s="4" t="s">
        <v>475</v>
      </c>
      <c r="E220" s="4" t="s">
        <v>495</v>
      </c>
      <c r="F220" s="4" t="s">
        <v>474</v>
      </c>
      <c r="G220" s="4" t="s">
        <v>486</v>
      </c>
      <c r="H220" s="4" t="s">
        <v>462</v>
      </c>
      <c r="I220" s="8">
        <v>45245</v>
      </c>
      <c r="J220" s="4" t="s">
        <v>477</v>
      </c>
      <c r="K220" s="11">
        <v>1</v>
      </c>
      <c r="L220" s="11">
        <v>9</v>
      </c>
      <c r="M220" s="11">
        <v>3</v>
      </c>
      <c r="N220" s="6" t="s">
        <v>482</v>
      </c>
      <c r="O220" s="4">
        <v>27.2</v>
      </c>
      <c r="P220" s="4">
        <v>20.9</v>
      </c>
      <c r="Q220" s="4">
        <v>6.6</v>
      </c>
      <c r="R220" s="4">
        <v>153</v>
      </c>
      <c r="S220" s="4">
        <f t="shared" si="13"/>
        <v>0.153</v>
      </c>
      <c r="T220" s="4">
        <f t="shared" si="14"/>
        <v>1.6875000000000001E-2</v>
      </c>
      <c r="V220" s="4" t="s">
        <v>533</v>
      </c>
      <c r="W220" s="4" t="s">
        <v>239</v>
      </c>
      <c r="AB220" s="20"/>
      <c r="AC220" s="20"/>
      <c r="AD220" s="19"/>
      <c r="AE220" s="19"/>
      <c r="AF220" s="19"/>
      <c r="AG220" s="19"/>
      <c r="AH220" s="19"/>
      <c r="AI220" s="19"/>
    </row>
    <row r="221" spans="1:35" ht="12.75" customHeight="1">
      <c r="A221" s="4" t="s">
        <v>240</v>
      </c>
      <c r="B221" s="14" t="s">
        <v>494</v>
      </c>
      <c r="C221" s="4" t="s">
        <v>474</v>
      </c>
      <c r="D221" s="4" t="s">
        <v>475</v>
      </c>
      <c r="E221" s="4" t="s">
        <v>495</v>
      </c>
      <c r="F221" s="4" t="s">
        <v>474</v>
      </c>
      <c r="G221" s="4" t="s">
        <v>486</v>
      </c>
      <c r="H221" s="4" t="s">
        <v>462</v>
      </c>
      <c r="I221" s="8">
        <v>45245</v>
      </c>
      <c r="J221" s="4" t="s">
        <v>477</v>
      </c>
      <c r="K221" s="11">
        <v>1</v>
      </c>
      <c r="L221" s="11">
        <v>9</v>
      </c>
      <c r="M221" s="11">
        <v>3</v>
      </c>
      <c r="N221" s="6" t="s">
        <v>560</v>
      </c>
      <c r="O221" s="4">
        <v>27.8</v>
      </c>
      <c r="P221" s="4">
        <v>24.2</v>
      </c>
      <c r="Q221" s="4">
        <v>7.5</v>
      </c>
      <c r="R221" s="4">
        <v>272</v>
      </c>
      <c r="S221" s="4">
        <f t="shared" si="13"/>
        <v>0.27200000000000002</v>
      </c>
      <c r="T221" s="4">
        <f t="shared" si="14"/>
        <v>2.9352517985611511E-2</v>
      </c>
      <c r="V221" s="4" t="s">
        <v>533</v>
      </c>
      <c r="W221" s="4" t="s">
        <v>240</v>
      </c>
      <c r="AB221" s="20"/>
      <c r="AC221" s="20"/>
      <c r="AD221" s="19"/>
      <c r="AE221" s="19"/>
      <c r="AF221" s="19"/>
      <c r="AG221" s="19"/>
      <c r="AH221" s="19"/>
      <c r="AI221" s="19"/>
    </row>
    <row r="222" spans="1:35" ht="12.75" customHeight="1">
      <c r="A222" s="4" t="s">
        <v>241</v>
      </c>
      <c r="B222" s="14" t="s">
        <v>494</v>
      </c>
      <c r="C222" s="4" t="s">
        <v>474</v>
      </c>
      <c r="D222" s="4" t="s">
        <v>475</v>
      </c>
      <c r="E222" s="4" t="s">
        <v>495</v>
      </c>
      <c r="F222" s="4" t="s">
        <v>474</v>
      </c>
      <c r="G222" s="4" t="s">
        <v>486</v>
      </c>
      <c r="H222" s="4" t="s">
        <v>462</v>
      </c>
      <c r="I222" s="8">
        <v>45245</v>
      </c>
      <c r="J222" s="4" t="s">
        <v>477</v>
      </c>
      <c r="K222" s="11">
        <v>1</v>
      </c>
      <c r="L222" s="11">
        <v>9</v>
      </c>
      <c r="M222" s="11">
        <v>3</v>
      </c>
      <c r="N222" s="6" t="s">
        <v>482</v>
      </c>
      <c r="O222" s="4">
        <v>28</v>
      </c>
      <c r="P222" s="4">
        <v>21.6</v>
      </c>
      <c r="Q222" s="4">
        <v>6.8</v>
      </c>
      <c r="R222" s="4">
        <v>178</v>
      </c>
      <c r="S222" s="4">
        <f t="shared" si="13"/>
        <v>0.17799999999999999</v>
      </c>
      <c r="T222" s="4">
        <f t="shared" si="14"/>
        <v>1.9071428571428573E-2</v>
      </c>
      <c r="V222" s="4" t="s">
        <v>533</v>
      </c>
      <c r="W222" s="4" t="s">
        <v>241</v>
      </c>
      <c r="AB222" s="20"/>
      <c r="AC222" s="20"/>
      <c r="AD222" s="19"/>
      <c r="AE222" s="19"/>
      <c r="AF222" s="19"/>
      <c r="AG222" s="19"/>
      <c r="AH222" s="19"/>
      <c r="AI222" s="19"/>
    </row>
    <row r="223" spans="1:35" ht="12.75" customHeight="1">
      <c r="A223" s="4" t="s">
        <v>242</v>
      </c>
      <c r="B223" s="14" t="s">
        <v>494</v>
      </c>
      <c r="C223" s="4" t="s">
        <v>474</v>
      </c>
      <c r="D223" s="4" t="s">
        <v>475</v>
      </c>
      <c r="E223" s="4" t="s">
        <v>495</v>
      </c>
      <c r="F223" s="4" t="s">
        <v>474</v>
      </c>
      <c r="G223" s="4" t="s">
        <v>486</v>
      </c>
      <c r="H223" s="4" t="s">
        <v>462</v>
      </c>
      <c r="I223" s="8">
        <v>45245</v>
      </c>
      <c r="J223" s="4" t="s">
        <v>477</v>
      </c>
      <c r="K223" s="11">
        <v>1</v>
      </c>
      <c r="L223" s="11">
        <v>9</v>
      </c>
      <c r="M223" s="11">
        <v>3</v>
      </c>
      <c r="N223" s="6" t="s">
        <v>560</v>
      </c>
      <c r="O223" s="4">
        <v>29.1</v>
      </c>
      <c r="P223" s="4">
        <v>25.6</v>
      </c>
      <c r="Q223" s="4">
        <v>8.6</v>
      </c>
      <c r="R223" s="4">
        <v>358</v>
      </c>
      <c r="S223" s="4">
        <f t="shared" si="13"/>
        <v>0.35799999999999998</v>
      </c>
      <c r="T223" s="4">
        <f t="shared" si="14"/>
        <v>3.6907216494845359E-2</v>
      </c>
      <c r="V223" s="4" t="s">
        <v>533</v>
      </c>
      <c r="W223" s="4" t="s">
        <v>242</v>
      </c>
      <c r="AB223" s="20"/>
      <c r="AC223" s="20"/>
      <c r="AD223" s="19"/>
      <c r="AE223" s="19"/>
      <c r="AF223" s="19"/>
      <c r="AG223" s="19"/>
      <c r="AH223" s="19"/>
      <c r="AI223" s="19"/>
    </row>
    <row r="224" spans="1:35" ht="12.75" customHeight="1">
      <c r="A224" s="4" t="s">
        <v>243</v>
      </c>
      <c r="B224" s="14" t="s">
        <v>494</v>
      </c>
      <c r="C224" s="4" t="s">
        <v>474</v>
      </c>
      <c r="D224" s="4" t="s">
        <v>475</v>
      </c>
      <c r="E224" s="4" t="s">
        <v>495</v>
      </c>
      <c r="F224" s="4" t="s">
        <v>474</v>
      </c>
      <c r="G224" s="4" t="s">
        <v>486</v>
      </c>
      <c r="H224" s="4" t="s">
        <v>462</v>
      </c>
      <c r="I224" s="8">
        <v>45245</v>
      </c>
      <c r="J224" s="4" t="s">
        <v>477</v>
      </c>
      <c r="K224" s="11">
        <v>1</v>
      </c>
      <c r="L224" s="11">
        <v>9</v>
      </c>
      <c r="M224" s="11">
        <v>3</v>
      </c>
      <c r="N224" s="6" t="s">
        <v>482</v>
      </c>
      <c r="O224" s="4">
        <v>36.1</v>
      </c>
      <c r="P224" s="4">
        <v>27.2</v>
      </c>
      <c r="Q224" s="4">
        <v>8.8000000000000007</v>
      </c>
      <c r="R224" s="4">
        <v>424</v>
      </c>
      <c r="S224" s="4">
        <f t="shared" si="13"/>
        <v>0.42399999999999999</v>
      </c>
      <c r="T224" s="4">
        <f t="shared" si="14"/>
        <v>3.5235457063711909E-2</v>
      </c>
      <c r="V224" s="4" t="s">
        <v>533</v>
      </c>
      <c r="W224" s="4" t="s">
        <v>243</v>
      </c>
      <c r="AB224" s="20"/>
      <c r="AC224" s="20"/>
      <c r="AD224" s="19"/>
      <c r="AE224" s="19"/>
      <c r="AF224" s="19"/>
      <c r="AG224" s="19"/>
      <c r="AH224" s="19"/>
      <c r="AI224" s="19"/>
    </row>
    <row r="225" spans="1:35" ht="12.75" customHeight="1">
      <c r="A225" s="4" t="s">
        <v>244</v>
      </c>
      <c r="B225" s="14" t="s">
        <v>494</v>
      </c>
      <c r="C225" s="4" t="s">
        <v>474</v>
      </c>
      <c r="D225" s="4" t="s">
        <v>475</v>
      </c>
      <c r="E225" s="4" t="s">
        <v>495</v>
      </c>
      <c r="F225" s="4" t="s">
        <v>474</v>
      </c>
      <c r="G225" s="4" t="s">
        <v>486</v>
      </c>
      <c r="H225" s="4" t="s">
        <v>462</v>
      </c>
      <c r="I225" s="8">
        <v>45245</v>
      </c>
      <c r="J225" s="4" t="s">
        <v>477</v>
      </c>
      <c r="K225" s="11">
        <v>1</v>
      </c>
      <c r="L225" s="11">
        <v>9</v>
      </c>
      <c r="M225" s="11">
        <v>3</v>
      </c>
      <c r="N225" s="6" t="s">
        <v>482</v>
      </c>
      <c r="O225" s="4">
        <v>35.299999999999997</v>
      </c>
      <c r="P225" s="4">
        <v>27</v>
      </c>
      <c r="Q225" s="4">
        <v>7.9</v>
      </c>
      <c r="R225" s="4">
        <v>313</v>
      </c>
      <c r="S225" s="4">
        <f t="shared" si="13"/>
        <v>0.313</v>
      </c>
      <c r="T225" s="4">
        <f t="shared" si="14"/>
        <v>2.6600566572237964E-2</v>
      </c>
      <c r="V225" s="4" t="s">
        <v>533</v>
      </c>
      <c r="W225" s="4" t="s">
        <v>244</v>
      </c>
      <c r="AB225" s="20"/>
      <c r="AC225" s="20"/>
      <c r="AD225" s="19"/>
      <c r="AE225" s="19"/>
      <c r="AF225" s="19"/>
      <c r="AG225" s="19"/>
      <c r="AH225" s="19"/>
      <c r="AI225" s="19"/>
    </row>
    <row r="226" spans="1:35" ht="12.75" customHeight="1">
      <c r="A226" s="4" t="s">
        <v>245</v>
      </c>
      <c r="B226" s="14" t="s">
        <v>494</v>
      </c>
      <c r="C226" s="4" t="s">
        <v>474</v>
      </c>
      <c r="D226" s="4" t="s">
        <v>475</v>
      </c>
      <c r="E226" s="4" t="s">
        <v>495</v>
      </c>
      <c r="F226" s="4" t="s">
        <v>474</v>
      </c>
      <c r="G226" s="4" t="s">
        <v>486</v>
      </c>
      <c r="H226" s="4" t="s">
        <v>462</v>
      </c>
      <c r="I226" s="8">
        <v>45245</v>
      </c>
      <c r="J226" s="4" t="s">
        <v>477</v>
      </c>
      <c r="K226" s="11">
        <v>1</v>
      </c>
      <c r="L226" s="11">
        <v>9</v>
      </c>
      <c r="M226" s="11">
        <v>3</v>
      </c>
      <c r="N226" s="6" t="s">
        <v>482</v>
      </c>
      <c r="O226" s="4">
        <v>24.4</v>
      </c>
      <c r="P226" s="4">
        <v>20.399999999999999</v>
      </c>
      <c r="Q226" s="4">
        <v>6.3</v>
      </c>
      <c r="R226" s="4">
        <v>156</v>
      </c>
      <c r="S226" s="4">
        <f t="shared" si="13"/>
        <v>0.156</v>
      </c>
      <c r="T226" s="4">
        <f t="shared" si="14"/>
        <v>1.9180327868852459E-2</v>
      </c>
      <c r="V226" s="4" t="s">
        <v>533</v>
      </c>
      <c r="W226" s="4" t="s">
        <v>245</v>
      </c>
      <c r="AB226" s="20"/>
      <c r="AC226" s="20"/>
      <c r="AD226" s="19"/>
      <c r="AE226" s="19"/>
      <c r="AF226" s="19"/>
      <c r="AG226" s="19"/>
      <c r="AH226" s="19"/>
      <c r="AI226" s="19"/>
    </row>
    <row r="227" spans="1:35" ht="12.75" customHeight="1">
      <c r="A227" s="4" t="s">
        <v>246</v>
      </c>
      <c r="B227" s="14" t="s">
        <v>494</v>
      </c>
      <c r="C227" s="4" t="s">
        <v>474</v>
      </c>
      <c r="D227" s="4" t="s">
        <v>475</v>
      </c>
      <c r="E227" s="4" t="s">
        <v>495</v>
      </c>
      <c r="F227" s="4" t="s">
        <v>474</v>
      </c>
      <c r="G227" s="4" t="s">
        <v>486</v>
      </c>
      <c r="H227" s="4" t="s">
        <v>462</v>
      </c>
      <c r="I227" s="8">
        <v>45245</v>
      </c>
      <c r="J227" s="4" t="s">
        <v>477</v>
      </c>
      <c r="K227" s="11">
        <v>1</v>
      </c>
      <c r="L227" s="11">
        <v>9</v>
      </c>
      <c r="M227" s="11">
        <v>3</v>
      </c>
      <c r="N227" s="6" t="s">
        <v>473</v>
      </c>
      <c r="O227" s="4">
        <v>31.7</v>
      </c>
      <c r="P227" s="4">
        <v>25.1</v>
      </c>
      <c r="Q227" s="4">
        <v>5.9</v>
      </c>
      <c r="R227" s="4">
        <v>136</v>
      </c>
      <c r="S227" s="4">
        <f t="shared" si="13"/>
        <v>0.13600000000000001</v>
      </c>
      <c r="T227" s="4">
        <f t="shared" si="14"/>
        <v>1.2870662460567825E-2</v>
      </c>
      <c r="V227" s="4" t="s">
        <v>533</v>
      </c>
      <c r="W227" s="4" t="s">
        <v>246</v>
      </c>
      <c r="AB227" s="20"/>
      <c r="AC227" s="20"/>
      <c r="AD227" s="19"/>
      <c r="AE227" s="19"/>
      <c r="AF227" s="19"/>
      <c r="AG227" s="19"/>
      <c r="AH227" s="19"/>
      <c r="AI227" s="19"/>
    </row>
    <row r="228" spans="1:35" ht="12.75" customHeight="1">
      <c r="A228" s="4" t="s">
        <v>247</v>
      </c>
      <c r="B228" s="14" t="s">
        <v>494</v>
      </c>
      <c r="C228" s="4" t="s">
        <v>474</v>
      </c>
      <c r="D228" s="4" t="s">
        <v>475</v>
      </c>
      <c r="E228" s="4" t="s">
        <v>495</v>
      </c>
      <c r="F228" s="4" t="s">
        <v>474</v>
      </c>
      <c r="G228" s="4" t="s">
        <v>486</v>
      </c>
      <c r="H228" s="4" t="s">
        <v>462</v>
      </c>
      <c r="I228" s="8">
        <v>45245</v>
      </c>
      <c r="J228" s="4" t="s">
        <v>477</v>
      </c>
      <c r="K228" s="11">
        <v>1</v>
      </c>
      <c r="L228" s="11">
        <v>9</v>
      </c>
      <c r="M228" s="11">
        <v>3</v>
      </c>
      <c r="N228" s="6" t="s">
        <v>473</v>
      </c>
      <c r="O228" s="4">
        <v>29.1</v>
      </c>
      <c r="P228" s="4">
        <v>25</v>
      </c>
      <c r="Q228" s="4">
        <v>6.3</v>
      </c>
      <c r="R228" s="4">
        <v>348</v>
      </c>
      <c r="S228" s="4">
        <f t="shared" si="13"/>
        <v>0.34799999999999998</v>
      </c>
      <c r="T228" s="4">
        <f t="shared" si="14"/>
        <v>3.5876288659793809E-2</v>
      </c>
      <c r="V228" s="4" t="s">
        <v>533</v>
      </c>
      <c r="W228" s="4" t="s">
        <v>247</v>
      </c>
      <c r="AB228" s="20"/>
      <c r="AC228" s="20"/>
      <c r="AD228" s="19"/>
      <c r="AE228" s="19"/>
      <c r="AF228" s="19"/>
      <c r="AG228" s="19"/>
      <c r="AH228" s="19"/>
      <c r="AI228" s="19"/>
    </row>
    <row r="229" spans="1:35" ht="12.75" customHeight="1">
      <c r="A229" s="4" t="s">
        <v>248</v>
      </c>
      <c r="B229" s="14" t="s">
        <v>494</v>
      </c>
      <c r="C229" s="4" t="s">
        <v>474</v>
      </c>
      <c r="D229" s="4" t="s">
        <v>475</v>
      </c>
      <c r="E229" s="4" t="s">
        <v>495</v>
      </c>
      <c r="F229" s="4" t="s">
        <v>474</v>
      </c>
      <c r="G229" s="4" t="s">
        <v>486</v>
      </c>
      <c r="H229" s="4" t="s">
        <v>462</v>
      </c>
      <c r="I229" s="8">
        <v>45245</v>
      </c>
      <c r="J229" s="4" t="s">
        <v>477</v>
      </c>
      <c r="K229" s="11">
        <v>1</v>
      </c>
      <c r="L229" s="11">
        <v>9</v>
      </c>
      <c r="M229" s="11">
        <v>3</v>
      </c>
      <c r="N229" s="6" t="s">
        <v>482</v>
      </c>
      <c r="O229" s="4">
        <v>30.7</v>
      </c>
      <c r="P229" s="4">
        <v>23.4</v>
      </c>
      <c r="Q229" s="4">
        <v>7.7</v>
      </c>
      <c r="R229" s="4">
        <v>392</v>
      </c>
      <c r="S229" s="4">
        <f t="shared" si="13"/>
        <v>0.39200000000000002</v>
      </c>
      <c r="T229" s="4">
        <f t="shared" si="14"/>
        <v>3.8306188925081433E-2</v>
      </c>
      <c r="V229" s="4" t="s">
        <v>533</v>
      </c>
      <c r="W229" s="4" t="s">
        <v>248</v>
      </c>
      <c r="AB229" s="20"/>
      <c r="AC229" s="20"/>
      <c r="AD229" s="19"/>
      <c r="AE229" s="19"/>
      <c r="AF229" s="19"/>
      <c r="AG229" s="19"/>
      <c r="AH229" s="19"/>
      <c r="AI229" s="19"/>
    </row>
    <row r="230" spans="1:35" ht="12.75" customHeight="1">
      <c r="A230" s="4" t="s">
        <v>249</v>
      </c>
      <c r="B230" s="14" t="s">
        <v>494</v>
      </c>
      <c r="C230" s="4" t="s">
        <v>474</v>
      </c>
      <c r="D230" s="4" t="s">
        <v>475</v>
      </c>
      <c r="E230" s="4" t="s">
        <v>495</v>
      </c>
      <c r="F230" s="4" t="s">
        <v>474</v>
      </c>
      <c r="G230" s="4" t="s">
        <v>486</v>
      </c>
      <c r="H230" s="4" t="s">
        <v>462</v>
      </c>
      <c r="I230" s="8">
        <v>45245</v>
      </c>
      <c r="J230" s="4" t="s">
        <v>477</v>
      </c>
      <c r="K230" s="11">
        <v>1</v>
      </c>
      <c r="L230" s="11">
        <v>9</v>
      </c>
      <c r="M230" s="11">
        <v>3</v>
      </c>
      <c r="N230" s="6" t="s">
        <v>473</v>
      </c>
      <c r="O230" s="4">
        <v>26.2</v>
      </c>
      <c r="P230" s="4">
        <v>22.7</v>
      </c>
      <c r="Q230" s="4">
        <v>5.2</v>
      </c>
      <c r="R230" s="4">
        <v>160</v>
      </c>
      <c r="S230" s="13">
        <f t="shared" si="13"/>
        <v>0.16</v>
      </c>
      <c r="T230" s="4">
        <f t="shared" si="14"/>
        <v>1.8320610687022901E-2</v>
      </c>
      <c r="V230" s="4" t="s">
        <v>533</v>
      </c>
      <c r="W230" s="4" t="s">
        <v>249</v>
      </c>
      <c r="AB230" s="20"/>
      <c r="AC230" s="20"/>
      <c r="AD230" s="19"/>
      <c r="AE230" s="19"/>
      <c r="AF230" s="19"/>
      <c r="AG230" s="19"/>
      <c r="AH230" s="19"/>
      <c r="AI230" s="19"/>
    </row>
    <row r="231" spans="1:35" ht="12.75" customHeight="1">
      <c r="A231" s="4" t="s">
        <v>250</v>
      </c>
      <c r="B231" s="14" t="s">
        <v>494</v>
      </c>
      <c r="C231" s="4" t="s">
        <v>474</v>
      </c>
      <c r="D231" s="4" t="s">
        <v>475</v>
      </c>
      <c r="E231" s="4" t="s">
        <v>495</v>
      </c>
      <c r="F231" s="4" t="s">
        <v>474</v>
      </c>
      <c r="G231" s="4" t="s">
        <v>486</v>
      </c>
      <c r="H231" s="4" t="s">
        <v>462</v>
      </c>
      <c r="I231" s="8">
        <v>45245</v>
      </c>
      <c r="J231" s="4" t="s">
        <v>477</v>
      </c>
      <c r="K231" s="11">
        <v>1</v>
      </c>
      <c r="L231" s="11">
        <v>9</v>
      </c>
      <c r="M231" s="11">
        <v>3</v>
      </c>
      <c r="N231" s="6" t="s">
        <v>473</v>
      </c>
      <c r="O231" s="4">
        <v>34.4</v>
      </c>
      <c r="P231" s="4">
        <v>27.4</v>
      </c>
      <c r="Q231" s="4">
        <v>6.7</v>
      </c>
      <c r="R231" s="4">
        <v>317</v>
      </c>
      <c r="S231" s="4">
        <f t="shared" si="13"/>
        <v>0.317</v>
      </c>
      <c r="T231" s="4">
        <f t="shared" si="14"/>
        <v>2.7645348837209302E-2</v>
      </c>
      <c r="V231" s="4" t="s">
        <v>533</v>
      </c>
      <c r="W231" s="4" t="s">
        <v>250</v>
      </c>
      <c r="AB231" s="20"/>
      <c r="AC231" s="20"/>
      <c r="AD231" s="19"/>
      <c r="AE231" s="19"/>
      <c r="AF231" s="19"/>
      <c r="AG231" s="19"/>
      <c r="AH231" s="19"/>
      <c r="AI231" s="19"/>
    </row>
    <row r="232" spans="1:35" ht="12.75" customHeight="1">
      <c r="A232" s="4" t="s">
        <v>251</v>
      </c>
      <c r="B232" s="14" t="s">
        <v>494</v>
      </c>
      <c r="C232" s="4" t="s">
        <v>474</v>
      </c>
      <c r="D232" s="4" t="s">
        <v>475</v>
      </c>
      <c r="E232" s="4" t="s">
        <v>495</v>
      </c>
      <c r="F232" s="4" t="s">
        <v>474</v>
      </c>
      <c r="G232" s="4" t="s">
        <v>486</v>
      </c>
      <c r="H232" s="4" t="s">
        <v>462</v>
      </c>
      <c r="I232" s="8">
        <v>45245</v>
      </c>
      <c r="J232" s="4" t="s">
        <v>477</v>
      </c>
      <c r="K232" s="11">
        <v>1</v>
      </c>
      <c r="L232" s="11">
        <v>9</v>
      </c>
      <c r="M232" s="11">
        <v>3</v>
      </c>
      <c r="N232" s="6" t="s">
        <v>482</v>
      </c>
      <c r="O232" s="4">
        <v>28.1</v>
      </c>
      <c r="P232" s="4">
        <v>20.9</v>
      </c>
      <c r="Q232" s="4">
        <v>6.5</v>
      </c>
      <c r="R232" s="4">
        <v>174</v>
      </c>
      <c r="S232" s="4">
        <f t="shared" si="13"/>
        <v>0.17399999999999999</v>
      </c>
      <c r="T232" s="4">
        <f t="shared" si="14"/>
        <v>1.8576512455516014E-2</v>
      </c>
      <c r="V232" s="4" t="s">
        <v>533</v>
      </c>
      <c r="W232" s="4" t="s">
        <v>251</v>
      </c>
      <c r="AB232" s="20"/>
      <c r="AC232" s="20"/>
      <c r="AD232" s="19"/>
      <c r="AE232" s="19"/>
      <c r="AF232" s="19"/>
      <c r="AG232" s="19"/>
      <c r="AH232" s="19"/>
      <c r="AI232" s="19"/>
    </row>
    <row r="233" spans="1:35" ht="12.75" customHeight="1">
      <c r="A233" s="4" t="s">
        <v>252</v>
      </c>
      <c r="B233" s="14" t="s">
        <v>494</v>
      </c>
      <c r="C233" s="4" t="s">
        <v>474</v>
      </c>
      <c r="D233" s="4" t="s">
        <v>475</v>
      </c>
      <c r="E233" s="4" t="s">
        <v>495</v>
      </c>
      <c r="F233" s="4" t="s">
        <v>474</v>
      </c>
      <c r="G233" s="4" t="s">
        <v>486</v>
      </c>
      <c r="H233" s="4" t="s">
        <v>462</v>
      </c>
      <c r="I233" s="8">
        <v>45245</v>
      </c>
      <c r="J233" s="4" t="s">
        <v>477</v>
      </c>
      <c r="K233" s="11">
        <v>1</v>
      </c>
      <c r="L233" s="11">
        <v>9</v>
      </c>
      <c r="M233" s="11">
        <v>3</v>
      </c>
      <c r="N233" s="6" t="s">
        <v>473</v>
      </c>
      <c r="O233" s="4">
        <v>36.700000000000003</v>
      </c>
      <c r="P233" s="4">
        <v>28.2</v>
      </c>
      <c r="Q233" s="4">
        <v>7.8</v>
      </c>
      <c r="R233" s="4">
        <v>196</v>
      </c>
      <c r="S233" s="4">
        <f t="shared" si="13"/>
        <v>0.19600000000000001</v>
      </c>
      <c r="T233" s="4">
        <f t="shared" si="14"/>
        <v>1.6021798365122616E-2</v>
      </c>
      <c r="V233" s="4" t="s">
        <v>533</v>
      </c>
      <c r="W233" s="4" t="s">
        <v>252</v>
      </c>
      <c r="AB233" s="20"/>
      <c r="AC233" s="20"/>
      <c r="AD233" s="19"/>
      <c r="AE233" s="19"/>
      <c r="AF233" s="19"/>
      <c r="AG233" s="19"/>
      <c r="AH233" s="19"/>
      <c r="AI233" s="19"/>
    </row>
    <row r="234" spans="1:35" ht="12.75" customHeight="1">
      <c r="A234" s="4" t="s">
        <v>253</v>
      </c>
      <c r="B234" s="14" t="s">
        <v>494</v>
      </c>
      <c r="C234" s="4" t="s">
        <v>474</v>
      </c>
      <c r="D234" s="4" t="s">
        <v>475</v>
      </c>
      <c r="E234" s="4" t="s">
        <v>495</v>
      </c>
      <c r="F234" s="4" t="s">
        <v>474</v>
      </c>
      <c r="G234" s="4" t="s">
        <v>486</v>
      </c>
      <c r="H234" s="4" t="s">
        <v>462</v>
      </c>
      <c r="I234" s="8">
        <v>45245</v>
      </c>
      <c r="J234" s="4" t="s">
        <v>477</v>
      </c>
      <c r="K234" s="11">
        <v>1</v>
      </c>
      <c r="L234" s="11">
        <v>9</v>
      </c>
      <c r="M234" s="11">
        <v>3</v>
      </c>
      <c r="N234" s="6" t="s">
        <v>482</v>
      </c>
      <c r="O234" s="4">
        <v>22.9</v>
      </c>
      <c r="P234" s="4">
        <v>17.7</v>
      </c>
      <c r="Q234" s="4">
        <v>4.9000000000000004</v>
      </c>
      <c r="R234" s="4">
        <v>96</v>
      </c>
      <c r="S234" s="4">
        <f t="shared" si="13"/>
        <v>9.6000000000000002E-2</v>
      </c>
      <c r="T234" s="4">
        <f t="shared" si="14"/>
        <v>1.2576419213973799E-2</v>
      </c>
      <c r="V234" s="4" t="s">
        <v>533</v>
      </c>
      <c r="W234" s="4" t="s">
        <v>253</v>
      </c>
      <c r="AB234" s="20"/>
      <c r="AC234" s="20"/>
      <c r="AD234" s="19"/>
      <c r="AE234" s="19"/>
      <c r="AF234" s="19"/>
      <c r="AG234" s="19"/>
      <c r="AH234" s="19"/>
      <c r="AI234" s="19"/>
    </row>
    <row r="235" spans="1:35" ht="12.75" customHeight="1">
      <c r="A235" s="4" t="s">
        <v>254</v>
      </c>
      <c r="B235" s="14" t="s">
        <v>494</v>
      </c>
      <c r="C235" s="4" t="s">
        <v>474</v>
      </c>
      <c r="D235" s="4" t="s">
        <v>475</v>
      </c>
      <c r="E235" s="4" t="s">
        <v>495</v>
      </c>
      <c r="F235" s="4" t="s">
        <v>474</v>
      </c>
      <c r="G235" s="4" t="s">
        <v>486</v>
      </c>
      <c r="H235" s="4" t="s">
        <v>462</v>
      </c>
      <c r="I235" s="8">
        <v>45245</v>
      </c>
      <c r="J235" s="4" t="s">
        <v>477</v>
      </c>
      <c r="K235" s="11">
        <v>1</v>
      </c>
      <c r="L235" s="11">
        <v>9</v>
      </c>
      <c r="M235" s="11">
        <v>3</v>
      </c>
      <c r="N235" s="6" t="s">
        <v>560</v>
      </c>
      <c r="O235" s="4">
        <v>30.9</v>
      </c>
      <c r="P235" s="4">
        <v>26.3</v>
      </c>
      <c r="Q235" s="4">
        <v>7.6</v>
      </c>
      <c r="R235" s="4">
        <v>195</v>
      </c>
      <c r="S235" s="4">
        <f t="shared" si="13"/>
        <v>0.19500000000000001</v>
      </c>
      <c r="T235" s="4">
        <f t="shared" si="14"/>
        <v>1.8932038834951457E-2</v>
      </c>
      <c r="V235" s="4" t="s">
        <v>533</v>
      </c>
      <c r="W235" s="4" t="s">
        <v>254</v>
      </c>
      <c r="AB235" s="20"/>
      <c r="AC235" s="20"/>
      <c r="AD235" s="19"/>
      <c r="AE235" s="19"/>
      <c r="AF235" s="19"/>
      <c r="AG235" s="19"/>
      <c r="AH235" s="19"/>
      <c r="AI235" s="19"/>
    </row>
    <row r="236" spans="1:35" ht="12.75" customHeight="1">
      <c r="A236" s="4" t="s">
        <v>255</v>
      </c>
      <c r="B236" s="14" t="s">
        <v>494</v>
      </c>
      <c r="C236" s="4" t="s">
        <v>474</v>
      </c>
      <c r="D236" s="4" t="s">
        <v>475</v>
      </c>
      <c r="E236" s="4" t="s">
        <v>495</v>
      </c>
      <c r="F236" s="4" t="s">
        <v>474</v>
      </c>
      <c r="G236" s="4" t="s">
        <v>486</v>
      </c>
      <c r="H236" s="4" t="s">
        <v>462</v>
      </c>
      <c r="I236" s="8">
        <v>45245</v>
      </c>
      <c r="J236" s="4" t="s">
        <v>477</v>
      </c>
      <c r="K236" s="11">
        <v>1</v>
      </c>
      <c r="L236" s="11">
        <v>9</v>
      </c>
      <c r="M236" s="11">
        <v>3</v>
      </c>
      <c r="N236" s="6" t="s">
        <v>473</v>
      </c>
      <c r="O236" s="4">
        <v>27.3</v>
      </c>
      <c r="P236" s="4">
        <v>22.1</v>
      </c>
      <c r="Q236" s="4">
        <v>5.3</v>
      </c>
      <c r="R236" s="4">
        <v>165</v>
      </c>
      <c r="S236" s="4">
        <f t="shared" si="13"/>
        <v>0.16500000000000001</v>
      </c>
      <c r="T236" s="4">
        <f t="shared" si="14"/>
        <v>1.8131868131868133E-2</v>
      </c>
      <c r="V236" s="4" t="s">
        <v>533</v>
      </c>
      <c r="W236" s="4" t="s">
        <v>255</v>
      </c>
      <c r="AB236" s="20"/>
      <c r="AC236" s="20"/>
      <c r="AD236" s="19"/>
      <c r="AE236" s="19"/>
      <c r="AF236" s="19"/>
      <c r="AG236" s="19"/>
      <c r="AH236" s="19"/>
      <c r="AI236" s="19"/>
    </row>
    <row r="237" spans="1:35" ht="12.75" customHeight="1">
      <c r="A237" s="4" t="s">
        <v>256</v>
      </c>
      <c r="B237" s="14" t="s">
        <v>494</v>
      </c>
      <c r="C237" s="4" t="s">
        <v>474</v>
      </c>
      <c r="D237" s="4" t="s">
        <v>475</v>
      </c>
      <c r="E237" s="4" t="s">
        <v>495</v>
      </c>
      <c r="F237" s="4" t="s">
        <v>474</v>
      </c>
      <c r="G237" s="4" t="s">
        <v>486</v>
      </c>
      <c r="H237" s="4" t="s">
        <v>462</v>
      </c>
      <c r="I237" s="8">
        <v>45245</v>
      </c>
      <c r="J237" s="4" t="s">
        <v>477</v>
      </c>
      <c r="K237" s="11">
        <v>1</v>
      </c>
      <c r="L237" s="11">
        <v>9</v>
      </c>
      <c r="M237" s="11">
        <v>3</v>
      </c>
      <c r="N237" s="6" t="s">
        <v>473</v>
      </c>
      <c r="O237" s="4">
        <v>27.1</v>
      </c>
      <c r="P237" s="4">
        <v>21</v>
      </c>
      <c r="Q237" s="4">
        <v>4.9000000000000004</v>
      </c>
      <c r="R237" s="4">
        <v>132</v>
      </c>
      <c r="S237" s="4">
        <f t="shared" si="13"/>
        <v>0.13200000000000001</v>
      </c>
      <c r="T237" s="4">
        <f t="shared" si="14"/>
        <v>1.4612546125461253E-2</v>
      </c>
      <c r="V237" s="4" t="s">
        <v>533</v>
      </c>
      <c r="W237" s="4" t="s">
        <v>256</v>
      </c>
      <c r="AB237" s="20"/>
      <c r="AC237" s="20"/>
      <c r="AD237" s="19"/>
      <c r="AE237" s="19"/>
      <c r="AF237" s="19"/>
      <c r="AG237" s="19"/>
      <c r="AH237" s="19"/>
      <c r="AI237" s="19"/>
    </row>
    <row r="238" spans="1:35" ht="12.75" customHeight="1">
      <c r="A238" s="4" t="s">
        <v>257</v>
      </c>
      <c r="B238" s="14" t="s">
        <v>494</v>
      </c>
      <c r="C238" s="4" t="s">
        <v>474</v>
      </c>
      <c r="D238" s="4" t="s">
        <v>475</v>
      </c>
      <c r="E238" s="4" t="s">
        <v>495</v>
      </c>
      <c r="F238" s="4" t="s">
        <v>474</v>
      </c>
      <c r="G238" s="4" t="s">
        <v>486</v>
      </c>
      <c r="H238" s="4" t="s">
        <v>462</v>
      </c>
      <c r="I238" s="8">
        <v>45245</v>
      </c>
      <c r="J238" s="4" t="s">
        <v>477</v>
      </c>
      <c r="K238" s="11">
        <v>1</v>
      </c>
      <c r="L238" s="11">
        <v>9</v>
      </c>
      <c r="M238" s="11">
        <v>3</v>
      </c>
      <c r="N238" s="6" t="s">
        <v>473</v>
      </c>
      <c r="O238" s="4">
        <v>26.8</v>
      </c>
      <c r="P238" s="4">
        <v>23.4</v>
      </c>
      <c r="Q238" s="4">
        <v>5.7</v>
      </c>
      <c r="R238" s="4">
        <v>178</v>
      </c>
      <c r="S238" s="4">
        <f t="shared" si="13"/>
        <v>0.17799999999999999</v>
      </c>
      <c r="T238" s="4">
        <f t="shared" si="14"/>
        <v>1.9925373134328357E-2</v>
      </c>
      <c r="V238" s="4" t="s">
        <v>533</v>
      </c>
      <c r="W238" s="4" t="s">
        <v>257</v>
      </c>
      <c r="AB238" s="20"/>
      <c r="AC238" s="20"/>
      <c r="AD238" s="19"/>
      <c r="AE238" s="19"/>
      <c r="AF238" s="19"/>
      <c r="AG238" s="19"/>
      <c r="AH238" s="19"/>
      <c r="AI238" s="19"/>
    </row>
    <row r="239" spans="1:35" ht="12.75" customHeight="1">
      <c r="A239" s="4" t="s">
        <v>258</v>
      </c>
      <c r="B239" s="14" t="s">
        <v>494</v>
      </c>
      <c r="C239" s="4" t="s">
        <v>474</v>
      </c>
      <c r="D239" s="4" t="s">
        <v>475</v>
      </c>
      <c r="E239" s="4" t="s">
        <v>495</v>
      </c>
      <c r="F239" s="4" t="s">
        <v>474</v>
      </c>
      <c r="G239" s="4" t="s">
        <v>486</v>
      </c>
      <c r="H239" s="4" t="s">
        <v>462</v>
      </c>
      <c r="I239" s="8">
        <v>45245</v>
      </c>
      <c r="J239" s="4" t="s">
        <v>477</v>
      </c>
      <c r="K239" s="11">
        <v>1</v>
      </c>
      <c r="L239" s="11">
        <v>9</v>
      </c>
      <c r="M239" s="11">
        <v>3</v>
      </c>
      <c r="N239" s="6" t="s">
        <v>482</v>
      </c>
      <c r="O239" s="4">
        <v>25.8</v>
      </c>
      <c r="P239" s="4">
        <v>20.3</v>
      </c>
      <c r="Q239" s="4">
        <v>5.9</v>
      </c>
      <c r="R239" s="4">
        <v>150</v>
      </c>
      <c r="S239" s="13">
        <f t="shared" si="13"/>
        <v>0.15</v>
      </c>
      <c r="T239" s="4">
        <f t="shared" si="14"/>
        <v>1.7441860465116279E-2</v>
      </c>
      <c r="V239" s="4" t="s">
        <v>533</v>
      </c>
      <c r="W239" s="4" t="s">
        <v>258</v>
      </c>
      <c r="AB239" s="20"/>
      <c r="AC239" s="20"/>
      <c r="AD239" s="19"/>
      <c r="AE239" s="19"/>
      <c r="AF239" s="19"/>
      <c r="AG239" s="19"/>
      <c r="AH239" s="19"/>
      <c r="AI239" s="19"/>
    </row>
    <row r="240" spans="1:35" ht="12.75" customHeight="1">
      <c r="A240" s="4" t="s">
        <v>259</v>
      </c>
      <c r="B240" s="14" t="s">
        <v>494</v>
      </c>
      <c r="C240" s="4" t="s">
        <v>474</v>
      </c>
      <c r="D240" s="4" t="s">
        <v>475</v>
      </c>
      <c r="E240" s="4" t="s">
        <v>495</v>
      </c>
      <c r="F240" s="4" t="s">
        <v>474</v>
      </c>
      <c r="G240" s="4" t="s">
        <v>486</v>
      </c>
      <c r="H240" s="4" t="s">
        <v>462</v>
      </c>
      <c r="I240" s="8">
        <v>45245</v>
      </c>
      <c r="J240" s="4" t="s">
        <v>477</v>
      </c>
      <c r="K240" s="11">
        <v>1</v>
      </c>
      <c r="L240" s="11">
        <v>9</v>
      </c>
      <c r="M240" s="11">
        <v>3</v>
      </c>
      <c r="N240" s="6" t="s">
        <v>482</v>
      </c>
      <c r="O240" s="4">
        <v>29</v>
      </c>
      <c r="P240" s="4">
        <v>21.7</v>
      </c>
      <c r="Q240" s="4">
        <v>6.4</v>
      </c>
      <c r="R240" s="4">
        <v>193</v>
      </c>
      <c r="S240" s="4">
        <f t="shared" si="13"/>
        <v>0.193</v>
      </c>
      <c r="T240" s="4">
        <f t="shared" si="14"/>
        <v>1.9965517241379311E-2</v>
      </c>
      <c r="V240" s="4" t="s">
        <v>533</v>
      </c>
      <c r="W240" s="4" t="s">
        <v>259</v>
      </c>
      <c r="AB240" s="20"/>
      <c r="AC240" s="20"/>
      <c r="AD240" s="19"/>
      <c r="AE240" s="19"/>
      <c r="AF240" s="19"/>
      <c r="AG240" s="19"/>
      <c r="AH240" s="19"/>
      <c r="AI240" s="19"/>
    </row>
    <row r="241" spans="1:35" ht="12.75" customHeight="1">
      <c r="A241" s="4" t="s">
        <v>260</v>
      </c>
      <c r="B241" s="14" t="s">
        <v>494</v>
      </c>
      <c r="C241" s="4" t="s">
        <v>474</v>
      </c>
      <c r="D241" s="4" t="s">
        <v>475</v>
      </c>
      <c r="E241" s="4" t="s">
        <v>495</v>
      </c>
      <c r="F241" s="4" t="s">
        <v>474</v>
      </c>
      <c r="G241" s="4" t="s">
        <v>486</v>
      </c>
      <c r="H241" s="4" t="s">
        <v>462</v>
      </c>
      <c r="I241" s="8">
        <v>45245</v>
      </c>
      <c r="J241" s="4" t="s">
        <v>477</v>
      </c>
      <c r="K241" s="11">
        <v>1</v>
      </c>
      <c r="L241" s="11">
        <v>9</v>
      </c>
      <c r="M241" s="11">
        <v>3</v>
      </c>
      <c r="N241" s="6" t="s">
        <v>482</v>
      </c>
      <c r="O241" s="4">
        <v>26.1</v>
      </c>
      <c r="P241" s="4">
        <v>19.5</v>
      </c>
      <c r="Q241" s="4">
        <v>5.9</v>
      </c>
      <c r="R241" s="4">
        <v>149</v>
      </c>
      <c r="S241" s="4">
        <f t="shared" si="13"/>
        <v>0.14899999999999999</v>
      </c>
      <c r="T241" s="4">
        <f t="shared" si="14"/>
        <v>1.7126436781609192E-2</v>
      </c>
      <c r="V241" s="4" t="s">
        <v>533</v>
      </c>
      <c r="W241" s="4" t="s">
        <v>260</v>
      </c>
      <c r="AB241" s="20"/>
      <c r="AC241" s="20"/>
      <c r="AD241" s="19"/>
      <c r="AE241" s="19"/>
      <c r="AF241" s="19"/>
      <c r="AG241" s="19"/>
      <c r="AH241" s="19"/>
      <c r="AI241" s="19"/>
    </row>
    <row r="242" spans="1:35" ht="12.75" customHeight="1">
      <c r="A242" s="4" t="s">
        <v>261</v>
      </c>
      <c r="B242" s="14" t="s">
        <v>494</v>
      </c>
      <c r="C242" s="4" t="s">
        <v>474</v>
      </c>
      <c r="D242" s="4" t="s">
        <v>475</v>
      </c>
      <c r="E242" s="4" t="s">
        <v>495</v>
      </c>
      <c r="F242" s="4" t="s">
        <v>474</v>
      </c>
      <c r="G242" s="4" t="s">
        <v>486</v>
      </c>
      <c r="H242" s="4" t="s">
        <v>462</v>
      </c>
      <c r="I242" s="8">
        <v>45245</v>
      </c>
      <c r="J242" s="4" t="s">
        <v>477</v>
      </c>
      <c r="K242" s="11">
        <v>1</v>
      </c>
      <c r="L242" s="11">
        <v>9</v>
      </c>
      <c r="M242" s="11">
        <v>3</v>
      </c>
      <c r="N242" s="6" t="s">
        <v>473</v>
      </c>
      <c r="O242" s="4">
        <v>29.5</v>
      </c>
      <c r="P242" s="4">
        <v>23.4</v>
      </c>
      <c r="Q242" s="4">
        <v>4.7</v>
      </c>
      <c r="R242" s="4">
        <v>162</v>
      </c>
      <c r="S242" s="4">
        <f t="shared" si="13"/>
        <v>0.16200000000000001</v>
      </c>
      <c r="T242" s="4">
        <f t="shared" si="14"/>
        <v>1.6474576271186443E-2</v>
      </c>
      <c r="V242" s="4" t="s">
        <v>533</v>
      </c>
      <c r="W242" s="4" t="s">
        <v>261</v>
      </c>
      <c r="AB242" s="20"/>
      <c r="AC242" s="20"/>
      <c r="AD242" s="19"/>
      <c r="AE242" s="19"/>
      <c r="AF242" s="19"/>
      <c r="AG242" s="19"/>
      <c r="AH242" s="19"/>
      <c r="AI242" s="19"/>
    </row>
    <row r="243" spans="1:35" ht="12.75" customHeight="1">
      <c r="A243" s="4" t="s">
        <v>262</v>
      </c>
      <c r="B243" s="14" t="s">
        <v>494</v>
      </c>
      <c r="C243" s="4" t="s">
        <v>474</v>
      </c>
      <c r="D243" s="4" t="s">
        <v>475</v>
      </c>
      <c r="E243" s="4" t="s">
        <v>495</v>
      </c>
      <c r="F243" s="4" t="s">
        <v>474</v>
      </c>
      <c r="G243" s="4" t="s">
        <v>486</v>
      </c>
      <c r="H243" s="4" t="s">
        <v>462</v>
      </c>
      <c r="I243" s="8">
        <v>45245</v>
      </c>
      <c r="J243" s="4" t="s">
        <v>477</v>
      </c>
      <c r="K243" s="11">
        <v>1</v>
      </c>
      <c r="L243" s="11">
        <v>9</v>
      </c>
      <c r="M243" s="11">
        <v>3</v>
      </c>
      <c r="N243" s="6" t="s">
        <v>482</v>
      </c>
      <c r="O243" s="4">
        <v>25.4</v>
      </c>
      <c r="P243" s="4">
        <v>18.899999999999999</v>
      </c>
      <c r="Q243" s="4">
        <v>5.5</v>
      </c>
      <c r="R243" s="4">
        <v>141</v>
      </c>
      <c r="S243" s="4">
        <f t="shared" si="13"/>
        <v>0.14099999999999999</v>
      </c>
      <c r="T243" s="4">
        <f t="shared" si="14"/>
        <v>1.6653543307086613E-2</v>
      </c>
      <c r="V243" s="4" t="s">
        <v>533</v>
      </c>
      <c r="W243" s="4" t="s">
        <v>262</v>
      </c>
      <c r="AB243" s="20"/>
      <c r="AC243" s="20"/>
      <c r="AD243" s="19"/>
      <c r="AE243" s="19"/>
      <c r="AF243" s="19"/>
      <c r="AG243" s="19"/>
      <c r="AH243" s="19"/>
      <c r="AI243" s="19"/>
    </row>
    <row r="244" spans="1:35" ht="12.75" customHeight="1">
      <c r="A244" s="4" t="s">
        <v>263</v>
      </c>
      <c r="B244" s="14" t="s">
        <v>494</v>
      </c>
      <c r="C244" s="4" t="s">
        <v>474</v>
      </c>
      <c r="D244" s="4" t="s">
        <v>475</v>
      </c>
      <c r="E244" s="4" t="s">
        <v>495</v>
      </c>
      <c r="F244" s="4" t="s">
        <v>474</v>
      </c>
      <c r="G244" s="4" t="s">
        <v>486</v>
      </c>
      <c r="H244" s="4" t="s">
        <v>462</v>
      </c>
      <c r="I244" s="8">
        <v>45245</v>
      </c>
      <c r="J244" s="4" t="s">
        <v>477</v>
      </c>
      <c r="K244" s="11">
        <v>1</v>
      </c>
      <c r="L244" s="11">
        <v>9</v>
      </c>
      <c r="M244" s="11">
        <v>3</v>
      </c>
      <c r="N244" s="6" t="s">
        <v>473</v>
      </c>
      <c r="O244" s="4">
        <v>30.4</v>
      </c>
      <c r="P244" s="4">
        <v>23.7</v>
      </c>
      <c r="Q244" s="4">
        <v>6.2</v>
      </c>
      <c r="R244" s="4">
        <v>220</v>
      </c>
      <c r="S244" s="13">
        <f t="shared" si="13"/>
        <v>0.22</v>
      </c>
      <c r="T244" s="4">
        <f t="shared" si="14"/>
        <v>2.1710526315789472E-2</v>
      </c>
      <c r="V244" s="4" t="s">
        <v>533</v>
      </c>
      <c r="W244" s="4" t="s">
        <v>263</v>
      </c>
      <c r="AB244" s="20"/>
      <c r="AC244" s="20"/>
      <c r="AD244" s="19"/>
      <c r="AE244" s="19"/>
      <c r="AF244" s="19"/>
      <c r="AG244" s="19"/>
      <c r="AH244" s="19"/>
      <c r="AI244" s="19"/>
    </row>
    <row r="245" spans="1:35" ht="12.75" customHeight="1">
      <c r="A245" s="4" t="s">
        <v>264</v>
      </c>
      <c r="B245" s="14" t="s">
        <v>494</v>
      </c>
      <c r="C245" s="4" t="s">
        <v>474</v>
      </c>
      <c r="D245" s="4" t="s">
        <v>475</v>
      </c>
      <c r="E245" s="4" t="s">
        <v>495</v>
      </c>
      <c r="F245" s="4" t="s">
        <v>474</v>
      </c>
      <c r="G245" s="4" t="s">
        <v>486</v>
      </c>
      <c r="H245" s="4" t="s">
        <v>462</v>
      </c>
      <c r="I245" s="8">
        <v>45245</v>
      </c>
      <c r="J245" s="4" t="s">
        <v>477</v>
      </c>
      <c r="K245" s="11">
        <v>1</v>
      </c>
      <c r="L245" s="11">
        <v>9</v>
      </c>
      <c r="M245" s="11">
        <v>3</v>
      </c>
      <c r="N245" s="6" t="s">
        <v>473</v>
      </c>
      <c r="O245" s="4">
        <v>22.8</v>
      </c>
      <c r="P245" s="4">
        <v>18.2</v>
      </c>
      <c r="Q245" s="4">
        <v>3.8</v>
      </c>
      <c r="R245" s="4">
        <v>78</v>
      </c>
      <c r="S245" s="4">
        <f t="shared" si="13"/>
        <v>7.8E-2</v>
      </c>
      <c r="T245" s="4">
        <f t="shared" si="14"/>
        <v>1.0263157894736842E-2</v>
      </c>
      <c r="V245" s="4" t="s">
        <v>533</v>
      </c>
      <c r="W245" s="4" t="s">
        <v>264</v>
      </c>
      <c r="AB245" s="20"/>
      <c r="AC245" s="20"/>
      <c r="AD245" s="19"/>
      <c r="AE245" s="19"/>
      <c r="AF245" s="19"/>
      <c r="AG245" s="19"/>
      <c r="AH245" s="19"/>
      <c r="AI245" s="19"/>
    </row>
    <row r="246" spans="1:35" ht="12.75" customHeight="1">
      <c r="A246" s="4" t="s">
        <v>265</v>
      </c>
      <c r="B246" s="14" t="s">
        <v>494</v>
      </c>
      <c r="C246" s="4" t="s">
        <v>474</v>
      </c>
      <c r="D246" s="4" t="s">
        <v>475</v>
      </c>
      <c r="E246" s="4" t="s">
        <v>495</v>
      </c>
      <c r="F246" s="4" t="s">
        <v>474</v>
      </c>
      <c r="G246" s="4" t="s">
        <v>486</v>
      </c>
      <c r="H246" s="4" t="s">
        <v>462</v>
      </c>
      <c r="I246" s="8">
        <v>45245</v>
      </c>
      <c r="J246" s="4" t="s">
        <v>477</v>
      </c>
      <c r="K246" s="11">
        <v>1</v>
      </c>
      <c r="L246" s="11">
        <v>9</v>
      </c>
      <c r="M246" s="11">
        <v>3</v>
      </c>
      <c r="N246" s="6" t="s">
        <v>473</v>
      </c>
      <c r="O246" s="4">
        <v>27.5</v>
      </c>
      <c r="P246" s="4">
        <v>21.4</v>
      </c>
      <c r="Q246" s="4">
        <v>4.8</v>
      </c>
      <c r="R246" s="4">
        <v>135</v>
      </c>
      <c r="S246" s="4">
        <f t="shared" si="13"/>
        <v>0.13500000000000001</v>
      </c>
      <c r="T246" s="4">
        <f t="shared" si="14"/>
        <v>1.4727272727272729E-2</v>
      </c>
      <c r="V246" s="4" t="s">
        <v>533</v>
      </c>
      <c r="W246" s="4" t="s">
        <v>265</v>
      </c>
      <c r="AB246" s="20"/>
      <c r="AC246" s="20"/>
      <c r="AD246" s="19"/>
      <c r="AE246" s="19"/>
      <c r="AF246" s="19"/>
      <c r="AG246" s="19"/>
      <c r="AH246" s="19"/>
      <c r="AI246" s="19"/>
    </row>
    <row r="247" spans="1:35" ht="12.75" customHeight="1">
      <c r="A247" s="4" t="s">
        <v>266</v>
      </c>
      <c r="B247" s="14" t="s">
        <v>494</v>
      </c>
      <c r="C247" s="4" t="s">
        <v>474</v>
      </c>
      <c r="D247" s="4" t="s">
        <v>475</v>
      </c>
      <c r="E247" s="4" t="s">
        <v>495</v>
      </c>
      <c r="F247" s="4" t="s">
        <v>474</v>
      </c>
      <c r="G247" s="4" t="s">
        <v>486</v>
      </c>
      <c r="H247" s="4" t="s">
        <v>462</v>
      </c>
      <c r="I247" s="8">
        <v>45245</v>
      </c>
      <c r="J247" s="4" t="s">
        <v>477</v>
      </c>
      <c r="K247" s="11">
        <v>1</v>
      </c>
      <c r="L247" s="11">
        <v>9</v>
      </c>
      <c r="M247" s="11">
        <v>3</v>
      </c>
      <c r="N247" s="6" t="s">
        <v>473</v>
      </c>
      <c r="O247" s="4">
        <v>30.7</v>
      </c>
      <c r="P247" s="4">
        <v>24.7</v>
      </c>
      <c r="Q247" s="4">
        <v>5.0999999999999996</v>
      </c>
      <c r="R247" s="4">
        <v>160</v>
      </c>
      <c r="S247" s="13">
        <f t="shared" si="13"/>
        <v>0.16</v>
      </c>
      <c r="T247" s="4">
        <f t="shared" si="14"/>
        <v>1.5635179153094463E-2</v>
      </c>
      <c r="V247" s="4" t="s">
        <v>533</v>
      </c>
      <c r="W247" s="4" t="s">
        <v>266</v>
      </c>
      <c r="AB247" s="20"/>
      <c r="AC247" s="20"/>
      <c r="AD247" s="19"/>
      <c r="AE247" s="19"/>
      <c r="AF247" s="19"/>
      <c r="AG247" s="19"/>
      <c r="AH247" s="19"/>
      <c r="AI247" s="19"/>
    </row>
    <row r="248" spans="1:35" ht="12.75" customHeight="1">
      <c r="A248" s="4" t="s">
        <v>267</v>
      </c>
      <c r="B248" s="14" t="s">
        <v>494</v>
      </c>
      <c r="C248" s="4" t="s">
        <v>474</v>
      </c>
      <c r="D248" s="4" t="s">
        <v>475</v>
      </c>
      <c r="E248" s="4" t="s">
        <v>495</v>
      </c>
      <c r="F248" s="4" t="s">
        <v>474</v>
      </c>
      <c r="G248" s="4" t="s">
        <v>486</v>
      </c>
      <c r="H248" s="4" t="s">
        <v>462</v>
      </c>
      <c r="I248" s="8">
        <v>45245</v>
      </c>
      <c r="J248" s="4" t="s">
        <v>477</v>
      </c>
      <c r="K248" s="11">
        <v>1</v>
      </c>
      <c r="L248" s="11">
        <v>9</v>
      </c>
      <c r="M248" s="11">
        <v>3</v>
      </c>
      <c r="N248" s="6" t="s">
        <v>473</v>
      </c>
      <c r="O248" s="4">
        <v>29.1</v>
      </c>
      <c r="P248" s="4">
        <v>23.1</v>
      </c>
      <c r="Q248" s="4">
        <v>6</v>
      </c>
      <c r="R248" s="4">
        <v>226</v>
      </c>
      <c r="S248" s="4">
        <f t="shared" si="13"/>
        <v>0.22600000000000001</v>
      </c>
      <c r="T248" s="4">
        <f t="shared" si="14"/>
        <v>2.3298969072164947E-2</v>
      </c>
      <c r="V248" s="4" t="s">
        <v>533</v>
      </c>
      <c r="W248" s="4" t="s">
        <v>267</v>
      </c>
      <c r="AB248" s="20"/>
      <c r="AC248" s="20"/>
      <c r="AD248" s="19"/>
      <c r="AE248" s="19"/>
      <c r="AF248" s="19"/>
      <c r="AG248" s="19"/>
      <c r="AH248" s="19"/>
      <c r="AI248" s="19"/>
    </row>
    <row r="249" spans="1:35" ht="12.75" customHeight="1">
      <c r="A249" s="4" t="s">
        <v>268</v>
      </c>
      <c r="B249" s="14" t="s">
        <v>494</v>
      </c>
      <c r="C249" s="4" t="s">
        <v>474</v>
      </c>
      <c r="D249" s="4" t="s">
        <v>475</v>
      </c>
      <c r="E249" s="4" t="s">
        <v>495</v>
      </c>
      <c r="F249" s="4" t="s">
        <v>474</v>
      </c>
      <c r="G249" s="4" t="s">
        <v>486</v>
      </c>
      <c r="H249" s="4" t="s">
        <v>462</v>
      </c>
      <c r="I249" s="8">
        <v>45245</v>
      </c>
      <c r="J249" s="4" t="s">
        <v>477</v>
      </c>
      <c r="K249" s="11">
        <v>1</v>
      </c>
      <c r="L249" s="11">
        <v>9</v>
      </c>
      <c r="M249" s="11">
        <v>3</v>
      </c>
      <c r="N249" s="6" t="s">
        <v>482</v>
      </c>
      <c r="O249" s="4">
        <v>31.1</v>
      </c>
      <c r="P249" s="4">
        <v>23.6</v>
      </c>
      <c r="Q249" s="4">
        <v>7.8</v>
      </c>
      <c r="R249" s="4">
        <v>288</v>
      </c>
      <c r="S249" s="4">
        <f t="shared" si="13"/>
        <v>0.28799999999999998</v>
      </c>
      <c r="T249" s="4">
        <f t="shared" si="14"/>
        <v>2.7781350482315108E-2</v>
      </c>
      <c r="V249" s="4" t="s">
        <v>533</v>
      </c>
      <c r="W249" s="4" t="s">
        <v>268</v>
      </c>
      <c r="AB249" s="20"/>
      <c r="AC249" s="20"/>
      <c r="AD249" s="19"/>
      <c r="AE249" s="19"/>
      <c r="AF249" s="19"/>
      <c r="AG249" s="19"/>
      <c r="AH249" s="19"/>
      <c r="AI249" s="19"/>
    </row>
    <row r="250" spans="1:35" ht="12.75" customHeight="1">
      <c r="A250" s="4" t="s">
        <v>269</v>
      </c>
      <c r="B250" s="14" t="s">
        <v>494</v>
      </c>
      <c r="C250" s="4" t="s">
        <v>474</v>
      </c>
      <c r="D250" s="4" t="s">
        <v>475</v>
      </c>
      <c r="E250" s="4" t="s">
        <v>495</v>
      </c>
      <c r="F250" s="4" t="s">
        <v>474</v>
      </c>
      <c r="G250" s="4" t="s">
        <v>486</v>
      </c>
      <c r="H250" s="4" t="s">
        <v>462</v>
      </c>
      <c r="I250" s="8">
        <v>45245</v>
      </c>
      <c r="J250" s="4" t="s">
        <v>477</v>
      </c>
      <c r="K250" s="11">
        <v>1</v>
      </c>
      <c r="L250" s="11">
        <v>9</v>
      </c>
      <c r="M250" s="11">
        <v>3</v>
      </c>
      <c r="N250" s="6" t="s">
        <v>482</v>
      </c>
      <c r="O250" s="4">
        <v>27.3</v>
      </c>
      <c r="P250" s="4">
        <v>21.9</v>
      </c>
      <c r="Q250" s="4">
        <v>7.1</v>
      </c>
      <c r="R250" s="4">
        <v>196</v>
      </c>
      <c r="S250" s="4">
        <f t="shared" si="13"/>
        <v>0.19600000000000001</v>
      </c>
      <c r="T250" s="4">
        <f t="shared" si="14"/>
        <v>2.1538461538461538E-2</v>
      </c>
      <c r="V250" s="4" t="s">
        <v>533</v>
      </c>
      <c r="W250" s="4" t="s">
        <v>269</v>
      </c>
      <c r="AB250" s="20"/>
      <c r="AC250" s="20"/>
      <c r="AD250" s="19"/>
      <c r="AE250" s="19"/>
      <c r="AF250" s="19"/>
      <c r="AG250" s="19"/>
      <c r="AH250" s="19"/>
      <c r="AI250" s="19"/>
    </row>
    <row r="251" spans="1:35" ht="12.75" customHeight="1">
      <c r="A251" s="4" t="s">
        <v>270</v>
      </c>
      <c r="B251" s="14" t="s">
        <v>494</v>
      </c>
      <c r="C251" s="4" t="s">
        <v>474</v>
      </c>
      <c r="D251" s="4" t="s">
        <v>475</v>
      </c>
      <c r="E251" s="4" t="s">
        <v>495</v>
      </c>
      <c r="F251" s="4" t="s">
        <v>474</v>
      </c>
      <c r="G251" s="4" t="s">
        <v>486</v>
      </c>
      <c r="H251" s="4" t="s">
        <v>462</v>
      </c>
      <c r="I251" s="8">
        <v>45245</v>
      </c>
      <c r="J251" s="4" t="s">
        <v>477</v>
      </c>
      <c r="K251" s="11">
        <v>1</v>
      </c>
      <c r="L251" s="11">
        <v>9</v>
      </c>
      <c r="M251" s="11">
        <v>3</v>
      </c>
      <c r="N251" s="6" t="s">
        <v>473</v>
      </c>
      <c r="O251" s="4">
        <v>27.8</v>
      </c>
      <c r="P251" s="4">
        <v>21.4</v>
      </c>
      <c r="Q251" s="4">
        <v>5.2</v>
      </c>
      <c r="R251" s="4">
        <v>147</v>
      </c>
      <c r="S251" s="4">
        <f t="shared" si="13"/>
        <v>0.14699999999999999</v>
      </c>
      <c r="T251" s="4">
        <f t="shared" si="14"/>
        <v>1.5863309352517983E-2</v>
      </c>
      <c r="V251" s="4" t="s">
        <v>533</v>
      </c>
      <c r="W251" s="4" t="s">
        <v>270</v>
      </c>
      <c r="AB251" s="20"/>
      <c r="AC251" s="20"/>
      <c r="AD251" s="19"/>
      <c r="AE251" s="19"/>
      <c r="AF251" s="19"/>
      <c r="AG251" s="19"/>
      <c r="AH251" s="19"/>
      <c r="AI251" s="19"/>
    </row>
    <row r="252" spans="1:35" ht="12.75" customHeight="1">
      <c r="A252" s="4" t="s">
        <v>271</v>
      </c>
      <c r="B252" s="14" t="s">
        <v>494</v>
      </c>
      <c r="C252" s="4" t="s">
        <v>474</v>
      </c>
      <c r="D252" s="4" t="s">
        <v>475</v>
      </c>
      <c r="E252" s="4" t="s">
        <v>495</v>
      </c>
      <c r="F252" s="4" t="s">
        <v>474</v>
      </c>
      <c r="G252" s="4" t="s">
        <v>486</v>
      </c>
      <c r="H252" s="4" t="s">
        <v>462</v>
      </c>
      <c r="I252" s="8">
        <v>45245</v>
      </c>
      <c r="J252" s="4" t="s">
        <v>477</v>
      </c>
      <c r="K252" s="11">
        <v>1</v>
      </c>
      <c r="L252" s="11">
        <v>9</v>
      </c>
      <c r="M252" s="11">
        <v>3</v>
      </c>
      <c r="N252" s="6" t="s">
        <v>482</v>
      </c>
      <c r="O252" s="4">
        <v>28.1</v>
      </c>
      <c r="P252" s="4">
        <v>21.1</v>
      </c>
      <c r="Q252" s="4">
        <v>6.4</v>
      </c>
      <c r="R252" s="4">
        <v>163</v>
      </c>
      <c r="S252" s="4">
        <f t="shared" si="13"/>
        <v>0.16300000000000001</v>
      </c>
      <c r="T252" s="4">
        <f t="shared" si="14"/>
        <v>1.7402135231316725E-2</v>
      </c>
      <c r="V252" s="4" t="s">
        <v>533</v>
      </c>
      <c r="W252" s="4" t="s">
        <v>271</v>
      </c>
      <c r="AB252" s="20"/>
      <c r="AC252" s="20"/>
      <c r="AD252" s="19"/>
      <c r="AE252" s="19"/>
      <c r="AF252" s="19"/>
      <c r="AG252" s="19"/>
      <c r="AH252" s="19"/>
      <c r="AI252" s="19"/>
    </row>
    <row r="253" spans="1:35" ht="12.75" customHeight="1">
      <c r="A253" s="4" t="s">
        <v>272</v>
      </c>
      <c r="B253" s="14" t="s">
        <v>494</v>
      </c>
      <c r="C253" s="4" t="s">
        <v>474</v>
      </c>
      <c r="D253" s="4" t="s">
        <v>475</v>
      </c>
      <c r="E253" s="4" t="s">
        <v>495</v>
      </c>
      <c r="F253" s="4" t="s">
        <v>474</v>
      </c>
      <c r="G253" s="4" t="s">
        <v>486</v>
      </c>
      <c r="H253" s="4" t="s">
        <v>462</v>
      </c>
      <c r="I253" s="8">
        <v>45245</v>
      </c>
      <c r="J253" s="4" t="s">
        <v>477</v>
      </c>
      <c r="K253" s="11">
        <v>1</v>
      </c>
      <c r="L253" s="11">
        <v>9</v>
      </c>
      <c r="M253" s="11">
        <v>3</v>
      </c>
      <c r="N253" s="6" t="s">
        <v>482</v>
      </c>
      <c r="O253" s="4">
        <v>21.5</v>
      </c>
      <c r="P253" s="4">
        <v>20</v>
      </c>
      <c r="Q253" s="4">
        <v>5.8</v>
      </c>
      <c r="R253" s="4">
        <v>144</v>
      </c>
      <c r="S253" s="4">
        <f t="shared" si="13"/>
        <v>0.14399999999999999</v>
      </c>
      <c r="T253" s="4">
        <f t="shared" si="14"/>
        <v>2.0093023255813951E-2</v>
      </c>
      <c r="V253" s="4" t="s">
        <v>533</v>
      </c>
      <c r="W253" s="4" t="s">
        <v>272</v>
      </c>
      <c r="AB253" s="20"/>
      <c r="AC253" s="20"/>
      <c r="AD253" s="19"/>
      <c r="AE253" s="19"/>
      <c r="AF253" s="19"/>
      <c r="AG253" s="19"/>
      <c r="AH253" s="19"/>
      <c r="AI253" s="19"/>
    </row>
    <row r="254" spans="1:35" ht="12.75" customHeight="1">
      <c r="A254" s="4" t="s">
        <v>273</v>
      </c>
      <c r="B254" s="14" t="s">
        <v>494</v>
      </c>
      <c r="C254" s="4" t="s">
        <v>474</v>
      </c>
      <c r="D254" s="4" t="s">
        <v>475</v>
      </c>
      <c r="E254" s="4" t="s">
        <v>495</v>
      </c>
      <c r="F254" s="4" t="s">
        <v>474</v>
      </c>
      <c r="G254" s="4" t="s">
        <v>486</v>
      </c>
      <c r="H254" s="4" t="s">
        <v>462</v>
      </c>
      <c r="I254" s="8">
        <v>45245</v>
      </c>
      <c r="J254" s="4" t="s">
        <v>477</v>
      </c>
      <c r="K254" s="11">
        <v>1</v>
      </c>
      <c r="L254" s="11">
        <v>9</v>
      </c>
      <c r="M254" s="11">
        <v>3</v>
      </c>
      <c r="N254" s="6" t="s">
        <v>482</v>
      </c>
      <c r="O254" s="4">
        <v>27.9</v>
      </c>
      <c r="P254" s="4">
        <v>21.1</v>
      </c>
      <c r="Q254" s="4">
        <v>7.1</v>
      </c>
      <c r="R254" s="4">
        <v>192</v>
      </c>
      <c r="S254" s="4">
        <f t="shared" si="13"/>
        <v>0.192</v>
      </c>
      <c r="T254" s="4">
        <f t="shared" si="14"/>
        <v>2.0645161290322584E-2</v>
      </c>
      <c r="V254" s="4" t="s">
        <v>533</v>
      </c>
      <c r="W254" s="4" t="s">
        <v>273</v>
      </c>
      <c r="AB254" s="20"/>
      <c r="AC254" s="20"/>
      <c r="AD254" s="19"/>
      <c r="AE254" s="19"/>
      <c r="AF254" s="19"/>
      <c r="AG254" s="19"/>
      <c r="AH254" s="19"/>
      <c r="AI254" s="19"/>
    </row>
    <row r="255" spans="1:35" ht="12.75" customHeight="1">
      <c r="A255" s="4" t="s">
        <v>274</v>
      </c>
      <c r="B255" s="14" t="s">
        <v>494</v>
      </c>
      <c r="C255" s="4" t="s">
        <v>474</v>
      </c>
      <c r="D255" s="4" t="s">
        <v>475</v>
      </c>
      <c r="E255" s="4" t="s">
        <v>495</v>
      </c>
      <c r="F255" s="4" t="s">
        <v>474</v>
      </c>
      <c r="G255" s="4" t="s">
        <v>486</v>
      </c>
      <c r="H255" s="4" t="s">
        <v>462</v>
      </c>
      <c r="I255" s="8">
        <v>45245</v>
      </c>
      <c r="J255" s="4" t="s">
        <v>477</v>
      </c>
      <c r="K255" s="11">
        <v>1</v>
      </c>
      <c r="L255" s="11">
        <v>9</v>
      </c>
      <c r="M255" s="11">
        <v>3</v>
      </c>
      <c r="N255" s="6" t="s">
        <v>482</v>
      </c>
      <c r="O255" s="4">
        <v>23.3</v>
      </c>
      <c r="P255" s="4">
        <v>20.100000000000001</v>
      </c>
      <c r="Q255" s="4">
        <v>6</v>
      </c>
      <c r="R255" s="4">
        <v>141</v>
      </c>
      <c r="S255" s="4">
        <f t="shared" si="13"/>
        <v>0.14099999999999999</v>
      </c>
      <c r="T255" s="4">
        <f t="shared" si="14"/>
        <v>1.8154506437768239E-2</v>
      </c>
      <c r="V255" s="4" t="s">
        <v>533</v>
      </c>
      <c r="W255" s="4" t="s">
        <v>274</v>
      </c>
      <c r="AB255" s="20"/>
      <c r="AC255" s="20"/>
      <c r="AD255" s="19"/>
      <c r="AE255" s="19"/>
      <c r="AF255" s="19"/>
      <c r="AG255" s="19"/>
      <c r="AH255" s="19"/>
      <c r="AI255" s="19"/>
    </row>
    <row r="256" spans="1:35" ht="12.75" customHeight="1">
      <c r="A256" s="4" t="s">
        <v>275</v>
      </c>
      <c r="B256" s="14" t="s">
        <v>494</v>
      </c>
      <c r="C256" s="4" t="s">
        <v>474</v>
      </c>
      <c r="D256" s="4" t="s">
        <v>475</v>
      </c>
      <c r="E256" s="4" t="s">
        <v>495</v>
      </c>
      <c r="F256" s="4" t="s">
        <v>474</v>
      </c>
      <c r="G256" s="4" t="s">
        <v>486</v>
      </c>
      <c r="H256" s="4" t="s">
        <v>462</v>
      </c>
      <c r="I256" s="8">
        <v>45245</v>
      </c>
      <c r="J256" s="4" t="s">
        <v>477</v>
      </c>
      <c r="K256" s="11">
        <v>1</v>
      </c>
      <c r="L256" s="11">
        <v>9</v>
      </c>
      <c r="M256" s="11">
        <v>3</v>
      </c>
      <c r="N256" s="6" t="s">
        <v>479</v>
      </c>
      <c r="O256" s="4">
        <v>35.700000000000003</v>
      </c>
      <c r="P256" s="4">
        <v>29.1</v>
      </c>
      <c r="Q256" s="4">
        <v>8</v>
      </c>
      <c r="R256" s="4">
        <v>386</v>
      </c>
      <c r="S256" s="4">
        <f t="shared" si="13"/>
        <v>0.38600000000000001</v>
      </c>
      <c r="T256" s="4">
        <f t="shared" si="14"/>
        <v>3.2436974789915966E-2</v>
      </c>
      <c r="V256" s="4" t="s">
        <v>533</v>
      </c>
      <c r="W256" s="4" t="s">
        <v>275</v>
      </c>
      <c r="AB256" s="20"/>
      <c r="AC256" s="20"/>
      <c r="AD256" s="19"/>
      <c r="AE256" s="19"/>
      <c r="AF256" s="19"/>
      <c r="AG256" s="19"/>
      <c r="AH256" s="19"/>
      <c r="AI256" s="19"/>
    </row>
    <row r="257" spans="1:35" ht="12.75" customHeight="1">
      <c r="A257" s="4" t="s">
        <v>276</v>
      </c>
      <c r="B257" s="14" t="s">
        <v>494</v>
      </c>
      <c r="C257" s="4" t="s">
        <v>474</v>
      </c>
      <c r="D257" s="4" t="s">
        <v>475</v>
      </c>
      <c r="E257" s="4" t="s">
        <v>495</v>
      </c>
      <c r="F257" s="4" t="s">
        <v>474</v>
      </c>
      <c r="G257" s="4" t="s">
        <v>486</v>
      </c>
      <c r="H257" s="4" t="s">
        <v>462</v>
      </c>
      <c r="I257" s="8">
        <v>45245</v>
      </c>
      <c r="J257" s="4" t="s">
        <v>477</v>
      </c>
      <c r="K257" s="11">
        <v>1</v>
      </c>
      <c r="L257" s="11">
        <v>9</v>
      </c>
      <c r="M257" s="11">
        <v>3</v>
      </c>
      <c r="N257" s="6" t="s">
        <v>482</v>
      </c>
      <c r="O257" s="4">
        <v>32.700000000000003</v>
      </c>
      <c r="P257" s="4">
        <v>25.3</v>
      </c>
      <c r="Q257" s="4">
        <v>8.8000000000000007</v>
      </c>
      <c r="R257" s="4">
        <v>345</v>
      </c>
      <c r="S257" s="4">
        <f t="shared" si="13"/>
        <v>0.34499999999999997</v>
      </c>
      <c r="T257" s="4">
        <f t="shared" si="14"/>
        <v>3.1651376146788986E-2</v>
      </c>
      <c r="V257" s="4" t="s">
        <v>533</v>
      </c>
      <c r="W257" s="4" t="s">
        <v>276</v>
      </c>
      <c r="AB257" s="20"/>
      <c r="AC257" s="20"/>
      <c r="AD257" s="19"/>
      <c r="AE257" s="19"/>
      <c r="AF257" s="19"/>
      <c r="AG257" s="19"/>
      <c r="AH257" s="19"/>
      <c r="AI257" s="19"/>
    </row>
    <row r="258" spans="1:35" ht="12.75" customHeight="1">
      <c r="A258" s="4" t="s">
        <v>277</v>
      </c>
      <c r="B258" s="14" t="s">
        <v>494</v>
      </c>
      <c r="C258" s="4" t="s">
        <v>474</v>
      </c>
      <c r="D258" s="4" t="s">
        <v>475</v>
      </c>
      <c r="E258" s="4" t="s">
        <v>495</v>
      </c>
      <c r="F258" s="4" t="s">
        <v>474</v>
      </c>
      <c r="G258" s="4" t="s">
        <v>486</v>
      </c>
      <c r="H258" s="4" t="s">
        <v>462</v>
      </c>
      <c r="I258" s="8">
        <v>45245</v>
      </c>
      <c r="J258" s="4" t="s">
        <v>477</v>
      </c>
      <c r="K258" s="11">
        <v>1</v>
      </c>
      <c r="L258" s="11">
        <v>9</v>
      </c>
      <c r="M258" s="11">
        <v>3</v>
      </c>
      <c r="N258" s="6" t="s">
        <v>473</v>
      </c>
      <c r="O258" s="4">
        <v>24.6</v>
      </c>
      <c r="P258" s="4">
        <v>20.8</v>
      </c>
      <c r="Q258" s="4">
        <v>5.5</v>
      </c>
      <c r="R258" s="4">
        <v>137</v>
      </c>
      <c r="S258" s="4">
        <f t="shared" si="13"/>
        <v>0.13700000000000001</v>
      </c>
      <c r="T258" s="4">
        <f t="shared" si="14"/>
        <v>1.6707317073170733E-2</v>
      </c>
      <c r="V258" s="4" t="s">
        <v>533</v>
      </c>
      <c r="W258" s="4" t="s">
        <v>277</v>
      </c>
      <c r="AB258" s="20"/>
      <c r="AC258" s="20"/>
      <c r="AD258" s="19"/>
      <c r="AE258" s="19"/>
      <c r="AF258" s="19"/>
      <c r="AG258" s="19"/>
      <c r="AH258" s="19"/>
      <c r="AI258" s="19"/>
    </row>
    <row r="259" spans="1:35" ht="12.75" customHeight="1">
      <c r="A259" s="4" t="s">
        <v>278</v>
      </c>
      <c r="B259" s="14" t="s">
        <v>494</v>
      </c>
      <c r="C259" s="4" t="s">
        <v>474</v>
      </c>
      <c r="D259" s="4" t="s">
        <v>475</v>
      </c>
      <c r="E259" s="4" t="s">
        <v>495</v>
      </c>
      <c r="F259" s="4" t="s">
        <v>474</v>
      </c>
      <c r="G259" s="4" t="s">
        <v>486</v>
      </c>
      <c r="H259" s="4" t="s">
        <v>462</v>
      </c>
      <c r="I259" s="8">
        <v>45245</v>
      </c>
      <c r="J259" s="4" t="s">
        <v>477</v>
      </c>
      <c r="K259" s="11">
        <v>1</v>
      </c>
      <c r="L259" s="11">
        <v>9</v>
      </c>
      <c r="M259" s="11">
        <v>3</v>
      </c>
      <c r="N259" s="6" t="s">
        <v>473</v>
      </c>
      <c r="O259" s="4">
        <v>32.5</v>
      </c>
      <c r="P259" s="4">
        <v>24.1</v>
      </c>
      <c r="Q259" s="4">
        <v>6.8</v>
      </c>
      <c r="R259" s="4">
        <v>285</v>
      </c>
      <c r="S259" s="4">
        <f t="shared" ref="S259:S322" si="18">R259/1000</f>
        <v>0.28499999999999998</v>
      </c>
      <c r="T259" s="4">
        <f t="shared" ref="T259:T322" si="19">S259/O259*3</f>
        <v>2.6307692307692306E-2</v>
      </c>
      <c r="V259" s="4" t="s">
        <v>533</v>
      </c>
      <c r="W259" s="4" t="s">
        <v>278</v>
      </c>
      <c r="AB259" s="20"/>
      <c r="AC259" s="20"/>
      <c r="AD259" s="19"/>
      <c r="AE259" s="19"/>
      <c r="AF259" s="19"/>
      <c r="AG259" s="19"/>
      <c r="AH259" s="19"/>
      <c r="AI259" s="19"/>
    </row>
    <row r="260" spans="1:35" ht="12.75" customHeight="1">
      <c r="A260" s="4" t="s">
        <v>279</v>
      </c>
      <c r="B260" s="14" t="s">
        <v>494</v>
      </c>
      <c r="C260" s="4" t="s">
        <v>474</v>
      </c>
      <c r="D260" s="4" t="s">
        <v>475</v>
      </c>
      <c r="E260" s="4" t="s">
        <v>495</v>
      </c>
      <c r="F260" s="4" t="s">
        <v>474</v>
      </c>
      <c r="G260" s="4" t="s">
        <v>486</v>
      </c>
      <c r="H260" s="4" t="s">
        <v>462</v>
      </c>
      <c r="I260" s="8">
        <v>45245</v>
      </c>
      <c r="J260" s="4" t="s">
        <v>477</v>
      </c>
      <c r="K260" s="11">
        <v>1</v>
      </c>
      <c r="L260" s="11">
        <v>9</v>
      </c>
      <c r="M260" s="11">
        <v>3</v>
      </c>
      <c r="N260" s="6" t="s">
        <v>482</v>
      </c>
      <c r="O260" s="4">
        <v>25.9</v>
      </c>
      <c r="P260" s="4">
        <v>20.399999999999999</v>
      </c>
      <c r="Q260" s="4">
        <v>6.2</v>
      </c>
      <c r="R260" s="4">
        <v>157</v>
      </c>
      <c r="S260" s="4">
        <f t="shared" si="18"/>
        <v>0.157</v>
      </c>
      <c r="T260" s="4">
        <f t="shared" si="19"/>
        <v>1.8185328185328187E-2</v>
      </c>
      <c r="V260" s="4" t="s">
        <v>533</v>
      </c>
      <c r="W260" s="4" t="s">
        <v>279</v>
      </c>
      <c r="AB260" s="20"/>
      <c r="AC260" s="20"/>
      <c r="AD260" s="19"/>
      <c r="AE260" s="19"/>
      <c r="AF260" s="19"/>
      <c r="AG260" s="19"/>
      <c r="AH260" s="19"/>
      <c r="AI260" s="19"/>
    </row>
    <row r="261" spans="1:35" ht="12.75" customHeight="1">
      <c r="A261" s="4" t="s">
        <v>280</v>
      </c>
      <c r="B261" s="14" t="s">
        <v>494</v>
      </c>
      <c r="C261" s="4" t="s">
        <v>474</v>
      </c>
      <c r="D261" s="4" t="s">
        <v>475</v>
      </c>
      <c r="E261" s="4" t="s">
        <v>495</v>
      </c>
      <c r="F261" s="4" t="s">
        <v>474</v>
      </c>
      <c r="G261" s="4" t="s">
        <v>486</v>
      </c>
      <c r="H261" s="4" t="s">
        <v>462</v>
      </c>
      <c r="I261" s="8">
        <v>45245</v>
      </c>
      <c r="J261" s="4" t="s">
        <v>477</v>
      </c>
      <c r="K261" s="11">
        <v>1</v>
      </c>
      <c r="L261" s="11">
        <v>9</v>
      </c>
      <c r="M261" s="11">
        <v>3</v>
      </c>
      <c r="N261" s="6" t="s">
        <v>473</v>
      </c>
      <c r="O261" s="4">
        <v>31</v>
      </c>
      <c r="P261" s="4">
        <v>24.4</v>
      </c>
      <c r="Q261" s="4">
        <v>6.4</v>
      </c>
      <c r="R261" s="4">
        <v>214</v>
      </c>
      <c r="S261" s="4">
        <f t="shared" si="18"/>
        <v>0.214</v>
      </c>
      <c r="T261" s="4">
        <f t="shared" si="19"/>
        <v>2.0709677419354838E-2</v>
      </c>
      <c r="V261" s="4" t="s">
        <v>533</v>
      </c>
      <c r="W261" s="4" t="s">
        <v>280</v>
      </c>
      <c r="AB261" s="20"/>
      <c r="AC261" s="20"/>
      <c r="AD261" s="19"/>
      <c r="AE261" s="19"/>
      <c r="AF261" s="19"/>
      <c r="AG261" s="19"/>
      <c r="AH261" s="19"/>
      <c r="AI261" s="19"/>
    </row>
    <row r="262" spans="1:35" ht="12.75" customHeight="1">
      <c r="A262" s="4" t="s">
        <v>281</v>
      </c>
      <c r="B262" s="14" t="s">
        <v>494</v>
      </c>
      <c r="C262" s="4" t="s">
        <v>474</v>
      </c>
      <c r="D262" s="4" t="s">
        <v>475</v>
      </c>
      <c r="E262" s="4" t="s">
        <v>495</v>
      </c>
      <c r="F262" s="4" t="s">
        <v>474</v>
      </c>
      <c r="G262" s="4" t="s">
        <v>486</v>
      </c>
      <c r="H262" s="4" t="s">
        <v>462</v>
      </c>
      <c r="I262" s="8">
        <v>45245</v>
      </c>
      <c r="J262" s="4" t="s">
        <v>477</v>
      </c>
      <c r="K262" s="11">
        <v>1</v>
      </c>
      <c r="L262" s="11">
        <v>9</v>
      </c>
      <c r="M262" s="11">
        <v>3</v>
      </c>
      <c r="N262" s="6" t="s">
        <v>479</v>
      </c>
      <c r="O262" s="4">
        <v>26.4</v>
      </c>
      <c r="P262" s="4">
        <v>23.8</v>
      </c>
      <c r="Q262" s="4">
        <v>6.3</v>
      </c>
      <c r="R262" s="4">
        <v>206</v>
      </c>
      <c r="S262" s="4">
        <f t="shared" si="18"/>
        <v>0.20599999999999999</v>
      </c>
      <c r="T262" s="4">
        <f t="shared" si="19"/>
        <v>2.3409090909090907E-2</v>
      </c>
      <c r="V262" s="4" t="s">
        <v>533</v>
      </c>
      <c r="W262" s="4" t="s">
        <v>281</v>
      </c>
      <c r="AB262" s="20"/>
      <c r="AC262" s="20"/>
      <c r="AD262" s="19"/>
      <c r="AE262" s="19"/>
      <c r="AF262" s="19"/>
      <c r="AG262" s="19"/>
      <c r="AH262" s="19"/>
      <c r="AI262" s="19"/>
    </row>
    <row r="263" spans="1:35" ht="12.75" customHeight="1">
      <c r="A263" s="4" t="s">
        <v>282</v>
      </c>
      <c r="B263" s="14" t="s">
        <v>494</v>
      </c>
      <c r="C263" s="4" t="s">
        <v>474</v>
      </c>
      <c r="D263" s="4" t="s">
        <v>475</v>
      </c>
      <c r="E263" s="4" t="s">
        <v>495</v>
      </c>
      <c r="F263" s="4" t="s">
        <v>474</v>
      </c>
      <c r="G263" s="4" t="s">
        <v>486</v>
      </c>
      <c r="H263" s="4" t="s">
        <v>462</v>
      </c>
      <c r="I263" s="8">
        <v>45245</v>
      </c>
      <c r="J263" s="4" t="s">
        <v>477</v>
      </c>
      <c r="K263" s="11">
        <v>1</v>
      </c>
      <c r="L263" s="11">
        <v>9</v>
      </c>
      <c r="M263" s="11">
        <v>3</v>
      </c>
      <c r="N263" s="6" t="s">
        <v>473</v>
      </c>
      <c r="O263" s="4">
        <v>29</v>
      </c>
      <c r="P263" s="4">
        <v>25</v>
      </c>
      <c r="Q263" s="4">
        <v>7.7</v>
      </c>
      <c r="R263" s="4">
        <v>277</v>
      </c>
      <c r="S263" s="4">
        <f t="shared" si="18"/>
        <v>0.27700000000000002</v>
      </c>
      <c r="T263" s="4">
        <f t="shared" si="19"/>
        <v>2.8655172413793107E-2</v>
      </c>
      <c r="V263" s="4" t="s">
        <v>533</v>
      </c>
      <c r="W263" s="4" t="s">
        <v>282</v>
      </c>
      <c r="AB263" s="20"/>
      <c r="AC263" s="20"/>
      <c r="AD263" s="19"/>
      <c r="AE263" s="19"/>
      <c r="AF263" s="19"/>
      <c r="AG263" s="19"/>
      <c r="AH263" s="19"/>
      <c r="AI263" s="19"/>
    </row>
    <row r="264" spans="1:35" ht="12.75" customHeight="1">
      <c r="A264" s="4" t="s">
        <v>283</v>
      </c>
      <c r="B264" s="14" t="s">
        <v>494</v>
      </c>
      <c r="C264" s="4" t="s">
        <v>474</v>
      </c>
      <c r="D264" s="4" t="s">
        <v>475</v>
      </c>
      <c r="E264" s="4" t="s">
        <v>495</v>
      </c>
      <c r="F264" s="4" t="s">
        <v>474</v>
      </c>
      <c r="G264" s="4" t="s">
        <v>486</v>
      </c>
      <c r="H264" s="4" t="s">
        <v>462</v>
      </c>
      <c r="I264" s="8">
        <v>45245</v>
      </c>
      <c r="J264" s="4" t="s">
        <v>477</v>
      </c>
      <c r="K264" s="11">
        <v>1</v>
      </c>
      <c r="L264" s="11">
        <v>9</v>
      </c>
      <c r="M264" s="11">
        <v>3</v>
      </c>
      <c r="N264" s="6" t="s">
        <v>473</v>
      </c>
      <c r="O264" s="4">
        <v>32.1</v>
      </c>
      <c r="P264" s="4">
        <v>25.4</v>
      </c>
      <c r="Q264" s="4">
        <v>6.4</v>
      </c>
      <c r="R264" s="4">
        <v>265</v>
      </c>
      <c r="S264" s="4">
        <f t="shared" si="18"/>
        <v>0.26500000000000001</v>
      </c>
      <c r="T264" s="4">
        <f t="shared" si="19"/>
        <v>2.4766355140186914E-2</v>
      </c>
      <c r="V264" s="4" t="s">
        <v>533</v>
      </c>
      <c r="W264" s="4" t="s">
        <v>283</v>
      </c>
      <c r="AB264" s="20"/>
      <c r="AC264" s="20"/>
      <c r="AD264" s="19"/>
      <c r="AE264" s="19"/>
      <c r="AF264" s="19"/>
      <c r="AG264" s="19"/>
      <c r="AH264" s="19"/>
      <c r="AI264" s="19"/>
    </row>
    <row r="265" spans="1:35" ht="12.75" customHeight="1">
      <c r="A265" s="4" t="s">
        <v>284</v>
      </c>
      <c r="B265" s="14" t="s">
        <v>494</v>
      </c>
      <c r="C265" s="4" t="s">
        <v>474</v>
      </c>
      <c r="D265" s="4" t="s">
        <v>475</v>
      </c>
      <c r="E265" s="4" t="s">
        <v>495</v>
      </c>
      <c r="F265" s="4" t="s">
        <v>474</v>
      </c>
      <c r="G265" s="4" t="s">
        <v>486</v>
      </c>
      <c r="H265" s="4" t="s">
        <v>462</v>
      </c>
      <c r="I265" s="8">
        <v>45245</v>
      </c>
      <c r="J265" s="4" t="s">
        <v>477</v>
      </c>
      <c r="K265" s="11">
        <v>1</v>
      </c>
      <c r="L265" s="11">
        <v>9</v>
      </c>
      <c r="M265" s="11">
        <v>3</v>
      </c>
      <c r="N265" s="6" t="s">
        <v>482</v>
      </c>
      <c r="O265" s="4">
        <v>23.3</v>
      </c>
      <c r="P265" s="4">
        <v>18.2</v>
      </c>
      <c r="Q265" s="4">
        <v>5.6</v>
      </c>
      <c r="R265" s="4">
        <v>120</v>
      </c>
      <c r="S265" s="13">
        <f t="shared" si="18"/>
        <v>0.12</v>
      </c>
      <c r="T265" s="4">
        <f t="shared" si="19"/>
        <v>1.5450643776824032E-2</v>
      </c>
      <c r="V265" s="4" t="s">
        <v>533</v>
      </c>
      <c r="W265" s="4" t="s">
        <v>284</v>
      </c>
      <c r="AB265" s="20"/>
      <c r="AC265" s="20"/>
      <c r="AD265" s="19"/>
      <c r="AE265" s="19"/>
      <c r="AF265" s="19"/>
      <c r="AG265" s="19"/>
      <c r="AH265" s="19"/>
      <c r="AI265" s="19"/>
    </row>
    <row r="266" spans="1:35" ht="12.75" customHeight="1">
      <c r="A266" s="4" t="s">
        <v>285</v>
      </c>
      <c r="B266" s="14" t="s">
        <v>494</v>
      </c>
      <c r="C266" s="4" t="s">
        <v>474</v>
      </c>
      <c r="D266" s="4" t="s">
        <v>475</v>
      </c>
      <c r="E266" s="4" t="s">
        <v>495</v>
      </c>
      <c r="F266" s="4" t="s">
        <v>474</v>
      </c>
      <c r="G266" s="4" t="s">
        <v>486</v>
      </c>
      <c r="H266" s="4" t="s">
        <v>462</v>
      </c>
      <c r="I266" s="8">
        <v>45245</v>
      </c>
      <c r="J266" s="4" t="s">
        <v>477</v>
      </c>
      <c r="K266" s="11">
        <v>1</v>
      </c>
      <c r="L266" s="11">
        <v>9</v>
      </c>
      <c r="M266" s="11">
        <v>3</v>
      </c>
      <c r="N266" s="6" t="s">
        <v>473</v>
      </c>
      <c r="O266" s="4">
        <v>31.1</v>
      </c>
      <c r="P266" s="4">
        <v>24.5</v>
      </c>
      <c r="Q266" s="4">
        <v>5.4</v>
      </c>
      <c r="R266" s="4">
        <v>207</v>
      </c>
      <c r="S266" s="4">
        <f t="shared" si="18"/>
        <v>0.20699999999999999</v>
      </c>
      <c r="T266" s="4">
        <f t="shared" si="19"/>
        <v>1.9967845659163985E-2</v>
      </c>
      <c r="V266" s="4" t="s">
        <v>533</v>
      </c>
      <c r="W266" s="4" t="s">
        <v>285</v>
      </c>
      <c r="AB266" s="20"/>
      <c r="AC266" s="20"/>
      <c r="AD266" s="19"/>
      <c r="AE266" s="19"/>
      <c r="AF266" s="19"/>
      <c r="AG266" s="19"/>
      <c r="AH266" s="19"/>
      <c r="AI266" s="19"/>
    </row>
    <row r="267" spans="1:35" ht="12.75" customHeight="1">
      <c r="A267" s="4" t="s">
        <v>286</v>
      </c>
      <c r="B267" s="14" t="s">
        <v>494</v>
      </c>
      <c r="C267" s="4" t="s">
        <v>474</v>
      </c>
      <c r="D267" s="4" t="s">
        <v>475</v>
      </c>
      <c r="E267" s="4" t="s">
        <v>495</v>
      </c>
      <c r="F267" s="4" t="s">
        <v>474</v>
      </c>
      <c r="G267" s="4" t="s">
        <v>486</v>
      </c>
      <c r="H267" s="4" t="s">
        <v>462</v>
      </c>
      <c r="I267" s="8">
        <v>45245</v>
      </c>
      <c r="J267" s="4" t="s">
        <v>477</v>
      </c>
      <c r="K267" s="11">
        <v>1</v>
      </c>
      <c r="L267" s="11">
        <v>9</v>
      </c>
      <c r="M267" s="11">
        <v>3</v>
      </c>
      <c r="N267" s="6" t="s">
        <v>473</v>
      </c>
      <c r="O267" s="4">
        <v>30.2</v>
      </c>
      <c r="P267" s="4">
        <v>25.2</v>
      </c>
      <c r="Q267" s="4">
        <v>6.9</v>
      </c>
      <c r="R267" s="4">
        <v>280</v>
      </c>
      <c r="S267" s="13">
        <f t="shared" si="18"/>
        <v>0.28000000000000003</v>
      </c>
      <c r="T267" s="4">
        <f t="shared" si="19"/>
        <v>2.7814569536423844E-2</v>
      </c>
      <c r="V267" s="4" t="s">
        <v>533</v>
      </c>
      <c r="W267" s="4" t="s">
        <v>286</v>
      </c>
      <c r="AB267" s="20"/>
      <c r="AC267" s="20"/>
      <c r="AD267" s="19"/>
      <c r="AE267" s="19"/>
      <c r="AF267" s="19"/>
      <c r="AG267" s="19"/>
      <c r="AH267" s="19"/>
      <c r="AI267" s="19"/>
    </row>
    <row r="268" spans="1:35" ht="12.75" customHeight="1">
      <c r="A268" s="4" t="s">
        <v>287</v>
      </c>
      <c r="B268" s="14" t="s">
        <v>494</v>
      </c>
      <c r="C268" s="4" t="s">
        <v>474</v>
      </c>
      <c r="D268" s="4" t="s">
        <v>475</v>
      </c>
      <c r="E268" s="4" t="s">
        <v>495</v>
      </c>
      <c r="F268" s="4" t="s">
        <v>474</v>
      </c>
      <c r="G268" s="4" t="s">
        <v>486</v>
      </c>
      <c r="H268" s="4" t="s">
        <v>462</v>
      </c>
      <c r="I268" s="8">
        <v>45245</v>
      </c>
      <c r="J268" s="4" t="s">
        <v>477</v>
      </c>
      <c r="K268" s="11">
        <v>1</v>
      </c>
      <c r="L268" s="11">
        <v>9</v>
      </c>
      <c r="M268" s="11">
        <v>3</v>
      </c>
      <c r="N268" s="6" t="s">
        <v>473</v>
      </c>
      <c r="O268" s="4">
        <v>23.1</v>
      </c>
      <c r="P268" s="4">
        <v>25</v>
      </c>
      <c r="Q268" s="4">
        <v>6.9</v>
      </c>
      <c r="R268" s="4">
        <v>269</v>
      </c>
      <c r="S268" s="4">
        <f t="shared" si="18"/>
        <v>0.26900000000000002</v>
      </c>
      <c r="T268" s="4">
        <f t="shared" si="19"/>
        <v>3.4935064935064937E-2</v>
      </c>
      <c r="V268" s="4" t="s">
        <v>533</v>
      </c>
      <c r="W268" s="4" t="s">
        <v>287</v>
      </c>
      <c r="AB268" s="20"/>
      <c r="AC268" s="20"/>
      <c r="AD268" s="19"/>
      <c r="AE268" s="19"/>
      <c r="AF268" s="19"/>
      <c r="AG268" s="19"/>
      <c r="AH268" s="19"/>
      <c r="AI268" s="19"/>
    </row>
    <row r="269" spans="1:35" ht="12.75" customHeight="1">
      <c r="A269" s="4" t="s">
        <v>288</v>
      </c>
      <c r="B269" s="14" t="s">
        <v>494</v>
      </c>
      <c r="C269" s="4" t="s">
        <v>474</v>
      </c>
      <c r="D269" s="4" t="s">
        <v>475</v>
      </c>
      <c r="E269" s="4" t="s">
        <v>495</v>
      </c>
      <c r="F269" s="4" t="s">
        <v>474</v>
      </c>
      <c r="G269" s="4" t="s">
        <v>486</v>
      </c>
      <c r="H269" s="4" t="s">
        <v>462</v>
      </c>
      <c r="I269" s="8">
        <v>45245</v>
      </c>
      <c r="J269" s="4" t="s">
        <v>477</v>
      </c>
      <c r="K269" s="11">
        <v>1</v>
      </c>
      <c r="L269" s="11">
        <v>9</v>
      </c>
      <c r="M269" s="11">
        <v>3</v>
      </c>
      <c r="N269" s="6" t="s">
        <v>473</v>
      </c>
      <c r="O269" s="4">
        <v>27</v>
      </c>
      <c r="P269" s="4">
        <v>21.3</v>
      </c>
      <c r="Q269" s="4">
        <v>5.0999999999999996</v>
      </c>
      <c r="R269" s="4">
        <v>145</v>
      </c>
      <c r="S269" s="4">
        <f t="shared" si="18"/>
        <v>0.14499999999999999</v>
      </c>
      <c r="T269" s="4">
        <f t="shared" si="19"/>
        <v>1.6111111111111111E-2</v>
      </c>
      <c r="V269" s="4" t="s">
        <v>533</v>
      </c>
      <c r="W269" s="4" t="s">
        <v>288</v>
      </c>
      <c r="AB269" s="20"/>
      <c r="AC269" s="20"/>
      <c r="AD269" s="19"/>
      <c r="AE269" s="19"/>
      <c r="AF269" s="19"/>
      <c r="AG269" s="19"/>
      <c r="AH269" s="19"/>
      <c r="AI269" s="19"/>
    </row>
    <row r="270" spans="1:35" ht="12.75" customHeight="1">
      <c r="A270" s="4" t="s">
        <v>289</v>
      </c>
      <c r="B270" s="14" t="s">
        <v>494</v>
      </c>
      <c r="C270" s="4" t="s">
        <v>474</v>
      </c>
      <c r="D270" s="4" t="s">
        <v>475</v>
      </c>
      <c r="E270" s="4" t="s">
        <v>495</v>
      </c>
      <c r="F270" s="4" t="s">
        <v>474</v>
      </c>
      <c r="G270" s="4" t="s">
        <v>486</v>
      </c>
      <c r="H270" s="4" t="s">
        <v>462</v>
      </c>
      <c r="I270" s="8">
        <v>45245</v>
      </c>
      <c r="J270" s="4" t="s">
        <v>477</v>
      </c>
      <c r="K270" s="11">
        <v>1</v>
      </c>
      <c r="L270" s="11">
        <v>9</v>
      </c>
      <c r="M270" s="11">
        <v>3</v>
      </c>
      <c r="N270" s="6" t="s">
        <v>482</v>
      </c>
      <c r="O270" s="4">
        <v>27.9</v>
      </c>
      <c r="P270" s="4">
        <v>21.1</v>
      </c>
      <c r="Q270" s="4">
        <v>6.6</v>
      </c>
      <c r="R270" s="4">
        <v>197</v>
      </c>
      <c r="S270" s="4">
        <f t="shared" si="18"/>
        <v>0.19700000000000001</v>
      </c>
      <c r="T270" s="4">
        <f t="shared" si="19"/>
        <v>2.1182795698924735E-2</v>
      </c>
      <c r="V270" s="4" t="s">
        <v>533</v>
      </c>
      <c r="W270" s="4" t="s">
        <v>289</v>
      </c>
      <c r="AB270" s="20"/>
      <c r="AC270" s="20"/>
      <c r="AD270" s="19"/>
      <c r="AE270" s="19"/>
      <c r="AF270" s="19"/>
      <c r="AG270" s="19"/>
      <c r="AH270" s="19"/>
      <c r="AI270" s="19"/>
    </row>
    <row r="271" spans="1:35" ht="12.75" customHeight="1">
      <c r="A271" s="4" t="s">
        <v>290</v>
      </c>
      <c r="B271" s="14" t="s">
        <v>494</v>
      </c>
      <c r="C271" s="4" t="s">
        <v>474</v>
      </c>
      <c r="D271" s="4" t="s">
        <v>475</v>
      </c>
      <c r="E271" s="4" t="s">
        <v>495</v>
      </c>
      <c r="F271" s="4" t="s">
        <v>474</v>
      </c>
      <c r="G271" s="4" t="s">
        <v>486</v>
      </c>
      <c r="H271" s="4" t="s">
        <v>462</v>
      </c>
      <c r="I271" s="8">
        <v>45245</v>
      </c>
      <c r="J271" s="4" t="s">
        <v>477</v>
      </c>
      <c r="K271" s="11">
        <v>1</v>
      </c>
      <c r="L271" s="11">
        <v>9</v>
      </c>
      <c r="M271" s="11">
        <v>3</v>
      </c>
      <c r="N271" s="6" t="s">
        <v>482</v>
      </c>
      <c r="O271" s="4">
        <v>30.1</v>
      </c>
      <c r="P271" s="4">
        <v>24.2</v>
      </c>
      <c r="Q271" s="4">
        <v>7.5</v>
      </c>
      <c r="R271" s="4">
        <v>266</v>
      </c>
      <c r="S271" s="4">
        <f t="shared" si="18"/>
        <v>0.26600000000000001</v>
      </c>
      <c r="T271" s="4">
        <f t="shared" si="19"/>
        <v>2.6511627906976747E-2</v>
      </c>
      <c r="V271" s="4" t="s">
        <v>533</v>
      </c>
      <c r="W271" s="4" t="s">
        <v>290</v>
      </c>
      <c r="AB271" s="20"/>
      <c r="AC271" s="20"/>
      <c r="AD271" s="19"/>
      <c r="AE271" s="19"/>
      <c r="AF271" s="19"/>
      <c r="AG271" s="19"/>
      <c r="AH271" s="19"/>
      <c r="AI271" s="19"/>
    </row>
    <row r="272" spans="1:35" ht="12.75" customHeight="1">
      <c r="A272" s="4" t="s">
        <v>291</v>
      </c>
      <c r="B272" s="14" t="s">
        <v>494</v>
      </c>
      <c r="C272" s="4" t="s">
        <v>474</v>
      </c>
      <c r="D272" s="4" t="s">
        <v>475</v>
      </c>
      <c r="E272" s="4" t="s">
        <v>495</v>
      </c>
      <c r="F272" s="4" t="s">
        <v>474</v>
      </c>
      <c r="G272" s="4" t="s">
        <v>486</v>
      </c>
      <c r="H272" s="4" t="s">
        <v>462</v>
      </c>
      <c r="I272" s="8">
        <v>45245</v>
      </c>
      <c r="J272" s="4" t="s">
        <v>477</v>
      </c>
      <c r="K272" s="11">
        <v>1</v>
      </c>
      <c r="L272" s="11">
        <v>9</v>
      </c>
      <c r="M272" s="11">
        <v>3</v>
      </c>
      <c r="N272" s="6" t="s">
        <v>473</v>
      </c>
      <c r="O272" s="4">
        <v>27.3</v>
      </c>
      <c r="P272" s="4">
        <v>21.7</v>
      </c>
      <c r="Q272" s="4">
        <v>4.4000000000000004</v>
      </c>
      <c r="R272" s="4">
        <v>122</v>
      </c>
      <c r="S272" s="4">
        <f t="shared" si="18"/>
        <v>0.122</v>
      </c>
      <c r="T272" s="4">
        <f t="shared" si="19"/>
        <v>1.3406593406593406E-2</v>
      </c>
      <c r="V272" s="4" t="s">
        <v>533</v>
      </c>
      <c r="W272" s="4" t="s">
        <v>291</v>
      </c>
      <c r="AB272" s="20"/>
      <c r="AC272" s="20"/>
      <c r="AD272" s="19"/>
      <c r="AE272" s="19"/>
      <c r="AF272" s="19"/>
      <c r="AG272" s="19"/>
      <c r="AH272" s="19"/>
      <c r="AI272" s="19"/>
    </row>
    <row r="273" spans="1:35" ht="12.75" customHeight="1">
      <c r="A273" s="4" t="s">
        <v>292</v>
      </c>
      <c r="B273" s="14" t="s">
        <v>494</v>
      </c>
      <c r="C273" s="4" t="s">
        <v>474</v>
      </c>
      <c r="D273" s="4" t="s">
        <v>475</v>
      </c>
      <c r="E273" s="4" t="s">
        <v>495</v>
      </c>
      <c r="F273" s="4" t="s">
        <v>474</v>
      </c>
      <c r="G273" s="4" t="s">
        <v>486</v>
      </c>
      <c r="H273" s="4" t="s">
        <v>462</v>
      </c>
      <c r="I273" s="8">
        <v>45245</v>
      </c>
      <c r="J273" s="4" t="s">
        <v>477</v>
      </c>
      <c r="K273" s="11">
        <v>1</v>
      </c>
      <c r="L273" s="11">
        <v>9</v>
      </c>
      <c r="M273" s="11">
        <v>3</v>
      </c>
      <c r="N273" s="6" t="s">
        <v>473</v>
      </c>
      <c r="O273" s="4">
        <v>21.8</v>
      </c>
      <c r="P273" s="4">
        <v>18.3</v>
      </c>
      <c r="Q273" s="4">
        <v>4.5999999999999996</v>
      </c>
      <c r="R273" s="4">
        <v>90</v>
      </c>
      <c r="S273" s="13">
        <f t="shared" si="18"/>
        <v>0.09</v>
      </c>
      <c r="T273" s="4">
        <f t="shared" si="19"/>
        <v>1.2385321100917428E-2</v>
      </c>
      <c r="V273" s="4" t="s">
        <v>533</v>
      </c>
      <c r="W273" s="4" t="s">
        <v>292</v>
      </c>
      <c r="AB273" s="20"/>
      <c r="AC273" s="20"/>
      <c r="AD273" s="19"/>
      <c r="AE273" s="19"/>
      <c r="AF273" s="19"/>
      <c r="AG273" s="19"/>
      <c r="AH273" s="19"/>
      <c r="AI273" s="19"/>
    </row>
    <row r="274" spans="1:35" ht="12.75" customHeight="1">
      <c r="A274" s="4" t="s">
        <v>293</v>
      </c>
      <c r="B274" s="14" t="s">
        <v>494</v>
      </c>
      <c r="C274" s="4" t="s">
        <v>474</v>
      </c>
      <c r="D274" s="4" t="s">
        <v>475</v>
      </c>
      <c r="E274" s="4" t="s">
        <v>495</v>
      </c>
      <c r="F274" s="4" t="s">
        <v>474</v>
      </c>
      <c r="G274" s="4" t="s">
        <v>486</v>
      </c>
      <c r="H274" s="4" t="s">
        <v>462</v>
      </c>
      <c r="I274" s="8">
        <v>45245</v>
      </c>
      <c r="J274" s="4" t="s">
        <v>477</v>
      </c>
      <c r="K274" s="11">
        <v>1</v>
      </c>
      <c r="L274" s="11">
        <v>9</v>
      </c>
      <c r="M274" s="11">
        <v>3</v>
      </c>
      <c r="N274" s="6" t="s">
        <v>473</v>
      </c>
      <c r="O274" s="4">
        <v>26.2</v>
      </c>
      <c r="P274" s="4">
        <v>21.4</v>
      </c>
      <c r="Q274" s="4">
        <v>4.7</v>
      </c>
      <c r="R274" s="4">
        <v>123</v>
      </c>
      <c r="S274" s="4">
        <f t="shared" si="18"/>
        <v>0.123</v>
      </c>
      <c r="T274" s="4">
        <f t="shared" si="19"/>
        <v>1.4083969465648855E-2</v>
      </c>
      <c r="V274" s="4" t="s">
        <v>533</v>
      </c>
      <c r="W274" s="4" t="s">
        <v>293</v>
      </c>
      <c r="AB274" s="20"/>
      <c r="AC274" s="20"/>
      <c r="AD274" s="19"/>
      <c r="AE274" s="19"/>
      <c r="AF274" s="19"/>
      <c r="AG274" s="19"/>
      <c r="AH274" s="19"/>
      <c r="AI274" s="19"/>
    </row>
    <row r="275" spans="1:35" ht="12.75" customHeight="1">
      <c r="A275" s="4" t="s">
        <v>294</v>
      </c>
      <c r="B275" s="14" t="s">
        <v>494</v>
      </c>
      <c r="C275" s="4" t="s">
        <v>474</v>
      </c>
      <c r="D275" s="4" t="s">
        <v>475</v>
      </c>
      <c r="E275" s="4" t="s">
        <v>495</v>
      </c>
      <c r="F275" s="4" t="s">
        <v>474</v>
      </c>
      <c r="G275" s="4" t="s">
        <v>486</v>
      </c>
      <c r="H275" s="4" t="s">
        <v>462</v>
      </c>
      <c r="I275" s="8">
        <v>45245</v>
      </c>
      <c r="J275" s="4" t="s">
        <v>477</v>
      </c>
      <c r="K275" s="11">
        <v>1</v>
      </c>
      <c r="L275" s="11">
        <v>9</v>
      </c>
      <c r="M275" s="11">
        <v>3</v>
      </c>
      <c r="N275" s="6" t="s">
        <v>482</v>
      </c>
      <c r="O275" s="4">
        <v>26.3</v>
      </c>
      <c r="P275" s="4">
        <v>21.8</v>
      </c>
      <c r="Q275" s="4">
        <v>6.7</v>
      </c>
      <c r="R275" s="4">
        <v>190</v>
      </c>
      <c r="S275" s="13">
        <f t="shared" si="18"/>
        <v>0.19</v>
      </c>
      <c r="T275" s="4">
        <f t="shared" si="19"/>
        <v>2.167300380228137E-2</v>
      </c>
      <c r="V275" s="4" t="s">
        <v>533</v>
      </c>
      <c r="W275" s="4" t="s">
        <v>294</v>
      </c>
      <c r="AB275" s="20"/>
      <c r="AC275" s="20"/>
      <c r="AD275" s="19"/>
      <c r="AE275" s="19"/>
      <c r="AF275" s="19"/>
      <c r="AG275" s="19"/>
      <c r="AH275" s="19"/>
      <c r="AI275" s="19"/>
    </row>
    <row r="276" spans="1:35" ht="12.75" customHeight="1">
      <c r="A276" s="4" t="s">
        <v>295</v>
      </c>
      <c r="B276" s="14" t="s">
        <v>494</v>
      </c>
      <c r="C276" s="4" t="s">
        <v>474</v>
      </c>
      <c r="D276" s="4" t="s">
        <v>475</v>
      </c>
      <c r="E276" s="4" t="s">
        <v>495</v>
      </c>
      <c r="F276" s="4" t="s">
        <v>474</v>
      </c>
      <c r="G276" s="4" t="s">
        <v>486</v>
      </c>
      <c r="H276" s="4" t="s">
        <v>462</v>
      </c>
      <c r="I276" s="8">
        <v>45245</v>
      </c>
      <c r="J276" s="4" t="s">
        <v>477</v>
      </c>
      <c r="K276" s="11">
        <v>1</v>
      </c>
      <c r="L276" s="11">
        <v>9</v>
      </c>
      <c r="M276" s="11">
        <v>3</v>
      </c>
      <c r="N276" s="6" t="s">
        <v>482</v>
      </c>
      <c r="O276" s="4">
        <v>27.6</v>
      </c>
      <c r="P276" s="4">
        <v>23.2</v>
      </c>
      <c r="Q276" s="4">
        <v>6.7</v>
      </c>
      <c r="R276" s="4">
        <v>232</v>
      </c>
      <c r="S276" s="4">
        <f t="shared" si="18"/>
        <v>0.23200000000000001</v>
      </c>
      <c r="T276" s="4">
        <f t="shared" si="19"/>
        <v>2.5217391304347827E-2</v>
      </c>
      <c r="V276" s="4" t="s">
        <v>533</v>
      </c>
      <c r="W276" s="4" t="s">
        <v>295</v>
      </c>
      <c r="AB276" s="20"/>
      <c r="AC276" s="20"/>
      <c r="AD276" s="19"/>
      <c r="AE276" s="19"/>
      <c r="AF276" s="19"/>
      <c r="AG276" s="19"/>
      <c r="AH276" s="19"/>
      <c r="AI276" s="19"/>
    </row>
    <row r="277" spans="1:35" ht="12.75" customHeight="1">
      <c r="A277" s="4" t="s">
        <v>296</v>
      </c>
      <c r="B277" s="14" t="s">
        <v>494</v>
      </c>
      <c r="C277" s="4" t="s">
        <v>474</v>
      </c>
      <c r="D277" s="4" t="s">
        <v>475</v>
      </c>
      <c r="E277" s="4" t="s">
        <v>495</v>
      </c>
      <c r="F277" s="4" t="s">
        <v>474</v>
      </c>
      <c r="G277" s="4" t="s">
        <v>486</v>
      </c>
      <c r="H277" s="4" t="s">
        <v>462</v>
      </c>
      <c r="I277" s="8">
        <v>45245</v>
      </c>
      <c r="J277" s="4" t="s">
        <v>477</v>
      </c>
      <c r="K277" s="11">
        <v>1</v>
      </c>
      <c r="L277" s="11">
        <v>9</v>
      </c>
      <c r="M277" s="11">
        <v>3</v>
      </c>
      <c r="N277" s="6" t="s">
        <v>482</v>
      </c>
      <c r="O277" s="4">
        <v>23.7</v>
      </c>
      <c r="P277" s="4">
        <v>23.3</v>
      </c>
      <c r="Q277" s="4">
        <v>8</v>
      </c>
      <c r="R277" s="4">
        <v>231</v>
      </c>
      <c r="S277" s="4">
        <f t="shared" si="18"/>
        <v>0.23100000000000001</v>
      </c>
      <c r="T277" s="4">
        <f t="shared" si="19"/>
        <v>2.9240506329113923E-2</v>
      </c>
      <c r="V277" s="4" t="s">
        <v>533</v>
      </c>
      <c r="W277" s="4" t="s">
        <v>296</v>
      </c>
      <c r="AB277" s="20"/>
      <c r="AC277" s="20"/>
      <c r="AD277" s="19"/>
      <c r="AE277" s="19"/>
      <c r="AF277" s="19"/>
      <c r="AG277" s="19"/>
      <c r="AH277" s="19"/>
      <c r="AI277" s="19"/>
    </row>
    <row r="278" spans="1:35" ht="12.75" customHeight="1">
      <c r="A278" s="4" t="s">
        <v>297</v>
      </c>
      <c r="B278" s="14" t="s">
        <v>494</v>
      </c>
      <c r="C278" s="4" t="s">
        <v>474</v>
      </c>
      <c r="D278" s="4" t="s">
        <v>475</v>
      </c>
      <c r="E278" s="4" t="s">
        <v>495</v>
      </c>
      <c r="F278" s="4" t="s">
        <v>474</v>
      </c>
      <c r="G278" s="4" t="s">
        <v>486</v>
      </c>
      <c r="H278" s="4" t="s">
        <v>462</v>
      </c>
      <c r="I278" s="8">
        <v>45245</v>
      </c>
      <c r="J278" s="4" t="s">
        <v>477</v>
      </c>
      <c r="K278" s="11">
        <v>1</v>
      </c>
      <c r="L278" s="11">
        <v>9</v>
      </c>
      <c r="M278" s="11">
        <v>3</v>
      </c>
      <c r="N278" s="6" t="s">
        <v>473</v>
      </c>
      <c r="O278" s="4">
        <v>23.7</v>
      </c>
      <c r="P278" s="4">
        <v>20</v>
      </c>
      <c r="Q278" s="4">
        <v>4.7</v>
      </c>
      <c r="R278" s="4">
        <v>107</v>
      </c>
      <c r="S278" s="4">
        <f t="shared" si="18"/>
        <v>0.107</v>
      </c>
      <c r="T278" s="4">
        <f t="shared" si="19"/>
        <v>1.3544303797468354E-2</v>
      </c>
      <c r="V278" s="4" t="s">
        <v>533</v>
      </c>
      <c r="W278" s="4" t="s">
        <v>297</v>
      </c>
      <c r="AB278" s="20"/>
      <c r="AC278" s="20"/>
      <c r="AD278" s="19"/>
      <c r="AE278" s="19"/>
      <c r="AF278" s="19"/>
      <c r="AG278" s="19"/>
      <c r="AH278" s="19"/>
      <c r="AI278" s="19"/>
    </row>
    <row r="279" spans="1:35" ht="12.75" customHeight="1">
      <c r="A279" s="4" t="s">
        <v>298</v>
      </c>
      <c r="B279" s="14" t="s">
        <v>494</v>
      </c>
      <c r="C279" s="4" t="s">
        <v>474</v>
      </c>
      <c r="D279" s="4" t="s">
        <v>475</v>
      </c>
      <c r="E279" s="4" t="s">
        <v>495</v>
      </c>
      <c r="F279" s="4" t="s">
        <v>474</v>
      </c>
      <c r="G279" s="4" t="s">
        <v>486</v>
      </c>
      <c r="H279" s="4" t="s">
        <v>462</v>
      </c>
      <c r="I279" s="8">
        <v>45245</v>
      </c>
      <c r="J279" s="4" t="s">
        <v>477</v>
      </c>
      <c r="K279" s="11">
        <v>1</v>
      </c>
      <c r="L279" s="11">
        <v>9</v>
      </c>
      <c r="M279" s="11">
        <v>3</v>
      </c>
      <c r="N279" s="6" t="s">
        <v>473</v>
      </c>
      <c r="O279" s="4">
        <v>32.5</v>
      </c>
      <c r="P279" s="4">
        <v>25.6</v>
      </c>
      <c r="Q279" s="4">
        <v>6.5</v>
      </c>
      <c r="R279" s="4">
        <v>265</v>
      </c>
      <c r="S279" s="4">
        <f t="shared" si="18"/>
        <v>0.26500000000000001</v>
      </c>
      <c r="T279" s="4">
        <f t="shared" si="19"/>
        <v>2.4461538461538462E-2</v>
      </c>
      <c r="V279" s="4" t="s">
        <v>533</v>
      </c>
      <c r="W279" s="4" t="s">
        <v>298</v>
      </c>
      <c r="AB279" s="20"/>
      <c r="AC279" s="20"/>
      <c r="AD279" s="19"/>
      <c r="AE279" s="19"/>
      <c r="AF279" s="19"/>
      <c r="AG279" s="19"/>
      <c r="AH279" s="19"/>
      <c r="AI279" s="19"/>
    </row>
    <row r="280" spans="1:35" ht="12.75" customHeight="1">
      <c r="A280" s="4" t="s">
        <v>299</v>
      </c>
      <c r="B280" s="14" t="s">
        <v>494</v>
      </c>
      <c r="C280" s="4" t="s">
        <v>474</v>
      </c>
      <c r="D280" s="4" t="s">
        <v>475</v>
      </c>
      <c r="E280" s="4" t="s">
        <v>495</v>
      </c>
      <c r="F280" s="4" t="s">
        <v>474</v>
      </c>
      <c r="G280" s="4" t="s">
        <v>486</v>
      </c>
      <c r="H280" s="4" t="s">
        <v>462</v>
      </c>
      <c r="I280" s="8">
        <v>45245</v>
      </c>
      <c r="J280" s="4" t="s">
        <v>477</v>
      </c>
      <c r="K280" s="11">
        <v>1</v>
      </c>
      <c r="L280" s="11">
        <v>9</v>
      </c>
      <c r="M280" s="11">
        <v>3</v>
      </c>
      <c r="N280" s="6" t="s">
        <v>473</v>
      </c>
      <c r="O280" s="4">
        <v>28.9</v>
      </c>
      <c r="P280" s="4">
        <v>22.8</v>
      </c>
      <c r="Q280" s="4">
        <v>5.0999999999999996</v>
      </c>
      <c r="R280" s="4">
        <v>159</v>
      </c>
      <c r="S280" s="4">
        <f t="shared" si="18"/>
        <v>0.159</v>
      </c>
      <c r="T280" s="4">
        <f t="shared" si="19"/>
        <v>1.6505190311418685E-2</v>
      </c>
      <c r="V280" s="4" t="s">
        <v>533</v>
      </c>
      <c r="W280" s="4" t="s">
        <v>299</v>
      </c>
      <c r="AB280" s="20"/>
      <c r="AC280" s="20"/>
      <c r="AD280" s="19"/>
      <c r="AE280" s="19"/>
      <c r="AF280" s="19"/>
      <c r="AG280" s="19"/>
      <c r="AH280" s="19"/>
      <c r="AI280" s="19"/>
    </row>
    <row r="281" spans="1:35" ht="12.75" customHeight="1">
      <c r="A281" s="4" t="s">
        <v>300</v>
      </c>
      <c r="B281" s="14" t="s">
        <v>494</v>
      </c>
      <c r="C281" s="4" t="s">
        <v>474</v>
      </c>
      <c r="D281" s="4" t="s">
        <v>475</v>
      </c>
      <c r="E281" s="4" t="s">
        <v>495</v>
      </c>
      <c r="F281" s="4" t="s">
        <v>474</v>
      </c>
      <c r="G281" s="4" t="s">
        <v>486</v>
      </c>
      <c r="H281" s="4" t="s">
        <v>462</v>
      </c>
      <c r="I281" s="8">
        <v>45245</v>
      </c>
      <c r="J281" s="4" t="s">
        <v>477</v>
      </c>
      <c r="K281" s="11">
        <v>1</v>
      </c>
      <c r="L281" s="11">
        <v>9</v>
      </c>
      <c r="M281" s="11">
        <v>3</v>
      </c>
      <c r="N281" s="6" t="s">
        <v>482</v>
      </c>
      <c r="O281" s="4">
        <v>27.7</v>
      </c>
      <c r="P281" s="4">
        <v>21.5</v>
      </c>
      <c r="Q281" s="4">
        <v>6.3</v>
      </c>
      <c r="R281" s="4">
        <v>174</v>
      </c>
      <c r="S281" s="4">
        <f t="shared" si="18"/>
        <v>0.17399999999999999</v>
      </c>
      <c r="T281" s="4">
        <f t="shared" si="19"/>
        <v>1.8844765342960288E-2</v>
      </c>
      <c r="V281" s="4" t="s">
        <v>533</v>
      </c>
      <c r="W281" s="4" t="s">
        <v>300</v>
      </c>
      <c r="AB281" s="20"/>
      <c r="AC281" s="20"/>
      <c r="AD281" s="19"/>
      <c r="AE281" s="19"/>
      <c r="AF281" s="19"/>
      <c r="AG281" s="19"/>
      <c r="AH281" s="19"/>
      <c r="AI281" s="19"/>
    </row>
    <row r="282" spans="1:35" ht="12.75" customHeight="1">
      <c r="A282" s="4" t="s">
        <v>301</v>
      </c>
      <c r="B282" s="14" t="s">
        <v>494</v>
      </c>
      <c r="C282" s="4" t="s">
        <v>474</v>
      </c>
      <c r="D282" s="4" t="s">
        <v>475</v>
      </c>
      <c r="E282" s="4" t="s">
        <v>495</v>
      </c>
      <c r="F282" s="4" t="s">
        <v>474</v>
      </c>
      <c r="G282" s="4" t="s">
        <v>486</v>
      </c>
      <c r="H282" s="4" t="s">
        <v>462</v>
      </c>
      <c r="I282" s="8">
        <v>45245</v>
      </c>
      <c r="J282" s="4" t="s">
        <v>477</v>
      </c>
      <c r="K282" s="11">
        <v>1</v>
      </c>
      <c r="L282" s="11">
        <v>9</v>
      </c>
      <c r="M282" s="11">
        <v>3</v>
      </c>
      <c r="N282" s="6" t="s">
        <v>482</v>
      </c>
      <c r="O282" s="4">
        <v>29</v>
      </c>
      <c r="P282" s="4">
        <v>22.1</v>
      </c>
      <c r="Q282" s="4">
        <v>6.8</v>
      </c>
      <c r="R282" s="4">
        <v>235</v>
      </c>
      <c r="S282" s="4">
        <f t="shared" si="18"/>
        <v>0.23499999999999999</v>
      </c>
      <c r="T282" s="4">
        <f t="shared" si="19"/>
        <v>2.4310344827586206E-2</v>
      </c>
      <c r="U282" s="4" t="s">
        <v>303</v>
      </c>
      <c r="V282" s="4" t="s">
        <v>533</v>
      </c>
      <c r="W282" s="4" t="s">
        <v>301</v>
      </c>
      <c r="AB282" s="20"/>
      <c r="AC282" s="20"/>
      <c r="AD282" s="19"/>
      <c r="AE282" s="19"/>
      <c r="AF282" s="19"/>
      <c r="AG282" s="19"/>
      <c r="AH282" s="19"/>
      <c r="AI282" s="19"/>
    </row>
    <row r="283" spans="1:35" ht="12.75" customHeight="1">
      <c r="A283" s="4" t="s">
        <v>304</v>
      </c>
      <c r="B283" s="14" t="s">
        <v>494</v>
      </c>
      <c r="C283" s="4" t="s">
        <v>474</v>
      </c>
      <c r="D283" s="4" t="s">
        <v>475</v>
      </c>
      <c r="E283" s="4" t="s">
        <v>495</v>
      </c>
      <c r="F283" s="4" t="s">
        <v>474</v>
      </c>
      <c r="G283" s="4" t="s">
        <v>486</v>
      </c>
      <c r="H283" s="4" t="s">
        <v>462</v>
      </c>
      <c r="I283" s="8">
        <v>45245</v>
      </c>
      <c r="J283" s="4" t="s">
        <v>477</v>
      </c>
      <c r="K283" s="11">
        <v>1</v>
      </c>
      <c r="L283" s="11">
        <v>9</v>
      </c>
      <c r="M283" s="11">
        <v>3</v>
      </c>
      <c r="N283" s="6" t="s">
        <v>560</v>
      </c>
      <c r="O283" s="4">
        <v>29.9</v>
      </c>
      <c r="P283" s="4">
        <v>24.2</v>
      </c>
      <c r="Q283" s="4">
        <v>6.2</v>
      </c>
      <c r="R283" s="4">
        <v>194</v>
      </c>
      <c r="S283" s="4">
        <f t="shared" si="18"/>
        <v>0.19400000000000001</v>
      </c>
      <c r="T283" s="4">
        <f t="shared" si="19"/>
        <v>1.9464882943143816E-2</v>
      </c>
      <c r="V283" s="4" t="s">
        <v>533</v>
      </c>
      <c r="W283" s="4" t="s">
        <v>304</v>
      </c>
      <c r="AB283" s="20"/>
      <c r="AC283" s="20"/>
      <c r="AD283" s="19"/>
      <c r="AE283" s="19"/>
      <c r="AF283" s="19"/>
      <c r="AG283" s="19"/>
      <c r="AH283" s="19"/>
      <c r="AI283" s="19"/>
    </row>
    <row r="284" spans="1:35" ht="12.75" customHeight="1">
      <c r="A284" s="4" t="s">
        <v>305</v>
      </c>
      <c r="B284" s="14" t="s">
        <v>494</v>
      </c>
      <c r="C284" s="4" t="s">
        <v>474</v>
      </c>
      <c r="D284" s="4" t="s">
        <v>475</v>
      </c>
      <c r="E284" s="4" t="s">
        <v>495</v>
      </c>
      <c r="F284" s="4" t="s">
        <v>474</v>
      </c>
      <c r="G284" s="4" t="s">
        <v>486</v>
      </c>
      <c r="H284" s="4" t="s">
        <v>462</v>
      </c>
      <c r="I284" s="8">
        <v>45245</v>
      </c>
      <c r="J284" s="4" t="s">
        <v>477</v>
      </c>
      <c r="K284" s="11">
        <v>1</v>
      </c>
      <c r="L284" s="11">
        <v>9</v>
      </c>
      <c r="M284" s="11">
        <v>3</v>
      </c>
      <c r="N284" s="6" t="s">
        <v>473</v>
      </c>
      <c r="O284" s="4">
        <v>25</v>
      </c>
      <c r="P284" s="4">
        <v>20.9</v>
      </c>
      <c r="Q284" s="4">
        <v>6.4</v>
      </c>
      <c r="R284" s="4">
        <v>170</v>
      </c>
      <c r="S284" s="13">
        <f t="shared" si="18"/>
        <v>0.17</v>
      </c>
      <c r="T284" s="4">
        <f t="shared" si="19"/>
        <v>2.0400000000000001E-2</v>
      </c>
      <c r="U284" s="4" t="s">
        <v>308</v>
      </c>
      <c r="V284" s="4" t="s">
        <v>533</v>
      </c>
      <c r="W284" s="4" t="s">
        <v>305</v>
      </c>
      <c r="AB284" s="20"/>
      <c r="AC284" s="20"/>
      <c r="AD284" s="19"/>
      <c r="AE284" s="19"/>
      <c r="AF284" s="19"/>
      <c r="AG284" s="19"/>
      <c r="AH284" s="19"/>
      <c r="AI284" s="19"/>
    </row>
    <row r="285" spans="1:35" ht="12.75" customHeight="1">
      <c r="A285" s="4" t="s">
        <v>309</v>
      </c>
      <c r="B285" s="14" t="s">
        <v>494</v>
      </c>
      <c r="C285" s="4" t="s">
        <v>474</v>
      </c>
      <c r="D285" s="4" t="s">
        <v>475</v>
      </c>
      <c r="E285" s="4" t="s">
        <v>495</v>
      </c>
      <c r="F285" s="4" t="s">
        <v>474</v>
      </c>
      <c r="G285" s="4" t="s">
        <v>486</v>
      </c>
      <c r="H285" s="4" t="s">
        <v>462</v>
      </c>
      <c r="I285" s="8">
        <v>45245</v>
      </c>
      <c r="J285" s="4" t="s">
        <v>477</v>
      </c>
      <c r="K285" s="11">
        <v>1</v>
      </c>
      <c r="L285" s="11">
        <v>9</v>
      </c>
      <c r="M285" s="11">
        <v>3</v>
      </c>
      <c r="N285" s="6" t="s">
        <v>482</v>
      </c>
      <c r="O285" s="4">
        <v>30.2</v>
      </c>
      <c r="P285" s="4">
        <v>26.3</v>
      </c>
      <c r="Q285" s="4">
        <v>8.4</v>
      </c>
      <c r="R285" s="4">
        <v>331</v>
      </c>
      <c r="S285" s="4">
        <f t="shared" si="18"/>
        <v>0.33100000000000002</v>
      </c>
      <c r="T285" s="4">
        <f t="shared" si="19"/>
        <v>3.2880794701986758E-2</v>
      </c>
      <c r="V285" s="4" t="s">
        <v>533</v>
      </c>
      <c r="W285" s="4" t="s">
        <v>309</v>
      </c>
      <c r="AB285" s="20"/>
      <c r="AC285" s="20"/>
      <c r="AD285" s="19"/>
      <c r="AE285" s="19"/>
      <c r="AF285" s="19"/>
      <c r="AG285" s="19"/>
      <c r="AH285" s="19"/>
      <c r="AI285" s="19"/>
    </row>
    <row r="286" spans="1:35" ht="12.75" customHeight="1">
      <c r="A286" s="4" t="s">
        <v>310</v>
      </c>
      <c r="B286" s="14" t="s">
        <v>494</v>
      </c>
      <c r="C286" s="4" t="s">
        <v>474</v>
      </c>
      <c r="D286" s="4" t="s">
        <v>475</v>
      </c>
      <c r="E286" s="4" t="s">
        <v>495</v>
      </c>
      <c r="F286" s="4" t="s">
        <v>474</v>
      </c>
      <c r="G286" s="4" t="s">
        <v>486</v>
      </c>
      <c r="H286" s="4" t="s">
        <v>462</v>
      </c>
      <c r="I286" s="8">
        <v>45245</v>
      </c>
      <c r="J286" s="4" t="s">
        <v>477</v>
      </c>
      <c r="K286" s="11">
        <v>1</v>
      </c>
      <c r="L286" s="11">
        <v>9</v>
      </c>
      <c r="M286" s="11">
        <v>3</v>
      </c>
      <c r="N286" s="6" t="s">
        <v>473</v>
      </c>
      <c r="O286" s="4">
        <v>29.2</v>
      </c>
      <c r="P286" s="4">
        <v>23.4</v>
      </c>
      <c r="Q286" s="4">
        <v>5.3</v>
      </c>
      <c r="R286" s="4">
        <v>175</v>
      </c>
      <c r="S286" s="4">
        <f t="shared" si="18"/>
        <v>0.17499999999999999</v>
      </c>
      <c r="T286" s="4">
        <f t="shared" si="19"/>
        <v>1.797945205479452E-2</v>
      </c>
      <c r="V286" s="4" t="s">
        <v>533</v>
      </c>
      <c r="W286" s="4" t="s">
        <v>310</v>
      </c>
      <c r="AB286" s="20"/>
      <c r="AC286" s="20"/>
      <c r="AD286" s="19"/>
      <c r="AE286" s="19"/>
      <c r="AF286" s="19"/>
      <c r="AG286" s="19"/>
      <c r="AH286" s="19"/>
      <c r="AI286" s="19"/>
    </row>
    <row r="287" spans="1:35" ht="12.75" customHeight="1">
      <c r="A287" s="4" t="s">
        <v>311</v>
      </c>
      <c r="B287" s="14" t="s">
        <v>494</v>
      </c>
      <c r="C287" s="4" t="s">
        <v>474</v>
      </c>
      <c r="D287" s="4" t="s">
        <v>475</v>
      </c>
      <c r="E287" s="4" t="s">
        <v>495</v>
      </c>
      <c r="F287" s="4" t="s">
        <v>474</v>
      </c>
      <c r="G287" s="4" t="s">
        <v>486</v>
      </c>
      <c r="H287" s="4" t="s">
        <v>462</v>
      </c>
      <c r="I287" s="8">
        <v>45245</v>
      </c>
      <c r="J287" s="4" t="s">
        <v>477</v>
      </c>
      <c r="K287" s="11">
        <v>1</v>
      </c>
      <c r="L287" s="11">
        <v>9</v>
      </c>
      <c r="M287" s="11">
        <v>3</v>
      </c>
      <c r="N287" s="6" t="s">
        <v>473</v>
      </c>
      <c r="O287" s="4">
        <v>27.1</v>
      </c>
      <c r="P287" s="4">
        <v>21.4</v>
      </c>
      <c r="Q287" s="4">
        <v>4.7</v>
      </c>
      <c r="R287" s="4">
        <v>140</v>
      </c>
      <c r="S287" s="13">
        <f t="shared" si="18"/>
        <v>0.14000000000000001</v>
      </c>
      <c r="T287" s="4">
        <f t="shared" si="19"/>
        <v>1.5498154981549817E-2</v>
      </c>
      <c r="V287" s="4" t="s">
        <v>533</v>
      </c>
      <c r="W287" s="4" t="s">
        <v>311</v>
      </c>
      <c r="AB287" s="20"/>
      <c r="AC287" s="20"/>
      <c r="AD287" s="19"/>
      <c r="AE287" s="19"/>
      <c r="AF287" s="19"/>
      <c r="AG287" s="19"/>
      <c r="AH287" s="19"/>
      <c r="AI287" s="19"/>
    </row>
    <row r="288" spans="1:35" ht="12.75" customHeight="1">
      <c r="A288" s="4" t="s">
        <v>312</v>
      </c>
      <c r="B288" s="14" t="s">
        <v>494</v>
      </c>
      <c r="C288" s="4" t="s">
        <v>474</v>
      </c>
      <c r="D288" s="4" t="s">
        <v>475</v>
      </c>
      <c r="E288" s="4" t="s">
        <v>495</v>
      </c>
      <c r="F288" s="4" t="s">
        <v>474</v>
      </c>
      <c r="G288" s="4" t="s">
        <v>486</v>
      </c>
      <c r="H288" s="4" t="s">
        <v>462</v>
      </c>
      <c r="I288" s="8">
        <v>45245</v>
      </c>
      <c r="J288" s="4" t="s">
        <v>477</v>
      </c>
      <c r="K288" s="11">
        <v>1</v>
      </c>
      <c r="L288" s="11">
        <v>9</v>
      </c>
      <c r="M288" s="11">
        <v>3</v>
      </c>
      <c r="N288" s="6" t="s">
        <v>482</v>
      </c>
      <c r="O288" s="4">
        <v>20.8</v>
      </c>
      <c r="P288" s="4">
        <v>18.2</v>
      </c>
      <c r="Q288" s="4">
        <v>5.5</v>
      </c>
      <c r="R288" s="4">
        <v>110</v>
      </c>
      <c r="S288" s="13">
        <f t="shared" si="18"/>
        <v>0.11</v>
      </c>
      <c r="T288" s="4">
        <f t="shared" si="19"/>
        <v>1.5865384615384615E-2</v>
      </c>
      <c r="V288" s="4" t="s">
        <v>533</v>
      </c>
      <c r="W288" s="4" t="s">
        <v>312</v>
      </c>
      <c r="AB288" s="20"/>
      <c r="AC288" s="20"/>
      <c r="AD288" s="19"/>
      <c r="AE288" s="19"/>
      <c r="AF288" s="19"/>
      <c r="AG288" s="19"/>
      <c r="AH288" s="19"/>
      <c r="AI288" s="19"/>
    </row>
    <row r="289" spans="1:50" ht="12.75" customHeight="1">
      <c r="A289" s="4" t="s">
        <v>313</v>
      </c>
      <c r="B289" s="14" t="s">
        <v>494</v>
      </c>
      <c r="C289" s="4" t="s">
        <v>474</v>
      </c>
      <c r="D289" s="4" t="s">
        <v>475</v>
      </c>
      <c r="E289" s="4" t="s">
        <v>495</v>
      </c>
      <c r="F289" s="4" t="s">
        <v>474</v>
      </c>
      <c r="G289" s="4" t="s">
        <v>486</v>
      </c>
      <c r="H289" s="4" t="s">
        <v>462</v>
      </c>
      <c r="I289" s="8">
        <v>45245</v>
      </c>
      <c r="J289" s="4" t="s">
        <v>477</v>
      </c>
      <c r="K289" s="11">
        <v>1</v>
      </c>
      <c r="L289" s="11">
        <v>9</v>
      </c>
      <c r="M289" s="11">
        <v>3</v>
      </c>
      <c r="N289" s="6" t="s">
        <v>473</v>
      </c>
      <c r="O289" s="4">
        <v>30</v>
      </c>
      <c r="P289" s="4">
        <v>23.4</v>
      </c>
      <c r="Q289" s="4">
        <v>5.8</v>
      </c>
      <c r="R289" s="4">
        <v>220</v>
      </c>
      <c r="S289" s="13">
        <f t="shared" si="18"/>
        <v>0.22</v>
      </c>
      <c r="T289" s="4">
        <f t="shared" si="19"/>
        <v>2.1999999999999999E-2</v>
      </c>
      <c r="U289" s="4" t="s">
        <v>316</v>
      </c>
      <c r="V289" s="4" t="s">
        <v>533</v>
      </c>
      <c r="W289" s="4" t="s">
        <v>313</v>
      </c>
      <c r="AB289" s="20"/>
      <c r="AC289" s="20"/>
      <c r="AD289" s="19"/>
      <c r="AE289" s="19"/>
      <c r="AF289" s="19"/>
      <c r="AG289" s="19"/>
      <c r="AH289" s="19"/>
      <c r="AI289" s="19"/>
    </row>
    <row r="290" spans="1:50" ht="12.75" customHeight="1">
      <c r="A290" s="4" t="s">
        <v>317</v>
      </c>
      <c r="B290" s="14" t="s">
        <v>494</v>
      </c>
      <c r="C290" s="4" t="s">
        <v>474</v>
      </c>
      <c r="D290" s="4" t="s">
        <v>475</v>
      </c>
      <c r="E290" s="4" t="s">
        <v>495</v>
      </c>
      <c r="F290" s="4" t="s">
        <v>474</v>
      </c>
      <c r="G290" s="4" t="s">
        <v>486</v>
      </c>
      <c r="H290" s="4" t="s">
        <v>462</v>
      </c>
      <c r="I290" s="8">
        <v>45245</v>
      </c>
      <c r="J290" s="4" t="s">
        <v>477</v>
      </c>
      <c r="K290" s="11">
        <v>1</v>
      </c>
      <c r="L290" s="11">
        <v>9</v>
      </c>
      <c r="M290" s="11">
        <v>3</v>
      </c>
      <c r="N290" s="6" t="s">
        <v>473</v>
      </c>
      <c r="O290" s="4">
        <v>28.8</v>
      </c>
      <c r="P290" s="4">
        <v>22</v>
      </c>
      <c r="Q290" s="4">
        <v>4.2</v>
      </c>
      <c r="R290" s="4">
        <v>123</v>
      </c>
      <c r="S290" s="4">
        <f t="shared" si="18"/>
        <v>0.123</v>
      </c>
      <c r="T290" s="4">
        <f t="shared" si="19"/>
        <v>1.2812499999999999E-2</v>
      </c>
      <c r="V290" s="4" t="s">
        <v>533</v>
      </c>
      <c r="W290" s="4" t="s">
        <v>317</v>
      </c>
      <c r="AB290" s="20"/>
      <c r="AC290" s="20"/>
      <c r="AD290" s="19"/>
      <c r="AE290" s="19"/>
      <c r="AF290" s="19"/>
      <c r="AG290" s="19"/>
      <c r="AH290" s="19"/>
      <c r="AI290" s="19"/>
    </row>
    <row r="291" spans="1:50" ht="12.75" customHeight="1">
      <c r="A291" s="4" t="s">
        <v>318</v>
      </c>
      <c r="B291" s="14" t="s">
        <v>494</v>
      </c>
      <c r="C291" s="4" t="s">
        <v>474</v>
      </c>
      <c r="D291" s="4" t="s">
        <v>475</v>
      </c>
      <c r="E291" s="4" t="s">
        <v>495</v>
      </c>
      <c r="F291" s="4" t="s">
        <v>474</v>
      </c>
      <c r="G291" s="4" t="s">
        <v>486</v>
      </c>
      <c r="H291" s="4" t="s">
        <v>462</v>
      </c>
      <c r="I291" s="8">
        <v>45245</v>
      </c>
      <c r="J291" s="4" t="s">
        <v>477</v>
      </c>
      <c r="K291" s="11">
        <v>1</v>
      </c>
      <c r="L291" s="11">
        <v>9</v>
      </c>
      <c r="M291" s="11">
        <v>3</v>
      </c>
      <c r="N291" s="6" t="s">
        <v>560</v>
      </c>
      <c r="O291" s="4">
        <v>23.8</v>
      </c>
      <c r="P291" s="4">
        <v>19.600000000000001</v>
      </c>
      <c r="Q291" s="4">
        <v>5.3</v>
      </c>
      <c r="R291" s="4">
        <v>126</v>
      </c>
      <c r="S291" s="4">
        <f t="shared" si="18"/>
        <v>0.126</v>
      </c>
      <c r="T291" s="4">
        <f t="shared" si="19"/>
        <v>1.5882352941176469E-2</v>
      </c>
      <c r="V291" s="4" t="s">
        <v>533</v>
      </c>
      <c r="W291" s="4" t="s">
        <v>318</v>
      </c>
      <c r="AB291" s="20"/>
      <c r="AC291" s="20"/>
      <c r="AD291" s="19"/>
      <c r="AE291" s="19"/>
      <c r="AF291" s="19"/>
      <c r="AG291" s="19"/>
      <c r="AH291" s="19"/>
      <c r="AI291" s="19"/>
    </row>
    <row r="292" spans="1:50" ht="12.75" customHeight="1">
      <c r="A292" s="4" t="s">
        <v>319</v>
      </c>
      <c r="B292" s="14" t="s">
        <v>494</v>
      </c>
      <c r="C292" s="4" t="s">
        <v>474</v>
      </c>
      <c r="D292" s="4" t="s">
        <v>475</v>
      </c>
      <c r="E292" s="4" t="s">
        <v>495</v>
      </c>
      <c r="F292" s="4" t="s">
        <v>474</v>
      </c>
      <c r="G292" s="4" t="s">
        <v>486</v>
      </c>
      <c r="H292" s="4" t="s">
        <v>462</v>
      </c>
      <c r="I292" s="8">
        <v>45245</v>
      </c>
      <c r="J292" s="4" t="s">
        <v>477</v>
      </c>
      <c r="K292" s="11">
        <v>1</v>
      </c>
      <c r="L292" s="11">
        <v>9</v>
      </c>
      <c r="M292" s="11">
        <v>3</v>
      </c>
      <c r="N292" s="6" t="s">
        <v>473</v>
      </c>
      <c r="O292" s="4">
        <v>27.1</v>
      </c>
      <c r="P292" s="4">
        <v>22.4</v>
      </c>
      <c r="Q292" s="4">
        <v>5.5</v>
      </c>
      <c r="R292" s="4">
        <v>164</v>
      </c>
      <c r="S292" s="4">
        <f t="shared" si="18"/>
        <v>0.16400000000000001</v>
      </c>
      <c r="T292" s="4">
        <f t="shared" si="19"/>
        <v>1.8154981549815499E-2</v>
      </c>
      <c r="V292" s="4" t="s">
        <v>533</v>
      </c>
      <c r="W292" s="4" t="s">
        <v>319</v>
      </c>
      <c r="AB292" s="20"/>
      <c r="AC292" s="20"/>
      <c r="AD292" s="19"/>
      <c r="AE292" s="19"/>
      <c r="AF292" s="19"/>
      <c r="AG292" s="19"/>
      <c r="AH292" s="19"/>
      <c r="AI292" s="19"/>
    </row>
    <row r="293" spans="1:50" ht="12.75" customHeight="1">
      <c r="A293" s="4" t="s">
        <v>320</v>
      </c>
      <c r="B293" s="14" t="s">
        <v>494</v>
      </c>
      <c r="C293" s="4" t="s">
        <v>474</v>
      </c>
      <c r="D293" s="4" t="s">
        <v>475</v>
      </c>
      <c r="E293" s="4" t="s">
        <v>495</v>
      </c>
      <c r="F293" s="4" t="s">
        <v>474</v>
      </c>
      <c r="G293" s="4" t="s">
        <v>486</v>
      </c>
      <c r="H293" s="4" t="s">
        <v>462</v>
      </c>
      <c r="I293" s="8">
        <v>45245</v>
      </c>
      <c r="J293" s="4" t="s">
        <v>477</v>
      </c>
      <c r="K293" s="11">
        <v>1</v>
      </c>
      <c r="L293" s="11">
        <v>9</v>
      </c>
      <c r="M293" s="11">
        <v>3</v>
      </c>
      <c r="N293" s="6" t="s">
        <v>560</v>
      </c>
      <c r="O293" s="4">
        <v>22.2</v>
      </c>
      <c r="P293" s="4">
        <v>18.899999999999999</v>
      </c>
      <c r="Q293" s="4">
        <v>5.3</v>
      </c>
      <c r="R293" s="4">
        <v>116</v>
      </c>
      <c r="S293" s="4">
        <f t="shared" si="18"/>
        <v>0.11600000000000001</v>
      </c>
      <c r="T293" s="4">
        <f t="shared" si="19"/>
        <v>1.5675675675675675E-2</v>
      </c>
      <c r="V293" s="4" t="s">
        <v>533</v>
      </c>
      <c r="W293" s="4" t="s">
        <v>320</v>
      </c>
      <c r="AB293" s="20"/>
      <c r="AC293" s="20"/>
      <c r="AD293" s="19"/>
      <c r="AE293" s="19"/>
      <c r="AF293" s="19"/>
      <c r="AG293" s="19"/>
      <c r="AH293" s="19"/>
      <c r="AI293" s="19"/>
    </row>
    <row r="294" spans="1:50" ht="12.75" customHeight="1">
      <c r="A294" s="4" t="s">
        <v>321</v>
      </c>
      <c r="B294" s="14" t="s">
        <v>494</v>
      </c>
      <c r="C294" s="4" t="s">
        <v>474</v>
      </c>
      <c r="D294" s="4" t="s">
        <v>475</v>
      </c>
      <c r="E294" s="4" t="s">
        <v>495</v>
      </c>
      <c r="F294" s="4" t="s">
        <v>474</v>
      </c>
      <c r="G294" s="4" t="s">
        <v>486</v>
      </c>
      <c r="H294" s="4" t="s">
        <v>462</v>
      </c>
      <c r="I294" s="8">
        <v>45245</v>
      </c>
      <c r="J294" s="4" t="s">
        <v>477</v>
      </c>
      <c r="K294" s="11">
        <v>1</v>
      </c>
      <c r="L294" s="11">
        <v>9</v>
      </c>
      <c r="M294" s="11">
        <v>3</v>
      </c>
      <c r="N294" s="6" t="s">
        <v>473</v>
      </c>
      <c r="O294" s="4">
        <v>20.2</v>
      </c>
      <c r="P294" s="4">
        <v>17.5</v>
      </c>
      <c r="Q294" s="4">
        <v>3.3</v>
      </c>
      <c r="R294" s="4">
        <v>74</v>
      </c>
      <c r="S294" s="4">
        <f t="shared" si="18"/>
        <v>7.3999999999999996E-2</v>
      </c>
      <c r="T294" s="4">
        <f t="shared" si="19"/>
        <v>1.0990099009900989E-2</v>
      </c>
      <c r="V294" s="4" t="s">
        <v>533</v>
      </c>
      <c r="W294" s="4" t="s">
        <v>321</v>
      </c>
      <c r="AB294" s="20"/>
      <c r="AC294" s="20"/>
      <c r="AD294" s="19"/>
      <c r="AE294" s="19"/>
      <c r="AF294" s="19"/>
      <c r="AG294" s="19"/>
      <c r="AH294" s="19"/>
      <c r="AI294" s="19"/>
    </row>
    <row r="295" spans="1:50" ht="12.75" customHeight="1">
      <c r="A295" s="4" t="s">
        <v>322</v>
      </c>
      <c r="B295" s="14" t="s">
        <v>494</v>
      </c>
      <c r="C295" s="4" t="s">
        <v>474</v>
      </c>
      <c r="D295" s="4" t="s">
        <v>475</v>
      </c>
      <c r="E295" s="4" t="s">
        <v>495</v>
      </c>
      <c r="F295" s="4" t="s">
        <v>474</v>
      </c>
      <c r="G295" s="4" t="s">
        <v>486</v>
      </c>
      <c r="H295" s="4" t="s">
        <v>462</v>
      </c>
      <c r="I295" s="8">
        <v>45245</v>
      </c>
      <c r="J295" s="4" t="s">
        <v>477</v>
      </c>
      <c r="K295" s="11">
        <v>1</v>
      </c>
      <c r="L295" s="11">
        <v>9</v>
      </c>
      <c r="M295" s="11">
        <v>3</v>
      </c>
      <c r="N295" s="6" t="s">
        <v>482</v>
      </c>
      <c r="O295" s="4">
        <v>23.1</v>
      </c>
      <c r="P295" s="4">
        <v>19</v>
      </c>
      <c r="Q295" s="4">
        <v>5.7</v>
      </c>
      <c r="R295" s="4">
        <v>132</v>
      </c>
      <c r="S295" s="4">
        <f t="shared" si="18"/>
        <v>0.13200000000000001</v>
      </c>
      <c r="T295" s="4">
        <f t="shared" si="19"/>
        <v>1.7142857142857144E-2</v>
      </c>
      <c r="V295" s="4" t="s">
        <v>533</v>
      </c>
      <c r="W295" s="4" t="s">
        <v>322</v>
      </c>
      <c r="AB295" s="20"/>
      <c r="AC295" s="20"/>
      <c r="AD295" s="19"/>
      <c r="AE295" s="19"/>
      <c r="AF295" s="19"/>
      <c r="AG295" s="19"/>
      <c r="AH295" s="19"/>
      <c r="AI295" s="19"/>
    </row>
    <row r="296" spans="1:50" ht="12.75" customHeight="1">
      <c r="A296" s="4" t="s">
        <v>323</v>
      </c>
      <c r="B296" s="14" t="s">
        <v>494</v>
      </c>
      <c r="C296" s="4" t="s">
        <v>474</v>
      </c>
      <c r="D296" s="4" t="s">
        <v>475</v>
      </c>
      <c r="E296" s="4" t="s">
        <v>495</v>
      </c>
      <c r="F296" s="4" t="s">
        <v>474</v>
      </c>
      <c r="G296" s="4" t="s">
        <v>486</v>
      </c>
      <c r="H296" s="4" t="s">
        <v>462</v>
      </c>
      <c r="I296" s="8">
        <v>45245</v>
      </c>
      <c r="J296" s="4" t="s">
        <v>477</v>
      </c>
      <c r="K296" s="11">
        <v>1</v>
      </c>
      <c r="L296" s="11">
        <v>9</v>
      </c>
      <c r="M296" s="11">
        <v>3</v>
      </c>
      <c r="N296" s="6" t="s">
        <v>473</v>
      </c>
      <c r="O296" s="4">
        <v>28.1</v>
      </c>
      <c r="P296" s="4">
        <v>22.2</v>
      </c>
      <c r="Q296" s="4">
        <v>5.9</v>
      </c>
      <c r="R296" s="4">
        <v>182</v>
      </c>
      <c r="S296" s="4">
        <f t="shared" si="18"/>
        <v>0.182</v>
      </c>
      <c r="T296" s="4">
        <f t="shared" si="19"/>
        <v>1.9430604982206404E-2</v>
      </c>
      <c r="V296" s="4" t="s">
        <v>533</v>
      </c>
      <c r="W296" s="4" t="s">
        <v>323</v>
      </c>
      <c r="AB296" s="20"/>
      <c r="AC296" s="20"/>
      <c r="AD296" s="19"/>
      <c r="AE296" s="19"/>
      <c r="AF296" s="19"/>
      <c r="AG296" s="19"/>
      <c r="AH296" s="19"/>
      <c r="AI296" s="19"/>
    </row>
    <row r="297" spans="1:50" ht="12.75" customHeight="1">
      <c r="A297" s="4" t="s">
        <v>324</v>
      </c>
      <c r="B297" s="14" t="s">
        <v>494</v>
      </c>
      <c r="C297" s="4" t="s">
        <v>474</v>
      </c>
      <c r="D297" s="4" t="s">
        <v>475</v>
      </c>
      <c r="E297" s="4" t="s">
        <v>495</v>
      </c>
      <c r="F297" s="4" t="s">
        <v>474</v>
      </c>
      <c r="G297" s="4" t="s">
        <v>486</v>
      </c>
      <c r="H297" s="4" t="s">
        <v>462</v>
      </c>
      <c r="I297" s="8">
        <v>45245</v>
      </c>
      <c r="J297" s="4" t="s">
        <v>477</v>
      </c>
      <c r="K297" s="11">
        <v>1</v>
      </c>
      <c r="L297" s="11">
        <v>9</v>
      </c>
      <c r="M297" s="11">
        <v>3</v>
      </c>
      <c r="N297" s="6" t="s">
        <v>480</v>
      </c>
      <c r="O297" s="4">
        <v>19</v>
      </c>
      <c r="P297" s="4">
        <v>16.100000000000001</v>
      </c>
      <c r="Q297" s="4">
        <v>3.9</v>
      </c>
      <c r="R297" s="4">
        <v>85</v>
      </c>
      <c r="S297" s="4">
        <f t="shared" si="18"/>
        <v>8.5000000000000006E-2</v>
      </c>
      <c r="T297" s="4">
        <f t="shared" si="19"/>
        <v>1.3421052631578948E-2</v>
      </c>
      <c r="U297" s="4" t="s">
        <v>326</v>
      </c>
      <c r="V297" s="4" t="s">
        <v>533</v>
      </c>
      <c r="W297" s="4" t="s">
        <v>324</v>
      </c>
      <c r="AB297" s="20"/>
      <c r="AC297" s="20"/>
      <c r="AD297" s="19"/>
      <c r="AE297" s="19"/>
      <c r="AF297" s="19"/>
      <c r="AG297" s="19"/>
      <c r="AH297" s="19"/>
      <c r="AI297" s="19"/>
    </row>
    <row r="298" spans="1:50" ht="12.75" customHeight="1">
      <c r="A298" s="4" t="s">
        <v>327</v>
      </c>
      <c r="B298" s="14" t="s">
        <v>494</v>
      </c>
      <c r="C298" s="4" t="s">
        <v>474</v>
      </c>
      <c r="D298" s="4" t="s">
        <v>475</v>
      </c>
      <c r="E298" s="4" t="s">
        <v>495</v>
      </c>
      <c r="F298" s="4" t="s">
        <v>474</v>
      </c>
      <c r="G298" s="4" t="s">
        <v>486</v>
      </c>
      <c r="H298" s="4" t="s">
        <v>462</v>
      </c>
      <c r="I298" s="8">
        <v>45245</v>
      </c>
      <c r="J298" s="4" t="s">
        <v>477</v>
      </c>
      <c r="K298" s="11">
        <v>1</v>
      </c>
      <c r="L298" s="11">
        <v>9</v>
      </c>
      <c r="M298" s="11">
        <v>3</v>
      </c>
      <c r="N298" s="6" t="s">
        <v>473</v>
      </c>
      <c r="O298" s="4">
        <v>28.6</v>
      </c>
      <c r="P298" s="4">
        <v>21.7</v>
      </c>
      <c r="Q298" s="4">
        <v>5.0999999999999996</v>
      </c>
      <c r="R298" s="4">
        <v>144</v>
      </c>
      <c r="S298" s="4">
        <f t="shared" si="18"/>
        <v>0.14399999999999999</v>
      </c>
      <c r="T298" s="4">
        <f t="shared" si="19"/>
        <v>1.5104895104895103E-2</v>
      </c>
      <c r="V298" s="4" t="s">
        <v>533</v>
      </c>
      <c r="W298" s="4" t="s">
        <v>327</v>
      </c>
      <c r="AB298" s="20"/>
      <c r="AC298" s="20"/>
      <c r="AD298" s="19"/>
      <c r="AE298" s="19"/>
      <c r="AF298" s="19"/>
      <c r="AG298" s="19"/>
      <c r="AH298" s="19"/>
      <c r="AI298" s="19"/>
    </row>
    <row r="299" spans="1:50" ht="12.75" customHeight="1">
      <c r="A299" s="4" t="s">
        <v>328</v>
      </c>
      <c r="B299" s="14" t="s">
        <v>494</v>
      </c>
      <c r="C299" s="4" t="s">
        <v>474</v>
      </c>
      <c r="D299" s="4" t="s">
        <v>475</v>
      </c>
      <c r="E299" s="4" t="s">
        <v>495</v>
      </c>
      <c r="F299" s="4" t="s">
        <v>474</v>
      </c>
      <c r="G299" s="4" t="s">
        <v>486</v>
      </c>
      <c r="H299" s="4" t="s">
        <v>462</v>
      </c>
      <c r="I299" s="8">
        <v>45245</v>
      </c>
      <c r="J299" s="4" t="s">
        <v>477</v>
      </c>
      <c r="K299" s="11">
        <v>1</v>
      </c>
      <c r="L299" s="11">
        <v>9</v>
      </c>
      <c r="M299" s="11">
        <v>3</v>
      </c>
      <c r="N299" s="6" t="s">
        <v>473</v>
      </c>
      <c r="O299" s="4">
        <v>24.4</v>
      </c>
      <c r="P299" s="4">
        <v>20</v>
      </c>
      <c r="Q299" s="4">
        <v>4.5999999999999996</v>
      </c>
      <c r="R299" s="4">
        <v>121</v>
      </c>
      <c r="S299" s="4">
        <f t="shared" si="18"/>
        <v>0.121</v>
      </c>
      <c r="T299" s="4">
        <f t="shared" si="19"/>
        <v>1.4877049180327871E-2</v>
      </c>
      <c r="V299" s="4" t="s">
        <v>533</v>
      </c>
      <c r="W299" s="4" t="s">
        <v>328</v>
      </c>
      <c r="AB299" s="20"/>
      <c r="AC299" s="20"/>
      <c r="AD299" s="19"/>
      <c r="AE299" s="19"/>
      <c r="AF299" s="19"/>
      <c r="AG299" s="19"/>
      <c r="AH299" s="19"/>
      <c r="AI299" s="19"/>
    </row>
    <row r="300" spans="1:50">
      <c r="A300" s="4" t="s">
        <v>689</v>
      </c>
      <c r="B300" s="9" t="s">
        <v>494</v>
      </c>
      <c r="C300" s="5" t="s">
        <v>474</v>
      </c>
      <c r="D300" s="5" t="s">
        <v>475</v>
      </c>
      <c r="E300" s="5" t="s">
        <v>495</v>
      </c>
      <c r="F300" s="12" t="s">
        <v>474</v>
      </c>
      <c r="G300" s="12" t="s">
        <v>486</v>
      </c>
      <c r="H300" s="12" t="s">
        <v>462</v>
      </c>
      <c r="I300" s="8">
        <v>45245</v>
      </c>
      <c r="J300" s="10" t="s">
        <v>477</v>
      </c>
      <c r="K300" s="11">
        <v>1</v>
      </c>
      <c r="L300" s="11">
        <v>9</v>
      </c>
      <c r="M300" s="11">
        <v>3</v>
      </c>
      <c r="N300" s="6" t="s">
        <v>479</v>
      </c>
      <c r="O300" s="7">
        <v>41.5</v>
      </c>
      <c r="P300" s="7">
        <v>32.200000000000003</v>
      </c>
      <c r="Q300" s="7">
        <v>10</v>
      </c>
      <c r="R300" s="4">
        <v>502</v>
      </c>
      <c r="S300" s="4">
        <f t="shared" si="18"/>
        <v>0.502</v>
      </c>
      <c r="T300" s="4">
        <f t="shared" si="19"/>
        <v>3.6289156626506024E-2</v>
      </c>
      <c r="V300" s="4" t="s">
        <v>540</v>
      </c>
      <c r="W300" s="4" t="s">
        <v>689</v>
      </c>
      <c r="X300" s="4" t="s">
        <v>689</v>
      </c>
      <c r="Y300" s="4">
        <v>1</v>
      </c>
      <c r="Z300" s="4" t="s">
        <v>689</v>
      </c>
      <c r="AA300" s="4">
        <v>1</v>
      </c>
      <c r="AB300" s="24"/>
      <c r="AC300" s="24"/>
      <c r="AD300" s="25"/>
      <c r="AE300" s="26"/>
      <c r="AF300" s="24"/>
      <c r="AG300" s="25"/>
      <c r="AH300" s="25"/>
      <c r="AJ300" s="4">
        <v>1.0350999999999999</v>
      </c>
      <c r="AK300" s="4">
        <v>1.0969</v>
      </c>
      <c r="AL300" s="4">
        <v>1.0368999999999999</v>
      </c>
      <c r="AM300" s="4">
        <v>6.1800000000000001E-2</v>
      </c>
      <c r="AN300" s="4">
        <v>1.8E-3</v>
      </c>
      <c r="AO300" s="4">
        <v>0.97087378639999999</v>
      </c>
      <c r="AP300" s="4">
        <v>97.087378639999997</v>
      </c>
      <c r="AQ300" s="4">
        <v>1.0673999999999999</v>
      </c>
      <c r="AR300" s="4">
        <v>1.1315999999999999</v>
      </c>
      <c r="AS300" s="4">
        <v>1.075</v>
      </c>
      <c r="AT300" s="4">
        <v>6.4199999999999993E-2</v>
      </c>
      <c r="AU300" s="4">
        <v>7.6E-3</v>
      </c>
      <c r="AV300" s="4">
        <v>0.88161993770000002</v>
      </c>
      <c r="AW300" s="4">
        <v>88.161993769999995</v>
      </c>
      <c r="AX300" s="27">
        <v>80.099999999999994</v>
      </c>
    </row>
    <row r="301" spans="1:50">
      <c r="A301" s="4" t="s">
        <v>690</v>
      </c>
      <c r="B301" s="9" t="s">
        <v>494</v>
      </c>
      <c r="C301" s="5" t="s">
        <v>474</v>
      </c>
      <c r="D301" s="5" t="s">
        <v>475</v>
      </c>
      <c r="E301" s="5" t="s">
        <v>495</v>
      </c>
      <c r="F301" s="12" t="s">
        <v>474</v>
      </c>
      <c r="G301" s="12" t="s">
        <v>486</v>
      </c>
      <c r="H301" s="12" t="s">
        <v>462</v>
      </c>
      <c r="I301" s="8">
        <v>45245</v>
      </c>
      <c r="J301" s="10" t="s">
        <v>477</v>
      </c>
      <c r="K301" s="11">
        <v>1</v>
      </c>
      <c r="L301" s="11">
        <v>9</v>
      </c>
      <c r="M301" s="11">
        <v>3</v>
      </c>
      <c r="N301" s="6" t="s">
        <v>479</v>
      </c>
      <c r="O301" s="7">
        <v>56.8</v>
      </c>
      <c r="P301" s="7">
        <v>43.1</v>
      </c>
      <c r="Q301" s="7">
        <v>14.1</v>
      </c>
      <c r="R301" s="4">
        <v>1466</v>
      </c>
      <c r="S301" s="4">
        <f t="shared" si="18"/>
        <v>1.466</v>
      </c>
      <c r="T301" s="4">
        <f t="shared" si="19"/>
        <v>7.7429577464788735E-2</v>
      </c>
      <c r="V301" s="4" t="s">
        <v>540</v>
      </c>
      <c r="W301" s="4" t="s">
        <v>690</v>
      </c>
      <c r="X301" s="4" t="s">
        <v>690</v>
      </c>
      <c r="Y301" s="4">
        <v>2</v>
      </c>
      <c r="Z301" s="4" t="s">
        <v>690</v>
      </c>
      <c r="AA301" s="4">
        <v>2</v>
      </c>
      <c r="AB301" s="24"/>
      <c r="AC301" s="24"/>
      <c r="AD301" s="25"/>
      <c r="AE301" s="26"/>
      <c r="AF301" s="24"/>
      <c r="AG301" s="25"/>
      <c r="AH301" s="25"/>
      <c r="AJ301" s="4">
        <v>1.0245</v>
      </c>
      <c r="AK301" s="4">
        <v>1.0647</v>
      </c>
      <c r="AL301" s="4">
        <v>1.0306999999999999</v>
      </c>
      <c r="AM301" s="4">
        <v>4.02E-2</v>
      </c>
      <c r="AN301" s="4">
        <v>6.1999999999999998E-3</v>
      </c>
      <c r="AO301" s="4">
        <v>0.8457711443</v>
      </c>
      <c r="AP301" s="4">
        <v>84.577114429999995</v>
      </c>
      <c r="AQ301" s="4">
        <v>1.0397000000000001</v>
      </c>
      <c r="AR301" s="4">
        <v>1.1109</v>
      </c>
      <c r="AS301" s="4">
        <v>1.0511999999999999</v>
      </c>
      <c r="AT301" s="4">
        <v>7.1199999999999999E-2</v>
      </c>
      <c r="AU301" s="4">
        <v>1.15E-2</v>
      </c>
      <c r="AV301" s="4">
        <v>0.83848314609999997</v>
      </c>
      <c r="AW301" s="4">
        <v>83.848314610000003</v>
      </c>
      <c r="AX301" s="27">
        <v>71.709999999999994</v>
      </c>
    </row>
    <row r="302" spans="1:50">
      <c r="A302" s="4" t="s">
        <v>691</v>
      </c>
      <c r="B302" s="9" t="s">
        <v>494</v>
      </c>
      <c r="C302" s="5" t="s">
        <v>474</v>
      </c>
      <c r="D302" s="5" t="s">
        <v>475</v>
      </c>
      <c r="E302" s="5" t="s">
        <v>495</v>
      </c>
      <c r="F302" s="12" t="s">
        <v>474</v>
      </c>
      <c r="G302" s="12" t="s">
        <v>486</v>
      </c>
      <c r="H302" s="12" t="s">
        <v>462</v>
      </c>
      <c r="I302" s="8">
        <v>45245</v>
      </c>
      <c r="J302" s="10" t="s">
        <v>477</v>
      </c>
      <c r="K302" s="11">
        <v>1</v>
      </c>
      <c r="L302" s="11">
        <v>9</v>
      </c>
      <c r="M302" s="11">
        <v>3</v>
      </c>
      <c r="N302" s="6" t="s">
        <v>479</v>
      </c>
      <c r="O302" s="7">
        <v>51.2</v>
      </c>
      <c r="P302" s="7">
        <v>40.700000000000003</v>
      </c>
      <c r="Q302" s="7">
        <v>12.1</v>
      </c>
      <c r="R302" s="4">
        <v>924</v>
      </c>
      <c r="S302" s="4">
        <f t="shared" si="18"/>
        <v>0.92400000000000004</v>
      </c>
      <c r="T302" s="4">
        <f t="shared" si="19"/>
        <v>5.4140624999999998E-2</v>
      </c>
      <c r="V302" s="4" t="s">
        <v>540</v>
      </c>
      <c r="W302" s="4" t="s">
        <v>691</v>
      </c>
      <c r="X302" s="4" t="s">
        <v>691</v>
      </c>
      <c r="Y302" s="4">
        <v>3</v>
      </c>
      <c r="Z302" s="4" t="s">
        <v>691</v>
      </c>
      <c r="AA302" s="4">
        <v>3</v>
      </c>
      <c r="AB302" s="24"/>
      <c r="AC302" s="24"/>
      <c r="AD302" s="25"/>
      <c r="AE302" s="26"/>
      <c r="AF302" s="24"/>
      <c r="AG302" s="25"/>
      <c r="AH302" s="25"/>
      <c r="AJ302" s="4">
        <v>1.0431999999999999</v>
      </c>
      <c r="AK302" s="4">
        <v>1.0589</v>
      </c>
      <c r="AL302" s="4">
        <v>1.0454000000000001</v>
      </c>
      <c r="AM302" s="4">
        <v>1.5699999999999999E-2</v>
      </c>
      <c r="AN302" s="4">
        <v>2.2000000000000001E-3</v>
      </c>
      <c r="AO302" s="4">
        <v>0.85987261150000005</v>
      </c>
      <c r="AP302" s="4">
        <v>85.987261149999995</v>
      </c>
      <c r="AQ302" s="4">
        <v>1.0355000000000001</v>
      </c>
      <c r="AR302" s="4">
        <v>1.1032999999999999</v>
      </c>
      <c r="AS302" s="4">
        <v>1.0452999999999999</v>
      </c>
      <c r="AT302" s="4">
        <v>6.7799999999999999E-2</v>
      </c>
      <c r="AU302" s="4">
        <v>9.7999999999999997E-3</v>
      </c>
      <c r="AV302" s="4">
        <v>0.85545722710000005</v>
      </c>
      <c r="AW302" s="4">
        <v>85.545722710000007</v>
      </c>
      <c r="AX302" s="27">
        <v>98.05</v>
      </c>
    </row>
    <row r="303" spans="1:50">
      <c r="A303" s="4" t="s">
        <v>692</v>
      </c>
      <c r="B303" s="9" t="s">
        <v>494</v>
      </c>
      <c r="C303" s="5" t="s">
        <v>474</v>
      </c>
      <c r="D303" s="5" t="s">
        <v>475</v>
      </c>
      <c r="E303" s="5" t="s">
        <v>495</v>
      </c>
      <c r="F303" s="12" t="s">
        <v>474</v>
      </c>
      <c r="G303" s="12" t="s">
        <v>486</v>
      </c>
      <c r="H303" s="12" t="s">
        <v>462</v>
      </c>
      <c r="I303" s="8">
        <v>45245</v>
      </c>
      <c r="J303" s="10" t="s">
        <v>477</v>
      </c>
      <c r="K303" s="11">
        <v>1</v>
      </c>
      <c r="L303" s="11">
        <v>9</v>
      </c>
      <c r="M303" s="11">
        <v>3</v>
      </c>
      <c r="N303" s="6" t="s">
        <v>480</v>
      </c>
      <c r="O303" s="7">
        <v>51.5</v>
      </c>
      <c r="P303" s="7">
        <v>39.299999999999997</v>
      </c>
      <c r="Q303" s="7">
        <v>14.5</v>
      </c>
      <c r="R303" s="4">
        <v>1280</v>
      </c>
      <c r="S303" s="13">
        <f t="shared" si="18"/>
        <v>1.28</v>
      </c>
      <c r="T303" s="4">
        <f t="shared" si="19"/>
        <v>7.456310679611651E-2</v>
      </c>
      <c r="V303" s="4" t="s">
        <v>540</v>
      </c>
      <c r="W303" s="4" t="s">
        <v>692</v>
      </c>
      <c r="X303" s="4" t="s">
        <v>692</v>
      </c>
      <c r="Y303" s="4">
        <v>4</v>
      </c>
      <c r="Z303" s="4" t="s">
        <v>692</v>
      </c>
      <c r="AA303" s="4">
        <v>4</v>
      </c>
      <c r="AB303" s="24"/>
      <c r="AC303" s="24"/>
      <c r="AD303" s="25"/>
      <c r="AE303" s="26"/>
      <c r="AF303" s="24"/>
      <c r="AG303" s="25"/>
      <c r="AH303" s="25"/>
      <c r="AJ303" s="4">
        <v>1.0509999999999999</v>
      </c>
      <c r="AK303" s="4">
        <v>1.0775999999999999</v>
      </c>
      <c r="AL303" s="4">
        <v>1.0552999999999999</v>
      </c>
      <c r="AM303" s="4">
        <v>2.6599999999999999E-2</v>
      </c>
      <c r="AN303" s="4">
        <v>4.3E-3</v>
      </c>
      <c r="AO303" s="4">
        <v>0.83834586470000005</v>
      </c>
      <c r="AP303" s="4">
        <v>83.834586470000005</v>
      </c>
      <c r="AQ303" s="4">
        <v>1.0606</v>
      </c>
      <c r="AR303" s="4">
        <v>1.1039000000000001</v>
      </c>
      <c r="AS303" s="4">
        <v>1.0709</v>
      </c>
      <c r="AT303" s="4">
        <v>4.3299999999999998E-2</v>
      </c>
      <c r="AU303" s="4">
        <v>1.03E-2</v>
      </c>
      <c r="AV303" s="4">
        <v>0.76212471130000004</v>
      </c>
      <c r="AW303" s="4">
        <v>76.212471129999997</v>
      </c>
      <c r="AX303" s="27">
        <v>79</v>
      </c>
    </row>
    <row r="304" spans="1:50">
      <c r="A304" s="4" t="s">
        <v>693</v>
      </c>
      <c r="B304" s="9" t="s">
        <v>494</v>
      </c>
      <c r="C304" s="5" t="s">
        <v>474</v>
      </c>
      <c r="D304" s="5" t="s">
        <v>475</v>
      </c>
      <c r="E304" s="5" t="s">
        <v>495</v>
      </c>
      <c r="F304" s="12" t="s">
        <v>474</v>
      </c>
      <c r="G304" s="12" t="s">
        <v>486</v>
      </c>
      <c r="H304" s="12" t="s">
        <v>462</v>
      </c>
      <c r="I304" s="8">
        <v>45245</v>
      </c>
      <c r="J304" s="10" t="s">
        <v>477</v>
      </c>
      <c r="K304" s="11">
        <v>1</v>
      </c>
      <c r="L304" s="11">
        <v>9</v>
      </c>
      <c r="M304" s="11">
        <v>3</v>
      </c>
      <c r="N304" s="6" t="s">
        <v>479</v>
      </c>
      <c r="O304" s="7">
        <v>52.1</v>
      </c>
      <c r="P304" s="7">
        <v>42.5</v>
      </c>
      <c r="Q304" s="7">
        <v>13.1</v>
      </c>
      <c r="R304" s="4">
        <v>1029</v>
      </c>
      <c r="S304" s="4">
        <f t="shared" si="18"/>
        <v>1.0289999999999999</v>
      </c>
      <c r="T304" s="4">
        <f t="shared" si="19"/>
        <v>5.9251439539347403E-2</v>
      </c>
      <c r="V304" s="4" t="s">
        <v>540</v>
      </c>
      <c r="W304" s="4" t="s">
        <v>693</v>
      </c>
      <c r="X304" s="4" t="s">
        <v>693</v>
      </c>
      <c r="Y304" s="4">
        <v>5</v>
      </c>
      <c r="Z304" s="4" t="s">
        <v>693</v>
      </c>
      <c r="AA304" s="4">
        <v>5</v>
      </c>
      <c r="AB304" s="24"/>
      <c r="AC304" s="24"/>
      <c r="AD304" s="25"/>
      <c r="AE304" s="26"/>
      <c r="AF304" s="24"/>
      <c r="AG304" s="25"/>
      <c r="AH304" s="25"/>
      <c r="AJ304" s="4">
        <v>1.0519000000000001</v>
      </c>
      <c r="AK304" s="4">
        <v>1.0665</v>
      </c>
      <c r="AL304" s="4">
        <v>1.0541</v>
      </c>
      <c r="AM304" s="4">
        <v>1.46E-2</v>
      </c>
      <c r="AN304" s="4">
        <v>2.2000000000000001E-3</v>
      </c>
      <c r="AO304" s="4">
        <v>0.84931506850000005</v>
      </c>
      <c r="AP304" s="4">
        <v>84.931506850000005</v>
      </c>
      <c r="AQ304" s="4">
        <v>1.0230999999999999</v>
      </c>
      <c r="AR304" s="4">
        <v>1.087</v>
      </c>
      <c r="AS304" s="4">
        <v>1.0337000000000001</v>
      </c>
      <c r="AT304" s="4">
        <v>6.3899999999999998E-2</v>
      </c>
      <c r="AU304" s="4">
        <v>1.06E-2</v>
      </c>
      <c r="AV304" s="4">
        <v>0.83411580590000001</v>
      </c>
      <c r="AW304" s="4">
        <v>83.41158059</v>
      </c>
      <c r="AX304" s="27">
        <v>77.52</v>
      </c>
    </row>
    <row r="305" spans="1:50">
      <c r="A305" s="4" t="s">
        <v>694</v>
      </c>
      <c r="B305" s="9" t="s">
        <v>494</v>
      </c>
      <c r="C305" s="5" t="s">
        <v>474</v>
      </c>
      <c r="D305" s="5" t="s">
        <v>475</v>
      </c>
      <c r="E305" s="5" t="s">
        <v>495</v>
      </c>
      <c r="F305" s="12" t="s">
        <v>474</v>
      </c>
      <c r="G305" s="12" t="s">
        <v>486</v>
      </c>
      <c r="H305" s="12" t="s">
        <v>462</v>
      </c>
      <c r="I305" s="8">
        <v>45245</v>
      </c>
      <c r="J305" s="10" t="s">
        <v>477</v>
      </c>
      <c r="K305" s="11">
        <v>1</v>
      </c>
      <c r="L305" s="11">
        <v>9</v>
      </c>
      <c r="M305" s="11">
        <v>3</v>
      </c>
      <c r="N305" s="6" t="s">
        <v>479</v>
      </c>
      <c r="O305" s="7">
        <v>37.5</v>
      </c>
      <c r="P305" s="7">
        <v>27.9</v>
      </c>
      <c r="Q305" s="7">
        <v>10.4</v>
      </c>
      <c r="R305" s="4">
        <v>530</v>
      </c>
      <c r="S305" s="13">
        <f t="shared" si="18"/>
        <v>0.53</v>
      </c>
      <c r="T305" s="4">
        <f t="shared" si="19"/>
        <v>4.2400000000000007E-2</v>
      </c>
      <c r="V305" s="4" t="s">
        <v>540</v>
      </c>
      <c r="W305" s="4" t="s">
        <v>694</v>
      </c>
      <c r="X305" s="4" t="s">
        <v>694</v>
      </c>
      <c r="Y305" s="4">
        <v>6</v>
      </c>
      <c r="Z305" s="4" t="s">
        <v>694</v>
      </c>
      <c r="AA305" s="4">
        <v>6</v>
      </c>
      <c r="AB305" s="24"/>
      <c r="AC305" s="24"/>
      <c r="AD305" s="25"/>
      <c r="AE305" s="26"/>
      <c r="AF305" s="24"/>
      <c r="AG305" s="25"/>
      <c r="AH305" s="25"/>
      <c r="AJ305" s="4">
        <v>1.0553999999999999</v>
      </c>
      <c r="AK305" s="4">
        <v>1.0649</v>
      </c>
      <c r="AL305" s="4">
        <v>1.0564</v>
      </c>
      <c r="AM305" s="4">
        <v>9.4999999999999998E-3</v>
      </c>
      <c r="AN305" s="4">
        <v>1E-3</v>
      </c>
      <c r="AO305" s="4">
        <v>0.89473684210000004</v>
      </c>
      <c r="AP305" s="4">
        <v>89.473684210000002</v>
      </c>
      <c r="AQ305" s="4">
        <v>1.0668</v>
      </c>
      <c r="AR305" s="4">
        <v>1.1008</v>
      </c>
      <c r="AS305" s="4">
        <v>1.0714999999999999</v>
      </c>
      <c r="AT305" s="4">
        <v>3.4000000000000002E-2</v>
      </c>
      <c r="AU305" s="4">
        <v>4.7000000000000002E-3</v>
      </c>
      <c r="AV305" s="4">
        <v>0.86176470589999998</v>
      </c>
      <c r="AW305" s="4">
        <v>86.176470589999994</v>
      </c>
      <c r="AX305" s="27">
        <v>80</v>
      </c>
    </row>
    <row r="306" spans="1:50">
      <c r="A306" s="4" t="s">
        <v>695</v>
      </c>
      <c r="B306" s="9" t="s">
        <v>494</v>
      </c>
      <c r="C306" s="5" t="s">
        <v>474</v>
      </c>
      <c r="D306" s="5" t="s">
        <v>475</v>
      </c>
      <c r="E306" s="5" t="s">
        <v>495</v>
      </c>
      <c r="F306" s="12" t="s">
        <v>474</v>
      </c>
      <c r="G306" s="12" t="s">
        <v>486</v>
      </c>
      <c r="H306" s="12" t="s">
        <v>462</v>
      </c>
      <c r="I306" s="8">
        <v>45245</v>
      </c>
      <c r="J306" s="10" t="s">
        <v>477</v>
      </c>
      <c r="K306" s="11">
        <v>1</v>
      </c>
      <c r="L306" s="11">
        <v>9</v>
      </c>
      <c r="M306" s="11">
        <v>3</v>
      </c>
      <c r="N306" s="6" t="s">
        <v>479</v>
      </c>
      <c r="O306" s="7">
        <v>51</v>
      </c>
      <c r="P306" s="7">
        <v>40.6</v>
      </c>
      <c r="Q306" s="7">
        <v>12.6</v>
      </c>
      <c r="R306" s="4">
        <v>1206</v>
      </c>
      <c r="S306" s="4">
        <f t="shared" si="18"/>
        <v>1.206</v>
      </c>
      <c r="T306" s="4">
        <f t="shared" si="19"/>
        <v>7.094117647058823E-2</v>
      </c>
      <c r="V306" s="4" t="s">
        <v>540</v>
      </c>
      <c r="W306" s="4" t="s">
        <v>695</v>
      </c>
      <c r="X306" s="4" t="s">
        <v>695</v>
      </c>
      <c r="Y306" s="4">
        <v>7</v>
      </c>
      <c r="Z306" s="4" t="s">
        <v>695</v>
      </c>
      <c r="AA306" s="4">
        <v>7</v>
      </c>
      <c r="AB306" s="24"/>
      <c r="AC306" s="24"/>
      <c r="AD306" s="25"/>
      <c r="AE306" s="26"/>
      <c r="AF306" s="24"/>
      <c r="AG306" s="25"/>
      <c r="AH306" s="25"/>
      <c r="AJ306" s="4">
        <v>1.0678000000000001</v>
      </c>
      <c r="AK306" s="4">
        <v>1.0996999999999999</v>
      </c>
      <c r="AL306" s="4">
        <v>1.0692999999999999</v>
      </c>
      <c r="AM306" s="4">
        <v>3.1899999999999998E-2</v>
      </c>
      <c r="AN306" s="4">
        <v>1.5E-3</v>
      </c>
      <c r="AO306" s="4">
        <v>0.9529780564</v>
      </c>
      <c r="AP306" s="4">
        <v>95.297805640000007</v>
      </c>
      <c r="AQ306" s="4">
        <v>1.0345</v>
      </c>
      <c r="AR306" s="4">
        <v>1.0967</v>
      </c>
      <c r="AS306" s="4">
        <v>1.0450999999999999</v>
      </c>
      <c r="AT306" s="4">
        <v>6.2199999999999998E-2</v>
      </c>
      <c r="AU306" s="4">
        <v>1.06E-2</v>
      </c>
      <c r="AV306" s="4">
        <v>0.82958199359999996</v>
      </c>
      <c r="AW306" s="4">
        <v>82.958199359999995</v>
      </c>
      <c r="AX306" s="27">
        <v>64.95</v>
      </c>
    </row>
    <row r="307" spans="1:50">
      <c r="A307" s="4" t="s">
        <v>696</v>
      </c>
      <c r="B307" s="9" t="s">
        <v>494</v>
      </c>
      <c r="C307" s="5" t="s">
        <v>474</v>
      </c>
      <c r="D307" s="5" t="s">
        <v>475</v>
      </c>
      <c r="E307" s="5" t="s">
        <v>495</v>
      </c>
      <c r="F307" s="12" t="s">
        <v>474</v>
      </c>
      <c r="G307" s="12" t="s">
        <v>486</v>
      </c>
      <c r="H307" s="12" t="s">
        <v>462</v>
      </c>
      <c r="I307" s="8">
        <v>45245</v>
      </c>
      <c r="J307" s="10" t="s">
        <v>477</v>
      </c>
      <c r="K307" s="11">
        <v>1</v>
      </c>
      <c r="L307" s="11">
        <v>9</v>
      </c>
      <c r="M307" s="11">
        <v>3</v>
      </c>
      <c r="N307" s="6" t="s">
        <v>479</v>
      </c>
      <c r="O307" s="7">
        <v>47.4</v>
      </c>
      <c r="P307" s="7">
        <v>38.299999999999997</v>
      </c>
      <c r="Q307" s="7">
        <v>11.4</v>
      </c>
      <c r="R307" s="4">
        <v>794</v>
      </c>
      <c r="S307" s="4">
        <f t="shared" si="18"/>
        <v>0.79400000000000004</v>
      </c>
      <c r="T307" s="4">
        <f t="shared" si="19"/>
        <v>5.0253164556962035E-2</v>
      </c>
      <c r="V307" s="4" t="s">
        <v>540</v>
      </c>
      <c r="W307" s="4" t="s">
        <v>696</v>
      </c>
      <c r="X307" s="4" t="s">
        <v>696</v>
      </c>
      <c r="Y307" s="4">
        <v>8</v>
      </c>
      <c r="Z307" s="4" t="s">
        <v>696</v>
      </c>
      <c r="AA307" s="4">
        <v>8</v>
      </c>
      <c r="AB307" s="24"/>
      <c r="AC307" s="24"/>
      <c r="AD307" s="25"/>
      <c r="AE307" s="26"/>
      <c r="AF307" s="24"/>
      <c r="AG307" s="25"/>
      <c r="AH307" s="25"/>
      <c r="AJ307" s="4">
        <v>1.0359</v>
      </c>
      <c r="AK307" s="4">
        <v>1.0527</v>
      </c>
      <c r="AL307" s="4">
        <v>1.0381</v>
      </c>
      <c r="AM307" s="4">
        <v>1.6799999999999999E-2</v>
      </c>
      <c r="AN307" s="4">
        <v>2.2000000000000001E-3</v>
      </c>
      <c r="AO307" s="4">
        <v>0.86904761900000005</v>
      </c>
      <c r="AP307" s="4">
        <v>86.904761899999997</v>
      </c>
      <c r="AQ307" s="4">
        <v>1.0322</v>
      </c>
      <c r="AR307" s="4">
        <v>1.1028</v>
      </c>
      <c r="AS307" s="4">
        <v>1.0429999999999999</v>
      </c>
      <c r="AT307" s="4">
        <v>7.0599999999999996E-2</v>
      </c>
      <c r="AU307" s="4">
        <v>1.0800000000000001E-2</v>
      </c>
      <c r="AV307" s="4">
        <v>0.84702549579999997</v>
      </c>
      <c r="AW307" s="4">
        <v>84.702549579999996</v>
      </c>
      <c r="AX307" s="27">
        <v>59.16</v>
      </c>
    </row>
    <row r="308" spans="1:50">
      <c r="A308" s="4" t="s">
        <v>697</v>
      </c>
      <c r="B308" s="9" t="s">
        <v>494</v>
      </c>
      <c r="C308" s="5" t="s">
        <v>474</v>
      </c>
      <c r="D308" s="5" t="s">
        <v>475</v>
      </c>
      <c r="E308" s="5" t="s">
        <v>495</v>
      </c>
      <c r="F308" s="12" t="s">
        <v>474</v>
      </c>
      <c r="G308" s="12" t="s">
        <v>486</v>
      </c>
      <c r="H308" s="12" t="s">
        <v>462</v>
      </c>
      <c r="I308" s="8">
        <v>45245</v>
      </c>
      <c r="J308" s="10" t="s">
        <v>477</v>
      </c>
      <c r="K308" s="11">
        <v>1</v>
      </c>
      <c r="L308" s="11">
        <v>9</v>
      </c>
      <c r="M308" s="11">
        <v>3</v>
      </c>
      <c r="N308" s="6" t="s">
        <v>479</v>
      </c>
      <c r="O308" s="7">
        <v>38.4</v>
      </c>
      <c r="P308" s="7">
        <v>29.6</v>
      </c>
      <c r="Q308" s="7">
        <v>8.5</v>
      </c>
      <c r="R308" s="4">
        <v>399</v>
      </c>
      <c r="S308" s="4">
        <f t="shared" si="18"/>
        <v>0.39900000000000002</v>
      </c>
      <c r="T308" s="4">
        <f t="shared" si="19"/>
        <v>3.1171875000000002E-2</v>
      </c>
      <c r="V308" s="4" t="s">
        <v>540</v>
      </c>
      <c r="W308" s="4" t="s">
        <v>697</v>
      </c>
      <c r="X308" s="4" t="s">
        <v>697</v>
      </c>
      <c r="Y308" s="4">
        <v>9</v>
      </c>
      <c r="Z308" s="4" t="s">
        <v>697</v>
      </c>
      <c r="AA308" s="4">
        <v>9</v>
      </c>
      <c r="AB308" s="24"/>
      <c r="AC308" s="24"/>
      <c r="AD308" s="25"/>
      <c r="AE308" s="26"/>
      <c r="AF308" s="24"/>
      <c r="AG308" s="25"/>
      <c r="AH308" s="25"/>
      <c r="AJ308" s="4">
        <v>1.0424</v>
      </c>
      <c r="AK308" s="4">
        <v>1.0469999999999999</v>
      </c>
      <c r="AL308" s="4">
        <v>1.0427999999999999</v>
      </c>
      <c r="AM308" s="4">
        <v>4.5999999999999999E-3</v>
      </c>
      <c r="AN308" s="4">
        <v>4.0000000000000002E-4</v>
      </c>
      <c r="AO308" s="4">
        <v>0.91304347829999999</v>
      </c>
      <c r="AP308" s="4">
        <v>91.304347829999998</v>
      </c>
      <c r="AQ308" s="4">
        <v>1.0426</v>
      </c>
      <c r="AR308" s="4">
        <v>1.0731999999999999</v>
      </c>
      <c r="AS308" s="4">
        <v>1.0477000000000001</v>
      </c>
      <c r="AT308" s="4">
        <v>3.0599999999999999E-2</v>
      </c>
      <c r="AU308" s="4">
        <v>5.1000000000000004E-3</v>
      </c>
      <c r="AV308" s="4">
        <v>0.83333333330000003</v>
      </c>
      <c r="AW308" s="4">
        <v>83.333333330000002</v>
      </c>
    </row>
    <row r="309" spans="1:50">
      <c r="A309" s="4" t="s">
        <v>698</v>
      </c>
      <c r="B309" s="9" t="s">
        <v>494</v>
      </c>
      <c r="C309" s="5" t="s">
        <v>474</v>
      </c>
      <c r="D309" s="5" t="s">
        <v>475</v>
      </c>
      <c r="E309" s="5" t="s">
        <v>495</v>
      </c>
      <c r="F309" s="12" t="s">
        <v>474</v>
      </c>
      <c r="G309" s="12" t="s">
        <v>486</v>
      </c>
      <c r="H309" s="12" t="s">
        <v>462</v>
      </c>
      <c r="I309" s="8">
        <v>45245</v>
      </c>
      <c r="J309" s="10" t="s">
        <v>477</v>
      </c>
      <c r="K309" s="11">
        <v>1</v>
      </c>
      <c r="L309" s="11">
        <v>9</v>
      </c>
      <c r="M309" s="11">
        <v>3</v>
      </c>
      <c r="N309" s="6" t="s">
        <v>482</v>
      </c>
      <c r="O309" s="7">
        <v>39.9</v>
      </c>
      <c r="P309" s="7">
        <v>30.7</v>
      </c>
      <c r="Q309" s="7">
        <v>9.8000000000000007</v>
      </c>
      <c r="R309" s="4">
        <v>447</v>
      </c>
      <c r="S309" s="4">
        <f t="shared" si="18"/>
        <v>0.44700000000000001</v>
      </c>
      <c r="T309" s="4">
        <f t="shared" si="19"/>
        <v>3.3609022556390977E-2</v>
      </c>
      <c r="V309" s="4" t="s">
        <v>540</v>
      </c>
      <c r="W309" s="4" t="s">
        <v>698</v>
      </c>
      <c r="X309" s="4" t="s">
        <v>698</v>
      </c>
      <c r="Y309" s="4">
        <v>10</v>
      </c>
      <c r="Z309" s="4" t="s">
        <v>698</v>
      </c>
      <c r="AA309" s="4">
        <v>10</v>
      </c>
      <c r="AB309" s="24"/>
      <c r="AC309" s="24"/>
      <c r="AD309" s="25"/>
      <c r="AE309" s="26"/>
      <c r="AF309" s="24"/>
      <c r="AG309" s="25"/>
      <c r="AH309" s="25"/>
      <c r="AJ309" s="4">
        <v>1.0602</v>
      </c>
      <c r="AK309" s="4">
        <v>1.0807</v>
      </c>
      <c r="AL309" s="4">
        <v>1.0613999999999999</v>
      </c>
      <c r="AM309" s="4">
        <v>2.0500000000000001E-2</v>
      </c>
      <c r="AN309" s="4">
        <v>1.1999999999999999E-3</v>
      </c>
      <c r="AO309" s="4">
        <v>0.94146341460000005</v>
      </c>
      <c r="AP309" s="4">
        <v>94.146341460000002</v>
      </c>
      <c r="AQ309" s="4">
        <v>1.0532999999999999</v>
      </c>
      <c r="AR309" s="4">
        <v>1.1041000000000001</v>
      </c>
      <c r="AS309" s="4">
        <v>1.0599000000000001</v>
      </c>
      <c r="AT309" s="4">
        <v>5.0799999999999998E-2</v>
      </c>
      <c r="AU309" s="4">
        <v>6.6E-3</v>
      </c>
      <c r="AV309" s="4">
        <v>0.87007874019999998</v>
      </c>
      <c r="AW309" s="4">
        <v>87.007874020000003</v>
      </c>
    </row>
    <row r="310" spans="1:50">
      <c r="A310" s="4" t="s">
        <v>699</v>
      </c>
      <c r="B310" s="9" t="s">
        <v>494</v>
      </c>
      <c r="C310" s="5" t="s">
        <v>474</v>
      </c>
      <c r="D310" s="5" t="s">
        <v>475</v>
      </c>
      <c r="E310" s="5" t="s">
        <v>495</v>
      </c>
      <c r="F310" s="12" t="s">
        <v>474</v>
      </c>
      <c r="G310" s="12" t="s">
        <v>486</v>
      </c>
      <c r="H310" s="12" t="s">
        <v>462</v>
      </c>
      <c r="I310" s="8">
        <v>45245</v>
      </c>
      <c r="J310" s="10" t="s">
        <v>477</v>
      </c>
      <c r="K310" s="11">
        <v>1</v>
      </c>
      <c r="L310" s="11">
        <v>9</v>
      </c>
      <c r="M310" s="11">
        <v>3</v>
      </c>
      <c r="N310" s="6" t="s">
        <v>482</v>
      </c>
      <c r="O310" s="7">
        <v>38.6</v>
      </c>
      <c r="P310" s="7">
        <v>30</v>
      </c>
      <c r="Q310" s="7">
        <v>10.4</v>
      </c>
      <c r="R310" s="4">
        <v>457</v>
      </c>
      <c r="S310" s="4">
        <f t="shared" si="18"/>
        <v>0.45700000000000002</v>
      </c>
      <c r="T310" s="4">
        <f t="shared" si="19"/>
        <v>3.5518134715025906E-2</v>
      </c>
      <c r="V310" s="4" t="s">
        <v>540</v>
      </c>
      <c r="W310" s="4" t="s">
        <v>699</v>
      </c>
      <c r="X310" s="4" t="s">
        <v>699</v>
      </c>
      <c r="Y310" s="4">
        <v>11</v>
      </c>
      <c r="Z310" s="4" t="s">
        <v>699</v>
      </c>
      <c r="AA310" s="4">
        <v>11</v>
      </c>
      <c r="AB310" s="24"/>
      <c r="AC310" s="24"/>
      <c r="AD310" s="25"/>
      <c r="AE310" s="26"/>
      <c r="AF310" s="24"/>
      <c r="AG310" s="25"/>
      <c r="AH310" s="25"/>
      <c r="AJ310" s="4">
        <v>1.0488999999999999</v>
      </c>
      <c r="AK310" s="4">
        <v>1.0691999999999999</v>
      </c>
      <c r="AL310" s="4">
        <v>1.0508999999999999</v>
      </c>
      <c r="AM310" s="4">
        <v>2.0299999999999999E-2</v>
      </c>
      <c r="AN310" s="4">
        <v>2E-3</v>
      </c>
      <c r="AO310" s="4">
        <v>0.90147783250000002</v>
      </c>
      <c r="AP310" s="4">
        <v>90.147783250000003</v>
      </c>
      <c r="AQ310" s="4">
        <v>1.0396000000000001</v>
      </c>
      <c r="AR310" s="4">
        <v>1.0717000000000001</v>
      </c>
      <c r="AS310" s="4">
        <v>1.0439000000000001</v>
      </c>
      <c r="AT310" s="4">
        <v>3.2099999999999997E-2</v>
      </c>
      <c r="AU310" s="4">
        <v>4.3E-3</v>
      </c>
      <c r="AV310" s="4">
        <v>0.86604361370000005</v>
      </c>
      <c r="AW310" s="4">
        <v>86.604361370000007</v>
      </c>
      <c r="AX310" s="27">
        <v>77.73</v>
      </c>
    </row>
    <row r="311" spans="1:50">
      <c r="A311" s="4" t="s">
        <v>700</v>
      </c>
      <c r="B311" s="9" t="s">
        <v>494</v>
      </c>
      <c r="C311" s="5" t="s">
        <v>474</v>
      </c>
      <c r="D311" s="5" t="s">
        <v>475</v>
      </c>
      <c r="E311" s="5" t="s">
        <v>495</v>
      </c>
      <c r="F311" s="12" t="s">
        <v>474</v>
      </c>
      <c r="G311" s="12" t="s">
        <v>486</v>
      </c>
      <c r="H311" s="12" t="s">
        <v>462</v>
      </c>
      <c r="I311" s="8">
        <v>45245</v>
      </c>
      <c r="J311" s="10" t="s">
        <v>477</v>
      </c>
      <c r="K311" s="11">
        <v>1</v>
      </c>
      <c r="L311" s="11">
        <v>9</v>
      </c>
      <c r="M311" s="11">
        <v>3</v>
      </c>
      <c r="N311" s="6" t="s">
        <v>482</v>
      </c>
      <c r="O311" s="7">
        <v>35.299999999999997</v>
      </c>
      <c r="P311" s="7">
        <v>26.4</v>
      </c>
      <c r="Q311" s="7">
        <v>9.1</v>
      </c>
      <c r="R311" s="4">
        <v>303</v>
      </c>
      <c r="S311" s="4">
        <f t="shared" si="18"/>
        <v>0.30299999999999999</v>
      </c>
      <c r="T311" s="4">
        <f t="shared" si="19"/>
        <v>2.5750708215297454E-2</v>
      </c>
      <c r="V311" s="4" t="s">
        <v>540</v>
      </c>
      <c r="W311" s="4" t="s">
        <v>700</v>
      </c>
      <c r="X311" s="4" t="s">
        <v>700</v>
      </c>
      <c r="Y311" s="4">
        <v>12</v>
      </c>
      <c r="Z311" s="4" t="s">
        <v>700</v>
      </c>
      <c r="AA311" s="4">
        <v>12</v>
      </c>
      <c r="AB311" s="24"/>
      <c r="AC311" s="24"/>
      <c r="AD311" s="25"/>
      <c r="AE311" s="26"/>
      <c r="AF311" s="24"/>
      <c r="AG311" s="25"/>
      <c r="AH311" s="25"/>
      <c r="AJ311" s="4">
        <v>1.0343</v>
      </c>
      <c r="AK311" s="4">
        <v>1.0509999999999999</v>
      </c>
      <c r="AL311" s="4">
        <v>1.0351999999999999</v>
      </c>
      <c r="AM311" s="4">
        <v>1.67E-2</v>
      </c>
      <c r="AN311" s="4">
        <v>8.9999999999999998E-4</v>
      </c>
      <c r="AO311" s="4">
        <v>0.94610778439999998</v>
      </c>
      <c r="AP311" s="4">
        <v>94.610778440000004</v>
      </c>
      <c r="AQ311" s="4">
        <v>1.0418000000000001</v>
      </c>
      <c r="AR311" s="4">
        <v>1.0568</v>
      </c>
      <c r="AS311" s="4">
        <v>1.0448999999999999</v>
      </c>
      <c r="AT311" s="4">
        <v>1.4999999999999999E-2</v>
      </c>
      <c r="AU311" s="4">
        <v>3.0999999999999999E-3</v>
      </c>
      <c r="AV311" s="4">
        <v>0.7933333333</v>
      </c>
      <c r="AW311" s="4">
        <v>79.333333330000002</v>
      </c>
      <c r="AX311" s="27">
        <v>63.96</v>
      </c>
    </row>
    <row r="312" spans="1:50">
      <c r="A312" s="4" t="s">
        <v>701</v>
      </c>
      <c r="B312" s="9" t="s">
        <v>494</v>
      </c>
      <c r="C312" s="5" t="s">
        <v>474</v>
      </c>
      <c r="D312" s="5" t="s">
        <v>475</v>
      </c>
      <c r="E312" s="5" t="s">
        <v>495</v>
      </c>
      <c r="F312" s="12" t="s">
        <v>474</v>
      </c>
      <c r="G312" s="12" t="s">
        <v>486</v>
      </c>
      <c r="H312" s="12" t="s">
        <v>462</v>
      </c>
      <c r="I312" s="8">
        <v>45245</v>
      </c>
      <c r="J312" s="10" t="s">
        <v>477</v>
      </c>
      <c r="K312" s="11">
        <v>1</v>
      </c>
      <c r="L312" s="11">
        <v>9</v>
      </c>
      <c r="M312" s="11">
        <v>3</v>
      </c>
      <c r="N312" s="6" t="s">
        <v>479</v>
      </c>
      <c r="O312" s="7">
        <v>44.6</v>
      </c>
      <c r="P312" s="7">
        <v>35.1</v>
      </c>
      <c r="Q312" s="7">
        <v>10.5</v>
      </c>
      <c r="R312" s="4">
        <v>539</v>
      </c>
      <c r="S312" s="4">
        <f t="shared" si="18"/>
        <v>0.53900000000000003</v>
      </c>
      <c r="T312" s="4">
        <f t="shared" si="19"/>
        <v>3.6255605381165922E-2</v>
      </c>
      <c r="V312" s="4" t="s">
        <v>540</v>
      </c>
      <c r="W312" s="4" t="s">
        <v>701</v>
      </c>
      <c r="X312" s="4" t="s">
        <v>701</v>
      </c>
      <c r="Y312" s="4">
        <v>13</v>
      </c>
      <c r="Z312" s="4" t="s">
        <v>701</v>
      </c>
      <c r="AA312" s="4">
        <v>13</v>
      </c>
      <c r="AB312" s="24"/>
      <c r="AC312" s="24"/>
      <c r="AD312" s="25"/>
      <c r="AE312" s="26"/>
      <c r="AF312" s="24"/>
      <c r="AG312" s="25"/>
      <c r="AH312" s="25"/>
      <c r="AJ312" s="4">
        <v>1.0527</v>
      </c>
      <c r="AK312" s="4">
        <v>1.0814999999999999</v>
      </c>
      <c r="AL312" s="4">
        <v>1.0543</v>
      </c>
      <c r="AM312" s="4">
        <v>2.8799999999999999E-2</v>
      </c>
      <c r="AN312" s="4">
        <v>1.6000000000000001E-3</v>
      </c>
      <c r="AO312" s="4">
        <v>0.94444444439999997</v>
      </c>
      <c r="AP312" s="4">
        <v>94.444444439999998</v>
      </c>
      <c r="AQ312" s="4">
        <v>1.0671999999999999</v>
      </c>
      <c r="AR312" s="4">
        <v>1.1104000000000001</v>
      </c>
      <c r="AS312" s="4">
        <v>1.0737000000000001</v>
      </c>
      <c r="AT312" s="4">
        <v>4.3200000000000002E-2</v>
      </c>
      <c r="AU312" s="4">
        <v>6.4999999999999997E-3</v>
      </c>
      <c r="AV312" s="4">
        <v>0.84953703700000005</v>
      </c>
      <c r="AW312" s="4">
        <v>84.953703700000005</v>
      </c>
      <c r="AX312" s="27">
        <v>64.290000000000006</v>
      </c>
    </row>
    <row r="313" spans="1:50">
      <c r="A313" s="28" t="s">
        <v>702</v>
      </c>
      <c r="B313" s="29" t="s">
        <v>491</v>
      </c>
      <c r="C313" s="5" t="s">
        <v>474</v>
      </c>
      <c r="D313" s="5" t="s">
        <v>475</v>
      </c>
      <c r="E313" s="5" t="s">
        <v>495</v>
      </c>
      <c r="F313" s="12" t="s">
        <v>474</v>
      </c>
      <c r="G313" s="12" t="s">
        <v>486</v>
      </c>
      <c r="H313" s="12" t="s">
        <v>462</v>
      </c>
      <c r="I313" s="8">
        <v>45245</v>
      </c>
      <c r="J313" s="10" t="s">
        <v>477</v>
      </c>
      <c r="K313" s="11">
        <v>1</v>
      </c>
      <c r="L313" s="30">
        <v>8</v>
      </c>
      <c r="M313" s="30">
        <v>4</v>
      </c>
      <c r="N313" s="6" t="s">
        <v>560</v>
      </c>
      <c r="O313" s="7">
        <v>34.799999999999997</v>
      </c>
      <c r="P313" s="7">
        <v>27</v>
      </c>
      <c r="Q313" s="7">
        <v>6.9</v>
      </c>
      <c r="R313" s="4">
        <v>241</v>
      </c>
      <c r="S313" s="4">
        <f t="shared" si="18"/>
        <v>0.24099999999999999</v>
      </c>
      <c r="T313" s="4">
        <f t="shared" si="19"/>
        <v>2.077586206896552E-2</v>
      </c>
      <c r="U313" s="4" t="s">
        <v>500</v>
      </c>
      <c r="V313" s="4" t="s">
        <v>540</v>
      </c>
      <c r="W313" s="4" t="s">
        <v>723</v>
      </c>
      <c r="X313" s="4" t="s">
        <v>723</v>
      </c>
      <c r="Y313" s="4">
        <v>14</v>
      </c>
      <c r="Z313" s="4" t="s">
        <v>723</v>
      </c>
      <c r="AA313" s="4">
        <v>14</v>
      </c>
      <c r="AB313" s="24"/>
      <c r="AC313" s="24"/>
      <c r="AD313" s="25"/>
      <c r="AE313" s="26"/>
      <c r="AF313" s="24"/>
      <c r="AG313" s="25"/>
      <c r="AH313" s="25"/>
      <c r="AJ313" s="4">
        <v>0.93049999999999999</v>
      </c>
      <c r="AK313" s="4">
        <v>0.93799999999999994</v>
      </c>
      <c r="AL313" s="4">
        <v>0.93189999999999995</v>
      </c>
      <c r="AM313" s="4">
        <v>7.4999999999999997E-3</v>
      </c>
      <c r="AN313" s="4">
        <v>1.4E-3</v>
      </c>
      <c r="AO313" s="4">
        <v>0.81333333330000002</v>
      </c>
      <c r="AP313" s="4">
        <v>81.333333330000002</v>
      </c>
      <c r="AQ313" s="4">
        <v>0.92749999999999999</v>
      </c>
      <c r="AR313" s="4">
        <v>0.94579999999999997</v>
      </c>
      <c r="AS313" s="4">
        <v>0.93100000000000005</v>
      </c>
      <c r="AT313" s="4">
        <v>1.83E-2</v>
      </c>
      <c r="AU313" s="4">
        <v>3.5000000000000001E-3</v>
      </c>
      <c r="AV313" s="4">
        <v>0.80874316940000002</v>
      </c>
      <c r="AW313" s="4">
        <v>80.87431694</v>
      </c>
      <c r="AX313" s="27">
        <v>87.81</v>
      </c>
    </row>
    <row r="314" spans="1:50">
      <c r="A314" s="4" t="s">
        <v>703</v>
      </c>
      <c r="B314" s="9" t="s">
        <v>494</v>
      </c>
      <c r="C314" s="5" t="s">
        <v>474</v>
      </c>
      <c r="D314" s="5" t="s">
        <v>475</v>
      </c>
      <c r="E314" s="5" t="s">
        <v>495</v>
      </c>
      <c r="F314" s="12" t="s">
        <v>474</v>
      </c>
      <c r="G314" s="12" t="s">
        <v>486</v>
      </c>
      <c r="H314" s="12" t="s">
        <v>462</v>
      </c>
      <c r="I314" s="8">
        <v>45245</v>
      </c>
      <c r="J314" s="10" t="s">
        <v>477</v>
      </c>
      <c r="K314" s="11">
        <v>1</v>
      </c>
      <c r="L314" s="11">
        <v>9</v>
      </c>
      <c r="M314" s="11">
        <v>3</v>
      </c>
      <c r="N314" s="6" t="s">
        <v>479</v>
      </c>
      <c r="O314" s="7">
        <v>33.299999999999997</v>
      </c>
      <c r="P314" s="7">
        <v>26.4</v>
      </c>
      <c r="Q314" s="7">
        <v>8.8000000000000007</v>
      </c>
      <c r="R314" s="4">
        <v>294</v>
      </c>
      <c r="S314" s="4">
        <f t="shared" si="18"/>
        <v>0.29399999999999998</v>
      </c>
      <c r="T314" s="4">
        <f t="shared" si="19"/>
        <v>2.6486486486486487E-2</v>
      </c>
      <c r="V314" s="4" t="s">
        <v>540</v>
      </c>
      <c r="W314" s="4" t="s">
        <v>703</v>
      </c>
      <c r="X314" s="4" t="s">
        <v>703</v>
      </c>
      <c r="Y314" s="4">
        <v>14</v>
      </c>
      <c r="Z314" s="4" t="s">
        <v>703</v>
      </c>
      <c r="AA314" s="4">
        <v>14</v>
      </c>
      <c r="AB314" s="24"/>
      <c r="AC314" s="24"/>
      <c r="AD314" s="25"/>
      <c r="AE314" s="26"/>
      <c r="AF314" s="24"/>
      <c r="AG314" s="25"/>
      <c r="AH314" s="25"/>
      <c r="AJ314" s="4">
        <v>1.0402</v>
      </c>
      <c r="AK314" s="4">
        <v>1.0539000000000001</v>
      </c>
      <c r="AL314" s="4">
        <v>1.0417000000000001</v>
      </c>
      <c r="AM314" s="4">
        <v>1.37E-2</v>
      </c>
      <c r="AN314" s="4">
        <v>1.5E-3</v>
      </c>
      <c r="AO314" s="4">
        <v>0.89051094890000004</v>
      </c>
      <c r="AP314" s="4">
        <v>89.051094890000002</v>
      </c>
      <c r="AQ314" s="4">
        <v>1.0689</v>
      </c>
      <c r="AR314" s="4">
        <v>1.0928</v>
      </c>
      <c r="AS314" s="4">
        <v>1.0718000000000001</v>
      </c>
      <c r="AT314" s="4">
        <v>2.3900000000000001E-2</v>
      </c>
      <c r="AU314" s="4">
        <v>2.8999999999999998E-3</v>
      </c>
      <c r="AV314" s="4">
        <v>0.87866108789999997</v>
      </c>
      <c r="AW314" s="4">
        <v>87.866108789999998</v>
      </c>
    </row>
    <row r="315" spans="1:50" ht="12.75" customHeight="1">
      <c r="A315" s="4" t="s">
        <v>704</v>
      </c>
      <c r="B315" s="14" t="s">
        <v>494</v>
      </c>
      <c r="C315" s="4" t="s">
        <v>474</v>
      </c>
      <c r="D315" s="4" t="s">
        <v>475</v>
      </c>
      <c r="E315" s="4" t="s">
        <v>495</v>
      </c>
      <c r="F315" s="4" t="s">
        <v>474</v>
      </c>
      <c r="G315" s="4" t="s">
        <v>486</v>
      </c>
      <c r="H315" s="4" t="s">
        <v>462</v>
      </c>
      <c r="I315" s="8">
        <v>45245</v>
      </c>
      <c r="J315" s="4" t="s">
        <v>477</v>
      </c>
      <c r="K315" s="11">
        <v>1</v>
      </c>
      <c r="L315" s="11">
        <v>9</v>
      </c>
      <c r="M315" s="11">
        <v>3</v>
      </c>
      <c r="N315" s="6" t="s">
        <v>479</v>
      </c>
      <c r="O315" s="4">
        <v>31.9</v>
      </c>
      <c r="P315" s="4">
        <v>24.7</v>
      </c>
      <c r="Q315" s="4">
        <v>6.5</v>
      </c>
      <c r="R315" s="4">
        <v>266</v>
      </c>
      <c r="S315" s="4">
        <f t="shared" si="18"/>
        <v>0.26600000000000001</v>
      </c>
      <c r="T315" s="4">
        <f t="shared" si="19"/>
        <v>2.5015673981191228E-2</v>
      </c>
      <c r="V315" s="4" t="s">
        <v>533</v>
      </c>
      <c r="W315" s="4" t="s">
        <v>704</v>
      </c>
      <c r="AB315" s="20"/>
      <c r="AC315" s="20"/>
      <c r="AD315" s="19"/>
      <c r="AE315" s="19"/>
      <c r="AF315" s="19"/>
      <c r="AG315" s="19"/>
      <c r="AH315" s="19"/>
      <c r="AI315" s="19"/>
    </row>
    <row r="316" spans="1:50" ht="12.75" customHeight="1">
      <c r="A316" s="4" t="s">
        <v>705</v>
      </c>
      <c r="B316" s="14" t="s">
        <v>494</v>
      </c>
      <c r="C316" s="4" t="s">
        <v>474</v>
      </c>
      <c r="D316" s="4" t="s">
        <v>475</v>
      </c>
      <c r="E316" s="4" t="s">
        <v>495</v>
      </c>
      <c r="F316" s="4" t="s">
        <v>474</v>
      </c>
      <c r="G316" s="4" t="s">
        <v>486</v>
      </c>
      <c r="H316" s="4" t="s">
        <v>462</v>
      </c>
      <c r="I316" s="8">
        <v>45245</v>
      </c>
      <c r="J316" s="4" t="s">
        <v>477</v>
      </c>
      <c r="K316" s="11">
        <v>1</v>
      </c>
      <c r="L316" s="11">
        <v>9</v>
      </c>
      <c r="M316" s="11">
        <v>3</v>
      </c>
      <c r="N316" s="6" t="s">
        <v>479</v>
      </c>
      <c r="O316" s="4">
        <v>23.6</v>
      </c>
      <c r="P316" s="4">
        <v>20.6</v>
      </c>
      <c r="Q316" s="4">
        <v>5.8</v>
      </c>
      <c r="R316" s="4">
        <v>154</v>
      </c>
      <c r="S316" s="4">
        <f t="shared" si="18"/>
        <v>0.154</v>
      </c>
      <c r="T316" s="4">
        <f t="shared" si="19"/>
        <v>1.9576271186440675E-2</v>
      </c>
      <c r="V316" s="4" t="s">
        <v>533</v>
      </c>
      <c r="W316" s="4" t="s">
        <v>705</v>
      </c>
      <c r="AB316" s="20"/>
      <c r="AC316" s="20"/>
      <c r="AD316" s="19"/>
      <c r="AE316" s="19"/>
      <c r="AF316" s="19"/>
      <c r="AG316" s="19"/>
      <c r="AH316" s="19"/>
      <c r="AI316" s="19"/>
    </row>
    <row r="317" spans="1:50" ht="12.75" customHeight="1">
      <c r="A317" s="4" t="s">
        <v>706</v>
      </c>
      <c r="B317" s="14" t="s">
        <v>494</v>
      </c>
      <c r="C317" s="4" t="s">
        <v>474</v>
      </c>
      <c r="D317" s="4" t="s">
        <v>475</v>
      </c>
      <c r="E317" s="4" t="s">
        <v>495</v>
      </c>
      <c r="F317" s="4" t="s">
        <v>474</v>
      </c>
      <c r="G317" s="4" t="s">
        <v>486</v>
      </c>
      <c r="H317" s="4" t="s">
        <v>462</v>
      </c>
      <c r="I317" s="8">
        <v>45245</v>
      </c>
      <c r="J317" s="4" t="s">
        <v>477</v>
      </c>
      <c r="K317" s="11">
        <v>1</v>
      </c>
      <c r="L317" s="11">
        <v>9</v>
      </c>
      <c r="M317" s="11">
        <v>3</v>
      </c>
      <c r="N317" s="6" t="s">
        <v>560</v>
      </c>
      <c r="O317" s="4">
        <v>16.600000000000001</v>
      </c>
      <c r="P317" s="4">
        <v>14.4</v>
      </c>
      <c r="Q317" s="4">
        <v>4.2</v>
      </c>
      <c r="R317" s="4">
        <v>52</v>
      </c>
      <c r="S317" s="4">
        <f t="shared" si="18"/>
        <v>5.1999999999999998E-2</v>
      </c>
      <c r="T317" s="4">
        <f t="shared" si="19"/>
        <v>9.3975903614457821E-3</v>
      </c>
      <c r="V317" s="4" t="s">
        <v>533</v>
      </c>
      <c r="W317" s="4" t="s">
        <v>706</v>
      </c>
      <c r="AB317" s="20"/>
      <c r="AC317" s="20"/>
      <c r="AD317" s="19"/>
      <c r="AE317" s="19"/>
      <c r="AF317" s="19"/>
      <c r="AG317" s="19"/>
      <c r="AH317" s="19"/>
      <c r="AI317" s="19"/>
    </row>
    <row r="318" spans="1:50">
      <c r="A318" s="4" t="s">
        <v>347</v>
      </c>
      <c r="B318" s="9" t="s">
        <v>472</v>
      </c>
      <c r="C318" s="5" t="s">
        <v>474</v>
      </c>
      <c r="D318" s="5" t="s">
        <v>475</v>
      </c>
      <c r="E318" s="5" t="s">
        <v>476</v>
      </c>
      <c r="F318" s="12" t="s">
        <v>474</v>
      </c>
      <c r="G318" s="12" t="s">
        <v>478</v>
      </c>
      <c r="H318" s="12" t="s">
        <v>462</v>
      </c>
      <c r="I318" s="8">
        <v>45245</v>
      </c>
      <c r="J318" s="10" t="s">
        <v>477</v>
      </c>
      <c r="K318" s="11">
        <v>1</v>
      </c>
      <c r="L318" s="11">
        <v>10</v>
      </c>
      <c r="M318" s="11">
        <v>4</v>
      </c>
      <c r="N318" s="6" t="s">
        <v>480</v>
      </c>
      <c r="O318" s="7">
        <v>49.8</v>
      </c>
      <c r="P318" s="7">
        <v>37.5</v>
      </c>
      <c r="Q318" s="7">
        <v>14.4</v>
      </c>
      <c r="R318" s="4">
        <v>1361</v>
      </c>
      <c r="S318" s="4">
        <f t="shared" si="18"/>
        <v>1.361</v>
      </c>
      <c r="T318" s="4">
        <f t="shared" si="19"/>
        <v>8.1987951807228912E-2</v>
      </c>
      <c r="V318" s="4" t="s">
        <v>527</v>
      </c>
      <c r="W318" s="4" t="s">
        <v>347</v>
      </c>
      <c r="X318" s="4" t="s">
        <v>347</v>
      </c>
      <c r="Y318" s="4" t="s">
        <v>594</v>
      </c>
      <c r="Z318" s="4" t="s">
        <v>347</v>
      </c>
      <c r="AA318" s="4" t="s">
        <v>594</v>
      </c>
      <c r="AB318" s="20">
        <v>0.92349999999999999</v>
      </c>
      <c r="AC318" s="20">
        <v>0.9516</v>
      </c>
      <c r="AD318" s="19">
        <f t="shared" si="15"/>
        <v>28.100000000000016</v>
      </c>
      <c r="AE318" s="19">
        <v>1309856</v>
      </c>
      <c r="AF318" s="19">
        <v>1403092</v>
      </c>
      <c r="AG318" s="19">
        <v>1370396</v>
      </c>
      <c r="AH318" s="19">
        <f t="shared" si="16"/>
        <v>1361114.6666666667</v>
      </c>
      <c r="AI318" s="19">
        <f t="shared" si="17"/>
        <v>48438.244365361781</v>
      </c>
    </row>
    <row r="319" spans="1:50">
      <c r="A319" s="4" t="s">
        <v>348</v>
      </c>
      <c r="B319" s="9" t="s">
        <v>472</v>
      </c>
      <c r="C319" s="5" t="s">
        <v>474</v>
      </c>
      <c r="D319" s="5" t="s">
        <v>475</v>
      </c>
      <c r="E319" s="5" t="s">
        <v>476</v>
      </c>
      <c r="F319" s="12" t="s">
        <v>474</v>
      </c>
      <c r="G319" s="12" t="s">
        <v>478</v>
      </c>
      <c r="H319" s="12" t="s">
        <v>462</v>
      </c>
      <c r="I319" s="8">
        <v>45245</v>
      </c>
      <c r="J319" s="10" t="s">
        <v>477</v>
      </c>
      <c r="K319" s="11">
        <v>1</v>
      </c>
      <c r="L319" s="11">
        <v>10</v>
      </c>
      <c r="M319" s="11">
        <v>4</v>
      </c>
      <c r="N319" s="6" t="s">
        <v>479</v>
      </c>
      <c r="O319" s="7">
        <v>48.2</v>
      </c>
      <c r="P319" s="7">
        <v>37.6</v>
      </c>
      <c r="Q319" s="7">
        <v>11.2</v>
      </c>
      <c r="R319" s="4">
        <v>959</v>
      </c>
      <c r="S319" s="4">
        <f t="shared" si="18"/>
        <v>0.95899999999999996</v>
      </c>
      <c r="T319" s="4">
        <f t="shared" si="19"/>
        <v>5.9688796680497917E-2</v>
      </c>
      <c r="V319" s="4" t="s">
        <v>527</v>
      </c>
      <c r="W319" s="4" t="s">
        <v>348</v>
      </c>
      <c r="X319" s="4" t="s">
        <v>348</v>
      </c>
      <c r="Y319" s="4" t="s">
        <v>595</v>
      </c>
      <c r="Z319" s="4" t="s">
        <v>348</v>
      </c>
      <c r="AA319" s="4" t="s">
        <v>595</v>
      </c>
      <c r="AB319" s="20">
        <v>0.90069999999999995</v>
      </c>
      <c r="AC319" s="20">
        <v>0.92400000000000004</v>
      </c>
      <c r="AD319" s="19">
        <f t="shared" si="15"/>
        <v>23.300000000000097</v>
      </c>
      <c r="AE319" s="19">
        <v>949773</v>
      </c>
      <c r="AF319" s="19">
        <v>1030935</v>
      </c>
      <c r="AG319" s="19">
        <v>1098208</v>
      </c>
      <c r="AH319" s="19">
        <f t="shared" si="16"/>
        <v>1026305.3333333334</v>
      </c>
      <c r="AI319" s="19">
        <f t="shared" si="17"/>
        <v>44047.439198855325</v>
      </c>
    </row>
    <row r="320" spans="1:50">
      <c r="A320" s="4" t="s">
        <v>349</v>
      </c>
      <c r="B320" s="9" t="s">
        <v>472</v>
      </c>
      <c r="C320" s="5" t="s">
        <v>474</v>
      </c>
      <c r="D320" s="5" t="s">
        <v>475</v>
      </c>
      <c r="E320" s="5" t="s">
        <v>476</v>
      </c>
      <c r="F320" s="12" t="s">
        <v>474</v>
      </c>
      <c r="G320" s="12" t="s">
        <v>478</v>
      </c>
      <c r="H320" s="12" t="s">
        <v>462</v>
      </c>
      <c r="I320" s="8">
        <v>45245</v>
      </c>
      <c r="J320" s="10" t="s">
        <v>477</v>
      </c>
      <c r="K320" s="11">
        <v>1</v>
      </c>
      <c r="L320" s="11">
        <v>10</v>
      </c>
      <c r="M320" s="11">
        <v>4</v>
      </c>
      <c r="N320" s="6" t="s">
        <v>479</v>
      </c>
      <c r="O320" s="7">
        <v>49.5</v>
      </c>
      <c r="P320" s="7">
        <v>39.299999999999997</v>
      </c>
      <c r="Q320" s="7">
        <v>11.4</v>
      </c>
      <c r="R320" s="4">
        <v>1041</v>
      </c>
      <c r="S320" s="4">
        <f t="shared" si="18"/>
        <v>1.0409999999999999</v>
      </c>
      <c r="T320" s="4">
        <f t="shared" si="19"/>
        <v>6.3090909090909086E-2</v>
      </c>
      <c r="V320" s="4" t="s">
        <v>527</v>
      </c>
      <c r="W320" s="4" t="s">
        <v>349</v>
      </c>
      <c r="X320" s="4" t="s">
        <v>349</v>
      </c>
      <c r="Y320" s="4" t="s">
        <v>596</v>
      </c>
      <c r="Z320" s="4" t="s">
        <v>349</v>
      </c>
      <c r="AA320" s="4" t="s">
        <v>596</v>
      </c>
      <c r="AB320" s="20">
        <v>1.1238999999999999</v>
      </c>
      <c r="AC320" s="20">
        <v>1.1406000000000001</v>
      </c>
      <c r="AD320" s="19">
        <f t="shared" si="15"/>
        <v>16.700000000000159</v>
      </c>
      <c r="AE320" s="19">
        <v>750733</v>
      </c>
      <c r="AF320" s="19">
        <v>799720</v>
      </c>
      <c r="AG320" s="19">
        <v>864634</v>
      </c>
      <c r="AH320" s="19">
        <f t="shared" si="16"/>
        <v>805029</v>
      </c>
      <c r="AI320" s="19">
        <f t="shared" si="17"/>
        <v>48205.329341316909</v>
      </c>
    </row>
    <row r="321" spans="1:35">
      <c r="A321" s="4" t="s">
        <v>350</v>
      </c>
      <c r="B321" s="9" t="s">
        <v>472</v>
      </c>
      <c r="C321" s="5" t="s">
        <v>474</v>
      </c>
      <c r="D321" s="5" t="s">
        <v>475</v>
      </c>
      <c r="E321" s="5" t="s">
        <v>476</v>
      </c>
      <c r="F321" s="12" t="s">
        <v>474</v>
      </c>
      <c r="G321" s="12" t="s">
        <v>478</v>
      </c>
      <c r="H321" s="12" t="s">
        <v>462</v>
      </c>
      <c r="I321" s="8">
        <v>45245</v>
      </c>
      <c r="J321" s="10" t="s">
        <v>477</v>
      </c>
      <c r="K321" s="11">
        <v>1</v>
      </c>
      <c r="L321" s="11">
        <v>10</v>
      </c>
      <c r="M321" s="11">
        <v>4</v>
      </c>
      <c r="N321" s="6" t="s">
        <v>479</v>
      </c>
      <c r="O321" s="7">
        <v>49.9</v>
      </c>
      <c r="P321" s="7">
        <v>39.200000000000003</v>
      </c>
      <c r="Q321" s="7">
        <v>11.6</v>
      </c>
      <c r="R321" s="4">
        <v>1143</v>
      </c>
      <c r="S321" s="4">
        <f t="shared" si="18"/>
        <v>1.143</v>
      </c>
      <c r="T321" s="4">
        <f t="shared" si="19"/>
        <v>6.8717434869739483E-2</v>
      </c>
      <c r="V321" s="4" t="s">
        <v>527</v>
      </c>
      <c r="W321" s="4" t="s">
        <v>350</v>
      </c>
      <c r="X321" s="4" t="s">
        <v>350</v>
      </c>
      <c r="Y321" s="4" t="s">
        <v>597</v>
      </c>
      <c r="Z321" s="4" t="s">
        <v>350</v>
      </c>
      <c r="AA321" s="4" t="s">
        <v>597</v>
      </c>
      <c r="AB321" s="20">
        <v>1.1348</v>
      </c>
      <c r="AC321" s="20">
        <v>1.169</v>
      </c>
      <c r="AD321" s="19">
        <f t="shared" si="15"/>
        <v>34.20000000000001</v>
      </c>
      <c r="AE321" s="19">
        <v>723778</v>
      </c>
      <c r="AF321" s="19">
        <v>809726</v>
      </c>
      <c r="AG321" s="19">
        <v>776197</v>
      </c>
      <c r="AH321" s="19">
        <f t="shared" si="16"/>
        <v>769900.33333333337</v>
      </c>
      <c r="AI321" s="19">
        <f t="shared" si="17"/>
        <v>22511.705653021436</v>
      </c>
    </row>
    <row r="322" spans="1:35">
      <c r="A322" s="4" t="s">
        <v>351</v>
      </c>
      <c r="B322" s="9" t="s">
        <v>472</v>
      </c>
      <c r="C322" s="5" t="s">
        <v>474</v>
      </c>
      <c r="D322" s="5" t="s">
        <v>475</v>
      </c>
      <c r="E322" s="5" t="s">
        <v>476</v>
      </c>
      <c r="F322" s="12" t="s">
        <v>474</v>
      </c>
      <c r="G322" s="12" t="s">
        <v>478</v>
      </c>
      <c r="H322" s="12" t="s">
        <v>462</v>
      </c>
      <c r="I322" s="8">
        <v>45245</v>
      </c>
      <c r="J322" s="10" t="s">
        <v>477</v>
      </c>
      <c r="K322" s="11">
        <v>1</v>
      </c>
      <c r="L322" s="11">
        <v>10</v>
      </c>
      <c r="M322" s="11">
        <v>4</v>
      </c>
      <c r="N322" s="6" t="s">
        <v>560</v>
      </c>
      <c r="O322" s="7">
        <v>28.6</v>
      </c>
      <c r="P322" s="7">
        <v>22.9</v>
      </c>
      <c r="Q322" s="7">
        <v>6.5</v>
      </c>
      <c r="R322" s="4">
        <v>186</v>
      </c>
      <c r="S322" s="4">
        <f t="shared" si="18"/>
        <v>0.186</v>
      </c>
      <c r="T322" s="4">
        <f t="shared" si="19"/>
        <v>1.9510489510489511E-2</v>
      </c>
      <c r="V322" s="4" t="s">
        <v>527</v>
      </c>
      <c r="W322" s="4" t="s">
        <v>351</v>
      </c>
      <c r="X322" s="4" t="s">
        <v>351</v>
      </c>
      <c r="Y322" s="4" t="s">
        <v>598</v>
      </c>
      <c r="Z322" s="4" t="s">
        <v>351</v>
      </c>
      <c r="AA322" s="4" t="s">
        <v>598</v>
      </c>
      <c r="AB322" s="20">
        <v>0.93379999999999996</v>
      </c>
      <c r="AC322" s="20">
        <v>0.94840000000000002</v>
      </c>
      <c r="AD322" s="19">
        <f t="shared" si="15"/>
        <v>14.600000000000058</v>
      </c>
      <c r="AE322" s="19">
        <v>252174</v>
      </c>
      <c r="AF322" s="19">
        <v>265334</v>
      </c>
      <c r="AG322" s="19">
        <v>237237</v>
      </c>
      <c r="AH322" s="19">
        <f t="shared" si="16"/>
        <v>251581.66666666666</v>
      </c>
      <c r="AI322" s="19">
        <f t="shared" si="17"/>
        <v>17231.621004566139</v>
      </c>
    </row>
    <row r="323" spans="1:35">
      <c r="A323" s="4" t="s">
        <v>352</v>
      </c>
      <c r="B323" s="9" t="s">
        <v>472</v>
      </c>
      <c r="C323" s="5" t="s">
        <v>474</v>
      </c>
      <c r="D323" s="5" t="s">
        <v>475</v>
      </c>
      <c r="E323" s="5" t="s">
        <v>476</v>
      </c>
      <c r="F323" s="12" t="s">
        <v>474</v>
      </c>
      <c r="G323" s="12" t="s">
        <v>478</v>
      </c>
      <c r="H323" s="12" t="s">
        <v>462</v>
      </c>
      <c r="I323" s="8">
        <v>45245</v>
      </c>
      <c r="J323" s="10" t="s">
        <v>477</v>
      </c>
      <c r="K323" s="11">
        <v>1</v>
      </c>
      <c r="L323" s="11">
        <v>10</v>
      </c>
      <c r="M323" s="11">
        <v>4</v>
      </c>
      <c r="N323" s="6" t="s">
        <v>479</v>
      </c>
      <c r="O323" s="7">
        <v>42.8</v>
      </c>
      <c r="P323" s="7">
        <v>32.4</v>
      </c>
      <c r="Q323" s="7">
        <v>9.3000000000000007</v>
      </c>
      <c r="R323" s="4">
        <v>587</v>
      </c>
      <c r="S323" s="4">
        <f t="shared" ref="S323:S386" si="20">R323/1000</f>
        <v>0.58699999999999997</v>
      </c>
      <c r="T323" s="4">
        <f t="shared" ref="T323:T386" si="21">S323/O323*3</f>
        <v>4.1144859813084113E-2</v>
      </c>
      <c r="V323" s="4" t="s">
        <v>527</v>
      </c>
      <c r="W323" s="4" t="s">
        <v>352</v>
      </c>
      <c r="X323" s="4" t="s">
        <v>352</v>
      </c>
      <c r="Y323" s="4" t="s">
        <v>599</v>
      </c>
      <c r="Z323" s="4" t="s">
        <v>352</v>
      </c>
      <c r="AA323" s="4" t="s">
        <v>599</v>
      </c>
      <c r="AB323" s="20">
        <v>0.91810000000000003</v>
      </c>
      <c r="AC323" s="20">
        <v>0.9355</v>
      </c>
      <c r="AD323" s="19">
        <f t="shared" si="15"/>
        <v>17.39999999999997</v>
      </c>
      <c r="AE323" s="19">
        <v>575542</v>
      </c>
      <c r="AF323" s="19">
        <v>695054</v>
      </c>
      <c r="AG323" s="19">
        <v>732953</v>
      </c>
      <c r="AH323" s="19">
        <f t="shared" si="16"/>
        <v>667849.66666666663</v>
      </c>
      <c r="AI323" s="19">
        <f t="shared" si="17"/>
        <v>38382.16475095792</v>
      </c>
    </row>
    <row r="324" spans="1:35">
      <c r="A324" s="4" t="s">
        <v>353</v>
      </c>
      <c r="B324" s="9" t="s">
        <v>472</v>
      </c>
      <c r="C324" s="5" t="s">
        <v>474</v>
      </c>
      <c r="D324" s="5" t="s">
        <v>475</v>
      </c>
      <c r="E324" s="5" t="s">
        <v>476</v>
      </c>
      <c r="F324" s="12" t="s">
        <v>474</v>
      </c>
      <c r="G324" s="12" t="s">
        <v>478</v>
      </c>
      <c r="H324" s="12" t="s">
        <v>462</v>
      </c>
      <c r="I324" s="8">
        <v>45245</v>
      </c>
      <c r="J324" s="10" t="s">
        <v>477</v>
      </c>
      <c r="K324" s="11">
        <v>1</v>
      </c>
      <c r="L324" s="11">
        <v>10</v>
      </c>
      <c r="M324" s="11">
        <v>4</v>
      </c>
      <c r="N324" s="6" t="s">
        <v>560</v>
      </c>
      <c r="O324" s="7">
        <v>30.1</v>
      </c>
      <c r="P324" s="7">
        <v>24.7</v>
      </c>
      <c r="Q324" s="7">
        <v>7.4</v>
      </c>
      <c r="R324" s="4">
        <v>244</v>
      </c>
      <c r="S324" s="4">
        <f t="shared" si="20"/>
        <v>0.24399999999999999</v>
      </c>
      <c r="T324" s="4">
        <f t="shared" si="21"/>
        <v>2.4318936877076411E-2</v>
      </c>
      <c r="V324" s="4" t="s">
        <v>527</v>
      </c>
      <c r="W324" s="4" t="s">
        <v>353</v>
      </c>
      <c r="X324" s="4" t="s">
        <v>353</v>
      </c>
      <c r="Y324" s="4" t="s">
        <v>600</v>
      </c>
      <c r="Z324" s="4" t="s">
        <v>353</v>
      </c>
      <c r="AA324" s="4" t="s">
        <v>600</v>
      </c>
      <c r="AB324" s="20">
        <v>0.91720000000000002</v>
      </c>
      <c r="AC324" s="20">
        <v>0.92410000000000003</v>
      </c>
      <c r="AD324" s="19">
        <f t="shared" si="15"/>
        <v>6.9000000000000172</v>
      </c>
      <c r="AE324" s="19">
        <v>817206</v>
      </c>
      <c r="AF324" s="19">
        <v>848093</v>
      </c>
      <c r="AG324" s="19">
        <v>840374</v>
      </c>
      <c r="AH324" s="19">
        <f t="shared" si="16"/>
        <v>835224.33333333337</v>
      </c>
      <c r="AI324" s="19">
        <f t="shared" si="17"/>
        <v>121047.00483091758</v>
      </c>
    </row>
    <row r="325" spans="1:35">
      <c r="A325" s="4" t="s">
        <v>354</v>
      </c>
      <c r="B325" s="9" t="s">
        <v>472</v>
      </c>
      <c r="C325" s="5" t="s">
        <v>474</v>
      </c>
      <c r="D325" s="5" t="s">
        <v>475</v>
      </c>
      <c r="E325" s="5" t="s">
        <v>476</v>
      </c>
      <c r="F325" s="12" t="s">
        <v>474</v>
      </c>
      <c r="G325" s="12" t="s">
        <v>478</v>
      </c>
      <c r="H325" s="12" t="s">
        <v>462</v>
      </c>
      <c r="I325" s="8">
        <v>45245</v>
      </c>
      <c r="J325" s="10" t="s">
        <v>477</v>
      </c>
      <c r="K325" s="11">
        <v>1</v>
      </c>
      <c r="L325" s="11">
        <v>10</v>
      </c>
      <c r="M325" s="11">
        <v>4</v>
      </c>
      <c r="N325" s="6" t="s">
        <v>480</v>
      </c>
      <c r="O325" s="7">
        <v>46.4</v>
      </c>
      <c r="P325" s="7">
        <v>34.6</v>
      </c>
      <c r="Q325" s="7">
        <v>11.7</v>
      </c>
      <c r="R325" s="4">
        <v>869</v>
      </c>
      <c r="S325" s="4">
        <f t="shared" si="20"/>
        <v>0.86899999999999999</v>
      </c>
      <c r="T325" s="4">
        <f t="shared" si="21"/>
        <v>5.6185344827586213E-2</v>
      </c>
      <c r="V325" s="4" t="s">
        <v>527</v>
      </c>
      <c r="W325" s="4" t="s">
        <v>354</v>
      </c>
      <c r="X325" s="4" t="s">
        <v>354</v>
      </c>
      <c r="Y325" s="4" t="s">
        <v>601</v>
      </c>
      <c r="Z325" s="4" t="s">
        <v>354</v>
      </c>
      <c r="AA325" s="4" t="s">
        <v>601</v>
      </c>
      <c r="AB325" s="20">
        <v>1.0974999999999999</v>
      </c>
      <c r="AC325" s="20">
        <v>1.1261000000000001</v>
      </c>
      <c r="AD325" s="19">
        <f t="shared" si="15"/>
        <v>28.600000000000179</v>
      </c>
      <c r="AE325" s="19">
        <v>1627034</v>
      </c>
      <c r="AF325" s="19">
        <v>1704402</v>
      </c>
      <c r="AG325" s="19">
        <v>1663083</v>
      </c>
      <c r="AH325" s="19">
        <f t="shared" si="16"/>
        <v>1664839.6666666667</v>
      </c>
      <c r="AI325" s="19">
        <f t="shared" si="17"/>
        <v>58211.177156176796</v>
      </c>
    </row>
    <row r="326" spans="1:35">
      <c r="A326" s="4" t="s">
        <v>355</v>
      </c>
      <c r="B326" s="9" t="s">
        <v>472</v>
      </c>
      <c r="C326" s="5" t="s">
        <v>474</v>
      </c>
      <c r="D326" s="5" t="s">
        <v>475</v>
      </c>
      <c r="E326" s="5" t="s">
        <v>476</v>
      </c>
      <c r="F326" s="12" t="s">
        <v>474</v>
      </c>
      <c r="G326" s="12" t="s">
        <v>478</v>
      </c>
      <c r="H326" s="12" t="s">
        <v>462</v>
      </c>
      <c r="I326" s="8">
        <v>45245</v>
      </c>
      <c r="J326" s="10" t="s">
        <v>477</v>
      </c>
      <c r="K326" s="11">
        <v>1</v>
      </c>
      <c r="L326" s="11">
        <v>10</v>
      </c>
      <c r="M326" s="11">
        <v>4</v>
      </c>
      <c r="N326" s="6" t="s">
        <v>560</v>
      </c>
      <c r="O326" s="7">
        <v>29.4</v>
      </c>
      <c r="P326" s="7">
        <v>21.4</v>
      </c>
      <c r="Q326" s="7">
        <v>5.9</v>
      </c>
      <c r="R326" s="4">
        <v>177</v>
      </c>
      <c r="S326" s="4">
        <f t="shared" si="20"/>
        <v>0.17699999999999999</v>
      </c>
      <c r="T326" s="4">
        <f t="shared" si="21"/>
        <v>1.806122448979592E-2</v>
      </c>
      <c r="V326" s="4" t="s">
        <v>527</v>
      </c>
      <c r="W326" s="4" t="s">
        <v>355</v>
      </c>
      <c r="X326" s="4" t="s">
        <v>355</v>
      </c>
      <c r="Y326" s="4" t="s">
        <v>602</v>
      </c>
      <c r="Z326" s="4" t="s">
        <v>355</v>
      </c>
      <c r="AA326" s="4" t="s">
        <v>602</v>
      </c>
      <c r="AB326" s="20">
        <v>0.90910000000000002</v>
      </c>
      <c r="AC326" s="20">
        <v>0.93300000000000005</v>
      </c>
      <c r="AD326" s="19">
        <f t="shared" si="15"/>
        <v>23.900000000000034</v>
      </c>
      <c r="AE326" s="19">
        <v>240843</v>
      </c>
      <c r="AF326" s="19">
        <v>306583</v>
      </c>
      <c r="AG326" s="19">
        <v>324129</v>
      </c>
      <c r="AH326" s="19">
        <f t="shared" si="16"/>
        <v>290518.33333333331</v>
      </c>
      <c r="AI326" s="19">
        <f t="shared" si="17"/>
        <v>12155.578800557862</v>
      </c>
    </row>
    <row r="327" spans="1:35">
      <c r="A327" s="4" t="s">
        <v>356</v>
      </c>
      <c r="B327" s="9" t="s">
        <v>472</v>
      </c>
      <c r="C327" s="5" t="s">
        <v>474</v>
      </c>
      <c r="D327" s="5" t="s">
        <v>475</v>
      </c>
      <c r="E327" s="5" t="s">
        <v>476</v>
      </c>
      <c r="F327" s="12" t="s">
        <v>474</v>
      </c>
      <c r="G327" s="12" t="s">
        <v>478</v>
      </c>
      <c r="H327" s="12" t="s">
        <v>462</v>
      </c>
      <c r="I327" s="8">
        <v>45245</v>
      </c>
      <c r="J327" s="10" t="s">
        <v>477</v>
      </c>
      <c r="K327" s="11">
        <v>1</v>
      </c>
      <c r="L327" s="11">
        <v>10</v>
      </c>
      <c r="M327" s="11">
        <v>4</v>
      </c>
      <c r="N327" s="6" t="s">
        <v>479</v>
      </c>
      <c r="O327" s="7">
        <v>50.7</v>
      </c>
      <c r="P327" s="7">
        <v>40.5</v>
      </c>
      <c r="Q327" s="7">
        <v>11.4</v>
      </c>
      <c r="R327" s="4">
        <v>905</v>
      </c>
      <c r="S327" s="4">
        <f t="shared" si="20"/>
        <v>0.90500000000000003</v>
      </c>
      <c r="T327" s="4">
        <f t="shared" si="21"/>
        <v>5.3550295857988164E-2</v>
      </c>
      <c r="V327" s="4" t="s">
        <v>527</v>
      </c>
      <c r="W327" s="4" t="s">
        <v>356</v>
      </c>
      <c r="X327" s="4" t="s">
        <v>356</v>
      </c>
      <c r="Y327" s="4" t="s">
        <v>603</v>
      </c>
      <c r="Z327" s="4" t="s">
        <v>356</v>
      </c>
      <c r="AA327" s="4" t="s">
        <v>603</v>
      </c>
      <c r="AB327" s="20">
        <v>0.9123</v>
      </c>
      <c r="AC327" s="20">
        <v>0.93879999999999997</v>
      </c>
      <c r="AD327" s="19">
        <f t="shared" si="15"/>
        <v>26.499999999999968</v>
      </c>
      <c r="AE327" s="19">
        <v>997942</v>
      </c>
      <c r="AF327" s="19">
        <v>1003213</v>
      </c>
      <c r="AG327" s="19">
        <v>997942</v>
      </c>
      <c r="AH327" s="19">
        <f t="shared" si="16"/>
        <v>999699</v>
      </c>
      <c r="AI327" s="19">
        <f t="shared" si="17"/>
        <v>37724.490566037784</v>
      </c>
    </row>
    <row r="328" spans="1:35">
      <c r="A328" s="4" t="s">
        <v>357</v>
      </c>
      <c r="B328" s="9" t="s">
        <v>472</v>
      </c>
      <c r="C328" s="5" t="s">
        <v>474</v>
      </c>
      <c r="D328" s="5" t="s">
        <v>475</v>
      </c>
      <c r="E328" s="5" t="s">
        <v>476</v>
      </c>
      <c r="F328" s="12" t="s">
        <v>474</v>
      </c>
      <c r="G328" s="12" t="s">
        <v>478</v>
      </c>
      <c r="H328" s="12" t="s">
        <v>462</v>
      </c>
      <c r="I328" s="8">
        <v>45245</v>
      </c>
      <c r="J328" s="10" t="s">
        <v>477</v>
      </c>
      <c r="K328" s="11">
        <v>1</v>
      </c>
      <c r="L328" s="11">
        <v>10</v>
      </c>
      <c r="M328" s="11">
        <v>4</v>
      </c>
      <c r="N328" s="6" t="s">
        <v>560</v>
      </c>
      <c r="O328" s="7">
        <v>14.7</v>
      </c>
      <c r="P328" s="7">
        <v>12.9</v>
      </c>
      <c r="Q328" s="7">
        <v>3.6</v>
      </c>
      <c r="R328" s="4">
        <v>38</v>
      </c>
      <c r="S328" s="4">
        <f t="shared" si="20"/>
        <v>3.7999999999999999E-2</v>
      </c>
      <c r="T328" s="4">
        <f t="shared" si="21"/>
        <v>7.7551020408163267E-3</v>
      </c>
      <c r="V328" s="4" t="s">
        <v>527</v>
      </c>
      <c r="W328" s="4" t="s">
        <v>357</v>
      </c>
      <c r="X328" s="4" t="s">
        <v>357</v>
      </c>
      <c r="Y328" s="4" t="s">
        <v>604</v>
      </c>
      <c r="Z328" s="4" t="s">
        <v>357</v>
      </c>
      <c r="AA328" s="4" t="s">
        <v>604</v>
      </c>
      <c r="AB328" s="20">
        <v>0.90910000000000002</v>
      </c>
      <c r="AC328" s="20">
        <v>0.9133</v>
      </c>
      <c r="AD328" s="19">
        <f t="shared" si="15"/>
        <v>4.1999999999999815</v>
      </c>
      <c r="AE328" s="19">
        <v>353144</v>
      </c>
      <c r="AF328" s="19">
        <v>334721</v>
      </c>
      <c r="AG328" s="19">
        <v>356631</v>
      </c>
      <c r="AH328" s="19">
        <f t="shared" si="16"/>
        <v>348165.33333333331</v>
      </c>
      <c r="AI328" s="19">
        <f t="shared" si="17"/>
        <v>82896.507936508293</v>
      </c>
    </row>
    <row r="329" spans="1:35">
      <c r="A329" s="4" t="s">
        <v>358</v>
      </c>
      <c r="B329" s="9" t="s">
        <v>472</v>
      </c>
      <c r="C329" s="5" t="s">
        <v>474</v>
      </c>
      <c r="D329" s="5" t="s">
        <v>475</v>
      </c>
      <c r="E329" s="5" t="s">
        <v>476</v>
      </c>
      <c r="F329" s="12" t="s">
        <v>474</v>
      </c>
      <c r="G329" s="12" t="s">
        <v>478</v>
      </c>
      <c r="H329" s="12" t="s">
        <v>462</v>
      </c>
      <c r="I329" s="8">
        <v>45245</v>
      </c>
      <c r="J329" s="10" t="s">
        <v>477</v>
      </c>
      <c r="K329" s="11">
        <v>1</v>
      </c>
      <c r="L329" s="11">
        <v>10</v>
      </c>
      <c r="M329" s="11">
        <v>4</v>
      </c>
      <c r="N329" s="6" t="s">
        <v>479</v>
      </c>
      <c r="O329" s="7">
        <v>44.8</v>
      </c>
      <c r="P329" s="7">
        <v>39.5</v>
      </c>
      <c r="Q329" s="7">
        <v>10</v>
      </c>
      <c r="R329" s="4">
        <v>694</v>
      </c>
      <c r="S329" s="4">
        <f t="shared" si="20"/>
        <v>0.69399999999999995</v>
      </c>
      <c r="T329" s="4">
        <f t="shared" si="21"/>
        <v>4.6473214285714284E-2</v>
      </c>
      <c r="V329" s="4" t="s">
        <v>527</v>
      </c>
      <c r="W329" s="4" t="s">
        <v>358</v>
      </c>
      <c r="X329" s="4" t="s">
        <v>358</v>
      </c>
      <c r="Y329" s="4" t="s">
        <v>605</v>
      </c>
      <c r="Z329" s="4" t="s">
        <v>358</v>
      </c>
      <c r="AA329" s="4" t="s">
        <v>605</v>
      </c>
      <c r="AB329" s="20">
        <v>0.92290000000000005</v>
      </c>
      <c r="AC329" s="20">
        <v>0.94369999999999998</v>
      </c>
      <c r="AD329" s="19">
        <f t="shared" si="15"/>
        <v>20.79999999999993</v>
      </c>
      <c r="AE329" s="19">
        <v>883728</v>
      </c>
      <c r="AF329" s="19">
        <v>766004</v>
      </c>
      <c r="AG329" s="19">
        <v>1037635</v>
      </c>
      <c r="AH329" s="19">
        <f t="shared" si="16"/>
        <v>895789</v>
      </c>
      <c r="AI329" s="19">
        <f t="shared" si="17"/>
        <v>43066.778846153989</v>
      </c>
    </row>
    <row r="330" spans="1:35">
      <c r="A330" s="4" t="s">
        <v>359</v>
      </c>
      <c r="B330" s="9" t="s">
        <v>472</v>
      </c>
      <c r="C330" s="5" t="s">
        <v>474</v>
      </c>
      <c r="D330" s="5" t="s">
        <v>475</v>
      </c>
      <c r="E330" s="5" t="s">
        <v>476</v>
      </c>
      <c r="F330" s="12" t="s">
        <v>474</v>
      </c>
      <c r="G330" s="12" t="s">
        <v>478</v>
      </c>
      <c r="H330" s="12" t="s">
        <v>462</v>
      </c>
      <c r="I330" s="8">
        <v>45245</v>
      </c>
      <c r="J330" s="10" t="s">
        <v>477</v>
      </c>
      <c r="K330" s="11">
        <v>1</v>
      </c>
      <c r="L330" s="11">
        <v>10</v>
      </c>
      <c r="M330" s="11">
        <v>4</v>
      </c>
      <c r="N330" s="6" t="s">
        <v>560</v>
      </c>
      <c r="O330" s="7">
        <v>28</v>
      </c>
      <c r="P330" s="7">
        <v>22.8</v>
      </c>
      <c r="Q330" s="7">
        <v>6.4</v>
      </c>
      <c r="R330" s="4">
        <v>206</v>
      </c>
      <c r="S330" s="4">
        <f t="shared" si="20"/>
        <v>0.20599999999999999</v>
      </c>
      <c r="T330" s="4">
        <f t="shared" si="21"/>
        <v>2.2071428571428568E-2</v>
      </c>
      <c r="V330" s="4" t="s">
        <v>527</v>
      </c>
      <c r="W330" s="4" t="s">
        <v>359</v>
      </c>
      <c r="X330" s="4" t="s">
        <v>359</v>
      </c>
      <c r="Y330" s="4" t="s">
        <v>606</v>
      </c>
      <c r="Z330" s="4" t="s">
        <v>359</v>
      </c>
      <c r="AA330" s="4" t="s">
        <v>606</v>
      </c>
      <c r="AB330" s="20">
        <v>0.90849999999999997</v>
      </c>
      <c r="AC330" s="20">
        <v>0.91169999999999995</v>
      </c>
      <c r="AD330" s="19">
        <f t="shared" si="15"/>
        <v>3.1999999999999806</v>
      </c>
      <c r="AE330" s="19">
        <v>413792</v>
      </c>
      <c r="AF330" s="19">
        <v>460393</v>
      </c>
      <c r="AG330" s="19">
        <v>497297</v>
      </c>
      <c r="AH330" s="19">
        <f t="shared" si="16"/>
        <v>457160.66666666669</v>
      </c>
      <c r="AI330" s="19">
        <f t="shared" si="17"/>
        <v>142862.70833333422</v>
      </c>
    </row>
    <row r="331" spans="1:35">
      <c r="A331" s="4" t="s">
        <v>360</v>
      </c>
      <c r="B331" s="9" t="s">
        <v>472</v>
      </c>
      <c r="C331" s="5" t="s">
        <v>474</v>
      </c>
      <c r="D331" s="5" t="s">
        <v>475</v>
      </c>
      <c r="E331" s="5" t="s">
        <v>476</v>
      </c>
      <c r="F331" s="12" t="s">
        <v>474</v>
      </c>
      <c r="G331" s="12" t="s">
        <v>478</v>
      </c>
      <c r="H331" s="12" t="s">
        <v>462</v>
      </c>
      <c r="I331" s="8">
        <v>45245</v>
      </c>
      <c r="J331" s="10" t="s">
        <v>477</v>
      </c>
      <c r="K331" s="11">
        <v>1</v>
      </c>
      <c r="L331" s="11">
        <v>10</v>
      </c>
      <c r="M331" s="11">
        <v>4</v>
      </c>
      <c r="N331" s="6" t="s">
        <v>479</v>
      </c>
      <c r="O331" s="7">
        <v>36.200000000000003</v>
      </c>
      <c r="P331" s="7">
        <v>31.5</v>
      </c>
      <c r="Q331" s="7">
        <v>8.6999999999999993</v>
      </c>
      <c r="R331" s="4">
        <v>482</v>
      </c>
      <c r="S331" s="4">
        <f t="shared" si="20"/>
        <v>0.48199999999999998</v>
      </c>
      <c r="T331" s="4">
        <f t="shared" si="21"/>
        <v>3.9944751381215469E-2</v>
      </c>
      <c r="V331" s="4" t="s">
        <v>527</v>
      </c>
      <c r="W331" s="4" t="s">
        <v>360</v>
      </c>
      <c r="X331" s="4" t="s">
        <v>360</v>
      </c>
      <c r="Y331" s="4" t="s">
        <v>607</v>
      </c>
      <c r="Z331" s="4" t="s">
        <v>360</v>
      </c>
      <c r="AA331" s="4" t="s">
        <v>607</v>
      </c>
      <c r="AB331" s="20">
        <v>0.93069999999999997</v>
      </c>
      <c r="AC331" s="20">
        <v>0.95420000000000005</v>
      </c>
      <c r="AD331" s="19">
        <f t="shared" si="15"/>
        <v>23.500000000000078</v>
      </c>
      <c r="AE331" s="19">
        <v>1731133</v>
      </c>
      <c r="AF331" s="19">
        <v>1887586</v>
      </c>
      <c r="AG331" s="19">
        <v>1890223</v>
      </c>
      <c r="AH331" s="19">
        <f t="shared" si="16"/>
        <v>1836314</v>
      </c>
      <c r="AI331" s="19">
        <f t="shared" si="17"/>
        <v>78141.021276595478</v>
      </c>
    </row>
    <row r="332" spans="1:35">
      <c r="A332" s="4" t="s">
        <v>361</v>
      </c>
      <c r="B332" s="9" t="s">
        <v>472</v>
      </c>
      <c r="C332" s="5" t="s">
        <v>474</v>
      </c>
      <c r="D332" s="5" t="s">
        <v>475</v>
      </c>
      <c r="E332" s="5" t="s">
        <v>476</v>
      </c>
      <c r="F332" s="12" t="s">
        <v>474</v>
      </c>
      <c r="G332" s="12" t="s">
        <v>478</v>
      </c>
      <c r="H332" s="12" t="s">
        <v>462</v>
      </c>
      <c r="I332" s="8">
        <v>45245</v>
      </c>
      <c r="J332" s="10" t="s">
        <v>477</v>
      </c>
      <c r="K332" s="11">
        <v>1</v>
      </c>
      <c r="L332" s="11">
        <v>10</v>
      </c>
      <c r="M332" s="11">
        <v>4</v>
      </c>
      <c r="N332" s="6" t="s">
        <v>479</v>
      </c>
      <c r="O332" s="7">
        <v>41.7</v>
      </c>
      <c r="P332" s="7">
        <v>33.200000000000003</v>
      </c>
      <c r="Q332" s="7">
        <v>8.5</v>
      </c>
      <c r="R332" s="4">
        <v>534</v>
      </c>
      <c r="S332" s="4">
        <f t="shared" si="20"/>
        <v>0.53400000000000003</v>
      </c>
      <c r="T332" s="4">
        <f t="shared" si="21"/>
        <v>3.841726618705036E-2</v>
      </c>
      <c r="V332" s="4" t="s">
        <v>527</v>
      </c>
      <c r="W332" s="4" t="s">
        <v>361</v>
      </c>
      <c r="X332" s="4" t="s">
        <v>361</v>
      </c>
      <c r="Y332" s="4" t="s">
        <v>608</v>
      </c>
      <c r="Z332" s="4" t="s">
        <v>361</v>
      </c>
      <c r="AA332" s="4" t="s">
        <v>608</v>
      </c>
      <c r="AB332" s="20">
        <v>0.9284</v>
      </c>
      <c r="AC332" s="20">
        <v>0.96309999999999996</v>
      </c>
      <c r="AD332" s="19">
        <f t="shared" si="15"/>
        <v>34.699999999999953</v>
      </c>
      <c r="AE332" s="19">
        <v>812628</v>
      </c>
      <c r="AF332" s="19">
        <v>859389</v>
      </c>
      <c r="AG332" s="19">
        <v>887579</v>
      </c>
      <c r="AH332" s="19">
        <f t="shared" si="16"/>
        <v>853198.66666666663</v>
      </c>
      <c r="AI332" s="19">
        <f t="shared" si="17"/>
        <v>24587.857829010598</v>
      </c>
    </row>
    <row r="333" spans="1:35">
      <c r="A333" s="4" t="s">
        <v>362</v>
      </c>
      <c r="B333" s="9" t="s">
        <v>472</v>
      </c>
      <c r="C333" s="5" t="s">
        <v>474</v>
      </c>
      <c r="D333" s="5" t="s">
        <v>475</v>
      </c>
      <c r="E333" s="5" t="s">
        <v>476</v>
      </c>
      <c r="F333" s="12" t="s">
        <v>474</v>
      </c>
      <c r="G333" s="12" t="s">
        <v>478</v>
      </c>
      <c r="H333" s="12" t="s">
        <v>462</v>
      </c>
      <c r="I333" s="8">
        <v>45245</v>
      </c>
      <c r="J333" s="10" t="s">
        <v>477</v>
      </c>
      <c r="K333" s="11">
        <v>1</v>
      </c>
      <c r="L333" s="11">
        <v>10</v>
      </c>
      <c r="M333" s="11">
        <v>4</v>
      </c>
      <c r="N333" s="6" t="s">
        <v>560</v>
      </c>
      <c r="O333" s="7">
        <v>25.8</v>
      </c>
      <c r="P333" s="7">
        <v>21.1</v>
      </c>
      <c r="Q333" s="7">
        <v>6.1</v>
      </c>
      <c r="R333" s="4">
        <v>168</v>
      </c>
      <c r="S333" s="4">
        <f t="shared" si="20"/>
        <v>0.16800000000000001</v>
      </c>
      <c r="T333" s="4">
        <f t="shared" si="21"/>
        <v>1.9534883720930235E-2</v>
      </c>
      <c r="V333" s="4" t="s">
        <v>527</v>
      </c>
      <c r="W333" s="4" t="s">
        <v>362</v>
      </c>
      <c r="X333" s="4" t="s">
        <v>362</v>
      </c>
      <c r="Y333" s="4" t="s">
        <v>609</v>
      </c>
      <c r="Z333" s="4" t="s">
        <v>362</v>
      </c>
      <c r="AA333" s="4" t="s">
        <v>609</v>
      </c>
      <c r="AB333" s="20">
        <v>0.93520000000000003</v>
      </c>
      <c r="AC333" s="20">
        <v>0.9415</v>
      </c>
      <c r="AD333" s="19">
        <f t="shared" si="15"/>
        <v>6.2999999999999723</v>
      </c>
      <c r="AE333" s="19">
        <v>459479</v>
      </c>
      <c r="AF333" s="19">
        <v>513035</v>
      </c>
      <c r="AG333" s="19">
        <v>486863</v>
      </c>
      <c r="AH333" s="19">
        <f t="shared" si="16"/>
        <v>486459</v>
      </c>
      <c r="AI333" s="19">
        <f t="shared" si="17"/>
        <v>77215.714285714625</v>
      </c>
    </row>
    <row r="334" spans="1:35">
      <c r="A334" s="4" t="s">
        <v>363</v>
      </c>
      <c r="B334" s="9" t="s">
        <v>472</v>
      </c>
      <c r="C334" s="5" t="s">
        <v>474</v>
      </c>
      <c r="D334" s="5" t="s">
        <v>475</v>
      </c>
      <c r="E334" s="5" t="s">
        <v>476</v>
      </c>
      <c r="F334" s="12" t="s">
        <v>474</v>
      </c>
      <c r="G334" s="12" t="s">
        <v>478</v>
      </c>
      <c r="H334" s="12" t="s">
        <v>462</v>
      </c>
      <c r="I334" s="8">
        <v>45245</v>
      </c>
      <c r="J334" s="10" t="s">
        <v>477</v>
      </c>
      <c r="K334" s="11">
        <v>1</v>
      </c>
      <c r="L334" s="11">
        <v>10</v>
      </c>
      <c r="M334" s="11">
        <v>4</v>
      </c>
      <c r="N334" s="6" t="s">
        <v>479</v>
      </c>
      <c r="O334" s="7">
        <v>34.4</v>
      </c>
      <c r="P334" s="7">
        <v>26.9</v>
      </c>
      <c r="Q334" s="7">
        <v>8</v>
      </c>
      <c r="R334" s="4">
        <v>336</v>
      </c>
      <c r="S334" s="4">
        <f t="shared" si="20"/>
        <v>0.33600000000000002</v>
      </c>
      <c r="T334" s="4">
        <f t="shared" si="21"/>
        <v>2.9302325581395353E-2</v>
      </c>
      <c r="V334" s="4" t="s">
        <v>527</v>
      </c>
      <c r="W334" s="4" t="s">
        <v>363</v>
      </c>
      <c r="X334" s="4" t="s">
        <v>363</v>
      </c>
      <c r="Y334" s="4" t="s">
        <v>610</v>
      </c>
      <c r="Z334" s="4" t="s">
        <v>363</v>
      </c>
      <c r="AA334" s="4" t="s">
        <v>610</v>
      </c>
      <c r="AB334" s="20">
        <v>0.93240000000000001</v>
      </c>
      <c r="AC334" s="20">
        <v>0.94850000000000001</v>
      </c>
      <c r="AD334" s="19">
        <f t="shared" si="15"/>
        <v>16.100000000000001</v>
      </c>
      <c r="AE334" s="19">
        <v>806844</v>
      </c>
      <c r="AF334" s="19">
        <v>926918</v>
      </c>
      <c r="AG334" s="19">
        <v>863587</v>
      </c>
      <c r="AH334" s="19">
        <f t="shared" si="16"/>
        <v>865783</v>
      </c>
      <c r="AI334" s="19">
        <f t="shared" si="17"/>
        <v>53775.341614906829</v>
      </c>
    </row>
    <row r="335" spans="1:35">
      <c r="A335" s="4" t="s">
        <v>364</v>
      </c>
      <c r="B335" s="9" t="s">
        <v>472</v>
      </c>
      <c r="C335" s="5" t="s">
        <v>474</v>
      </c>
      <c r="D335" s="5" t="s">
        <v>475</v>
      </c>
      <c r="E335" s="5" t="s">
        <v>476</v>
      </c>
      <c r="F335" s="12" t="s">
        <v>474</v>
      </c>
      <c r="G335" s="12" t="s">
        <v>478</v>
      </c>
      <c r="H335" s="12" t="s">
        <v>462</v>
      </c>
      <c r="I335" s="8">
        <v>45245</v>
      </c>
      <c r="J335" s="10" t="s">
        <v>477</v>
      </c>
      <c r="K335" s="11">
        <v>1</v>
      </c>
      <c r="L335" s="11">
        <v>10</v>
      </c>
      <c r="M335" s="11">
        <v>4</v>
      </c>
      <c r="N335" s="6" t="s">
        <v>482</v>
      </c>
      <c r="O335" s="7">
        <v>26</v>
      </c>
      <c r="P335" s="7">
        <v>22</v>
      </c>
      <c r="Q335" s="7">
        <v>6.3</v>
      </c>
      <c r="R335" s="4">
        <v>174</v>
      </c>
      <c r="S335" s="4">
        <f t="shared" si="20"/>
        <v>0.17399999999999999</v>
      </c>
      <c r="T335" s="4">
        <f t="shared" si="21"/>
        <v>2.0076923076923076E-2</v>
      </c>
      <c r="V335" s="4" t="s">
        <v>527</v>
      </c>
      <c r="W335" s="4" t="s">
        <v>364</v>
      </c>
      <c r="X335" s="4" t="s">
        <v>364</v>
      </c>
      <c r="Y335" s="4" t="s">
        <v>611</v>
      </c>
      <c r="Z335" s="4" t="s">
        <v>364</v>
      </c>
      <c r="AA335" s="4" t="s">
        <v>611</v>
      </c>
      <c r="AB335" s="20">
        <v>0.92210000000000003</v>
      </c>
      <c r="AC335" s="20">
        <v>0.92620000000000002</v>
      </c>
      <c r="AD335" s="19">
        <f t="shared" si="15"/>
        <v>4.0999999999999925</v>
      </c>
      <c r="AE335" s="19">
        <v>325984</v>
      </c>
      <c r="AF335" s="19">
        <v>332964</v>
      </c>
      <c r="AG335" s="19">
        <v>325910</v>
      </c>
      <c r="AH335" s="19">
        <f t="shared" si="16"/>
        <v>328286</v>
      </c>
      <c r="AI335" s="19">
        <f t="shared" si="17"/>
        <v>80069.756097561127</v>
      </c>
    </row>
    <row r="336" spans="1:35">
      <c r="A336" s="4" t="s">
        <v>365</v>
      </c>
      <c r="B336" s="9" t="s">
        <v>472</v>
      </c>
      <c r="C336" s="5" t="s">
        <v>474</v>
      </c>
      <c r="D336" s="5" t="s">
        <v>475</v>
      </c>
      <c r="E336" s="5" t="s">
        <v>476</v>
      </c>
      <c r="F336" s="12" t="s">
        <v>474</v>
      </c>
      <c r="G336" s="12" t="s">
        <v>478</v>
      </c>
      <c r="H336" s="12" t="s">
        <v>462</v>
      </c>
      <c r="I336" s="8">
        <v>45245</v>
      </c>
      <c r="J336" s="10" t="s">
        <v>477</v>
      </c>
      <c r="K336" s="11">
        <v>1</v>
      </c>
      <c r="L336" s="11">
        <v>10</v>
      </c>
      <c r="M336" s="11">
        <v>4</v>
      </c>
      <c r="N336" s="6" t="s">
        <v>480</v>
      </c>
      <c r="O336" s="7">
        <v>32.299999999999997</v>
      </c>
      <c r="P336" s="7">
        <v>24.7</v>
      </c>
      <c r="Q336" s="7">
        <v>7.4</v>
      </c>
      <c r="R336" s="4">
        <v>297</v>
      </c>
      <c r="S336" s="4">
        <f t="shared" si="20"/>
        <v>0.29699999999999999</v>
      </c>
      <c r="T336" s="4">
        <f t="shared" si="21"/>
        <v>2.7585139318885447E-2</v>
      </c>
      <c r="V336" s="4" t="s">
        <v>527</v>
      </c>
      <c r="W336" s="4" t="s">
        <v>365</v>
      </c>
      <c r="X336" s="4" t="s">
        <v>365</v>
      </c>
      <c r="Y336" s="4" t="s">
        <v>612</v>
      </c>
      <c r="Z336" s="4" t="s">
        <v>365</v>
      </c>
      <c r="AA336" s="4" t="s">
        <v>612</v>
      </c>
      <c r="AB336" s="20">
        <v>1.1026</v>
      </c>
      <c r="AC336" s="20">
        <v>1.1136999999999999</v>
      </c>
      <c r="AD336" s="19">
        <f t="shared" si="15"/>
        <v>11.099999999999888</v>
      </c>
      <c r="AE336" s="19">
        <v>846079</v>
      </c>
      <c r="AF336" s="19">
        <v>846079</v>
      </c>
      <c r="AG336" s="19">
        <v>834656</v>
      </c>
      <c r="AH336" s="19">
        <f t="shared" si="16"/>
        <v>842271.33333333337</v>
      </c>
      <c r="AI336" s="19">
        <f t="shared" si="17"/>
        <v>75880.300300301067</v>
      </c>
    </row>
    <row r="337" spans="1:35">
      <c r="A337" s="4" t="s">
        <v>366</v>
      </c>
      <c r="B337" s="9" t="s">
        <v>472</v>
      </c>
      <c r="C337" s="5" t="s">
        <v>474</v>
      </c>
      <c r="D337" s="5" t="s">
        <v>475</v>
      </c>
      <c r="E337" s="5" t="s">
        <v>476</v>
      </c>
      <c r="F337" s="12" t="s">
        <v>474</v>
      </c>
      <c r="G337" s="12" t="s">
        <v>478</v>
      </c>
      <c r="H337" s="12" t="s">
        <v>462</v>
      </c>
      <c r="I337" s="8">
        <v>45245</v>
      </c>
      <c r="J337" s="10" t="s">
        <v>477</v>
      </c>
      <c r="K337" s="11">
        <v>1</v>
      </c>
      <c r="L337" s="11">
        <v>10</v>
      </c>
      <c r="M337" s="11">
        <v>4</v>
      </c>
      <c r="N337" s="6" t="s">
        <v>560</v>
      </c>
      <c r="O337" s="7">
        <v>34.700000000000003</v>
      </c>
      <c r="P337" s="7">
        <v>29.6</v>
      </c>
      <c r="Q337" s="7">
        <v>7.6</v>
      </c>
      <c r="R337" s="4">
        <v>361</v>
      </c>
      <c r="S337" s="4">
        <f t="shared" si="20"/>
        <v>0.36099999999999999</v>
      </c>
      <c r="T337" s="4">
        <f t="shared" si="21"/>
        <v>3.1210374639769448E-2</v>
      </c>
      <c r="V337" s="4" t="s">
        <v>527</v>
      </c>
      <c r="W337" s="4" t="s">
        <v>366</v>
      </c>
      <c r="X337" s="4" t="s">
        <v>366</v>
      </c>
      <c r="Y337" s="4" t="s">
        <v>613</v>
      </c>
      <c r="Z337" s="4" t="s">
        <v>366</v>
      </c>
      <c r="AA337" s="4" t="s">
        <v>613</v>
      </c>
      <c r="AB337" s="20">
        <v>1.1348</v>
      </c>
      <c r="AC337" s="20">
        <v>1.1431</v>
      </c>
      <c r="AD337" s="19">
        <f t="shared" si="15"/>
        <v>8.2999999999999741</v>
      </c>
      <c r="AE337" s="19">
        <v>593906</v>
      </c>
      <c r="AF337" s="19">
        <v>558719</v>
      </c>
      <c r="AG337" s="19">
        <v>625490</v>
      </c>
      <c r="AH337" s="19">
        <f t="shared" si="16"/>
        <v>592705</v>
      </c>
      <c r="AI337" s="19">
        <f t="shared" si="17"/>
        <v>71410.240963855642</v>
      </c>
    </row>
    <row r="338" spans="1:35">
      <c r="A338" s="4" t="s">
        <v>367</v>
      </c>
      <c r="B338" s="9" t="s">
        <v>472</v>
      </c>
      <c r="C338" s="5" t="s">
        <v>474</v>
      </c>
      <c r="D338" s="5" t="s">
        <v>475</v>
      </c>
      <c r="E338" s="5" t="s">
        <v>476</v>
      </c>
      <c r="F338" s="12" t="s">
        <v>474</v>
      </c>
      <c r="G338" s="12" t="s">
        <v>478</v>
      </c>
      <c r="H338" s="12" t="s">
        <v>462</v>
      </c>
      <c r="I338" s="8">
        <v>45245</v>
      </c>
      <c r="J338" s="10" t="s">
        <v>477</v>
      </c>
      <c r="K338" s="11">
        <v>1</v>
      </c>
      <c r="L338" s="11">
        <v>10</v>
      </c>
      <c r="M338" s="11">
        <v>4</v>
      </c>
      <c r="N338" s="6" t="s">
        <v>560</v>
      </c>
      <c r="O338" s="7">
        <v>22.4</v>
      </c>
      <c r="P338" s="7">
        <v>19.3</v>
      </c>
      <c r="Q338" s="7">
        <v>5.4</v>
      </c>
      <c r="R338" s="4">
        <v>109</v>
      </c>
      <c r="S338" s="4">
        <f t="shared" si="20"/>
        <v>0.109</v>
      </c>
      <c r="T338" s="4">
        <f t="shared" si="21"/>
        <v>1.4598214285714287E-2</v>
      </c>
      <c r="V338" s="4" t="s">
        <v>527</v>
      </c>
      <c r="W338" s="4" t="s">
        <v>367</v>
      </c>
      <c r="X338" s="4" t="s">
        <v>367</v>
      </c>
      <c r="Y338" s="4" t="s">
        <v>614</v>
      </c>
      <c r="Z338" s="4" t="s">
        <v>367</v>
      </c>
      <c r="AA338" s="4" t="s">
        <v>614</v>
      </c>
      <c r="AB338" s="20">
        <v>1.1024</v>
      </c>
      <c r="AC338" s="20">
        <v>1.1104000000000001</v>
      </c>
      <c r="AD338" s="19">
        <f t="shared" si="15"/>
        <v>8.0000000000000071</v>
      </c>
      <c r="AE338" s="19">
        <v>649309</v>
      </c>
      <c r="AF338" s="19">
        <v>687041</v>
      </c>
      <c r="AG338" s="19">
        <v>706425</v>
      </c>
      <c r="AH338" s="19">
        <f t="shared" si="16"/>
        <v>680925</v>
      </c>
      <c r="AI338" s="19">
        <f t="shared" si="17"/>
        <v>85115.624999999927</v>
      </c>
    </row>
    <row r="339" spans="1:35">
      <c r="A339" s="4" t="s">
        <v>368</v>
      </c>
      <c r="B339" s="9" t="s">
        <v>472</v>
      </c>
      <c r="C339" s="5" t="s">
        <v>474</v>
      </c>
      <c r="D339" s="5" t="s">
        <v>475</v>
      </c>
      <c r="E339" s="5" t="s">
        <v>476</v>
      </c>
      <c r="F339" s="12" t="s">
        <v>474</v>
      </c>
      <c r="G339" s="12" t="s">
        <v>478</v>
      </c>
      <c r="H339" s="12" t="s">
        <v>462</v>
      </c>
      <c r="I339" s="8">
        <v>45245</v>
      </c>
      <c r="J339" s="10" t="s">
        <v>477</v>
      </c>
      <c r="K339" s="11">
        <v>1</v>
      </c>
      <c r="L339" s="11">
        <v>10</v>
      </c>
      <c r="M339" s="11">
        <v>4</v>
      </c>
      <c r="N339" s="6" t="s">
        <v>560</v>
      </c>
      <c r="O339" s="7">
        <v>28.8</v>
      </c>
      <c r="P339" s="7">
        <v>23.8</v>
      </c>
      <c r="Q339" s="7">
        <v>6.9</v>
      </c>
      <c r="R339" s="4">
        <v>188</v>
      </c>
      <c r="S339" s="4">
        <f t="shared" si="20"/>
        <v>0.188</v>
      </c>
      <c r="T339" s="4">
        <f t="shared" si="21"/>
        <v>1.9583333333333331E-2</v>
      </c>
      <c r="V339" s="4" t="s">
        <v>527</v>
      </c>
      <c r="W339" s="4" t="s">
        <v>368</v>
      </c>
      <c r="X339" s="4" t="s">
        <v>368</v>
      </c>
      <c r="Y339" s="4" t="s">
        <v>615</v>
      </c>
      <c r="Z339" s="4" t="s">
        <v>368</v>
      </c>
      <c r="AA339" s="4" t="s">
        <v>615</v>
      </c>
      <c r="AB339" s="20">
        <v>0.91090000000000004</v>
      </c>
      <c r="AC339" s="20">
        <v>0.92130000000000001</v>
      </c>
      <c r="AD339" s="19">
        <f t="shared" si="15"/>
        <v>10.399999999999965</v>
      </c>
      <c r="AE339" s="19">
        <v>809992</v>
      </c>
      <c r="AF339" s="19">
        <v>988352</v>
      </c>
      <c r="AG339" s="19">
        <v>882984</v>
      </c>
      <c r="AH339" s="19">
        <f t="shared" si="16"/>
        <v>893776</v>
      </c>
      <c r="AI339" s="19">
        <f t="shared" si="17"/>
        <v>85940.000000000291</v>
      </c>
    </row>
    <row r="340" spans="1:35" ht="12.75" customHeight="1">
      <c r="A340" s="4" t="s">
        <v>369</v>
      </c>
      <c r="B340" s="14" t="s">
        <v>472</v>
      </c>
      <c r="C340" s="4" t="s">
        <v>474</v>
      </c>
      <c r="D340" s="4" t="s">
        <v>475</v>
      </c>
      <c r="E340" s="4" t="s">
        <v>476</v>
      </c>
      <c r="F340" s="4" t="s">
        <v>474</v>
      </c>
      <c r="G340" s="4" t="s">
        <v>478</v>
      </c>
      <c r="H340" s="4" t="s">
        <v>462</v>
      </c>
      <c r="I340" s="8">
        <v>45245</v>
      </c>
      <c r="J340" s="4" t="s">
        <v>477</v>
      </c>
      <c r="K340" s="11">
        <v>1</v>
      </c>
      <c r="L340" s="11">
        <v>10</v>
      </c>
      <c r="M340" s="11">
        <v>4</v>
      </c>
      <c r="N340" s="6" t="s">
        <v>560</v>
      </c>
      <c r="O340" s="4">
        <v>32.299999999999997</v>
      </c>
      <c r="P340" s="4">
        <v>26.6</v>
      </c>
      <c r="Q340" s="4">
        <v>7.7</v>
      </c>
      <c r="R340" s="4">
        <v>313</v>
      </c>
      <c r="S340" s="4">
        <f t="shared" si="20"/>
        <v>0.313</v>
      </c>
      <c r="T340" s="4">
        <f t="shared" si="21"/>
        <v>2.9071207430340563E-2</v>
      </c>
      <c r="V340" s="4" t="s">
        <v>533</v>
      </c>
      <c r="W340" s="4" t="s">
        <v>369</v>
      </c>
    </row>
    <row r="341" spans="1:35" ht="12.75" customHeight="1">
      <c r="A341" s="4" t="s">
        <v>370</v>
      </c>
      <c r="B341" s="14" t="s">
        <v>472</v>
      </c>
      <c r="C341" s="4" t="s">
        <v>474</v>
      </c>
      <c r="D341" s="4" t="s">
        <v>475</v>
      </c>
      <c r="E341" s="4" t="s">
        <v>476</v>
      </c>
      <c r="F341" s="4" t="s">
        <v>474</v>
      </c>
      <c r="G341" s="4" t="s">
        <v>478</v>
      </c>
      <c r="H341" s="4" t="s">
        <v>462</v>
      </c>
      <c r="I341" s="8">
        <v>45245</v>
      </c>
      <c r="J341" s="4" t="s">
        <v>477</v>
      </c>
      <c r="K341" s="11">
        <v>1</v>
      </c>
      <c r="L341" s="11">
        <v>10</v>
      </c>
      <c r="M341" s="11">
        <v>4</v>
      </c>
      <c r="N341" s="6" t="s">
        <v>479</v>
      </c>
      <c r="O341" s="4">
        <v>44.4</v>
      </c>
      <c r="P341" s="4">
        <v>36.9</v>
      </c>
      <c r="Q341" s="4">
        <v>9</v>
      </c>
      <c r="R341" s="4">
        <v>743</v>
      </c>
      <c r="S341" s="4">
        <f t="shared" si="20"/>
        <v>0.74299999999999999</v>
      </c>
      <c r="T341" s="4">
        <f t="shared" si="21"/>
        <v>5.0202702702702703E-2</v>
      </c>
      <c r="V341" s="4" t="s">
        <v>533</v>
      </c>
      <c r="W341" s="4" t="s">
        <v>370</v>
      </c>
    </row>
    <row r="342" spans="1:35" ht="12.75" customHeight="1">
      <c r="A342" s="4" t="s">
        <v>371</v>
      </c>
      <c r="B342" s="14" t="s">
        <v>472</v>
      </c>
      <c r="C342" s="4" t="s">
        <v>474</v>
      </c>
      <c r="D342" s="4" t="s">
        <v>475</v>
      </c>
      <c r="E342" s="4" t="s">
        <v>476</v>
      </c>
      <c r="F342" s="4" t="s">
        <v>474</v>
      </c>
      <c r="G342" s="4" t="s">
        <v>478</v>
      </c>
      <c r="H342" s="4" t="s">
        <v>462</v>
      </c>
      <c r="I342" s="8">
        <v>45245</v>
      </c>
      <c r="J342" s="4" t="s">
        <v>477</v>
      </c>
      <c r="K342" s="11">
        <v>1</v>
      </c>
      <c r="L342" s="11">
        <v>10</v>
      </c>
      <c r="M342" s="11">
        <v>4</v>
      </c>
      <c r="N342" s="6" t="s">
        <v>560</v>
      </c>
      <c r="O342" s="4">
        <v>29.1</v>
      </c>
      <c r="P342" s="4">
        <v>23.1</v>
      </c>
      <c r="Q342" s="4">
        <v>6.2</v>
      </c>
      <c r="R342" s="4">
        <v>233</v>
      </c>
      <c r="S342" s="4">
        <f t="shared" si="20"/>
        <v>0.23300000000000001</v>
      </c>
      <c r="T342" s="4">
        <f t="shared" si="21"/>
        <v>2.4020618556701033E-2</v>
      </c>
      <c r="V342" s="4" t="s">
        <v>533</v>
      </c>
      <c r="W342" s="4" t="s">
        <v>371</v>
      </c>
    </row>
    <row r="343" spans="1:35" ht="12.75" customHeight="1">
      <c r="A343" s="4" t="s">
        <v>372</v>
      </c>
      <c r="B343" s="14" t="s">
        <v>472</v>
      </c>
      <c r="C343" s="4" t="s">
        <v>474</v>
      </c>
      <c r="D343" s="4" t="s">
        <v>475</v>
      </c>
      <c r="E343" s="4" t="s">
        <v>476</v>
      </c>
      <c r="F343" s="4" t="s">
        <v>474</v>
      </c>
      <c r="G343" s="4" t="s">
        <v>478</v>
      </c>
      <c r="H343" s="4" t="s">
        <v>462</v>
      </c>
      <c r="I343" s="8">
        <v>45245</v>
      </c>
      <c r="J343" s="4" t="s">
        <v>477</v>
      </c>
      <c r="K343" s="11">
        <v>1</v>
      </c>
      <c r="L343" s="11">
        <v>10</v>
      </c>
      <c r="M343" s="11">
        <v>4</v>
      </c>
      <c r="N343" s="6" t="s">
        <v>479</v>
      </c>
      <c r="O343" s="4">
        <v>41.9</v>
      </c>
      <c r="P343" s="4">
        <v>32.6</v>
      </c>
      <c r="Q343" s="4">
        <v>8.4</v>
      </c>
      <c r="R343" s="4">
        <v>602</v>
      </c>
      <c r="S343" s="4">
        <f t="shared" si="20"/>
        <v>0.60199999999999998</v>
      </c>
      <c r="T343" s="4">
        <f t="shared" si="21"/>
        <v>4.310262529832936E-2</v>
      </c>
      <c r="V343" s="4" t="s">
        <v>533</v>
      </c>
      <c r="W343" s="4" t="s">
        <v>372</v>
      </c>
    </row>
    <row r="344" spans="1:35" ht="12.75" customHeight="1">
      <c r="A344" s="4" t="s">
        <v>373</v>
      </c>
      <c r="B344" s="14" t="s">
        <v>472</v>
      </c>
      <c r="C344" s="4" t="s">
        <v>474</v>
      </c>
      <c r="D344" s="4" t="s">
        <v>475</v>
      </c>
      <c r="E344" s="4" t="s">
        <v>476</v>
      </c>
      <c r="F344" s="4" t="s">
        <v>474</v>
      </c>
      <c r="G344" s="4" t="s">
        <v>478</v>
      </c>
      <c r="H344" s="4" t="s">
        <v>462</v>
      </c>
      <c r="I344" s="8">
        <v>45245</v>
      </c>
      <c r="J344" s="4" t="s">
        <v>477</v>
      </c>
      <c r="K344" s="11">
        <v>1</v>
      </c>
      <c r="L344" s="11">
        <v>10</v>
      </c>
      <c r="M344" s="11">
        <v>4</v>
      </c>
      <c r="N344" s="6" t="s">
        <v>479</v>
      </c>
      <c r="O344" s="4">
        <v>50.4</v>
      </c>
      <c r="P344" s="4">
        <v>39.4</v>
      </c>
      <c r="Q344" s="4">
        <v>10.8</v>
      </c>
      <c r="R344" s="4">
        <v>1004</v>
      </c>
      <c r="S344" s="4">
        <f t="shared" si="20"/>
        <v>1.004</v>
      </c>
      <c r="T344" s="4">
        <f t="shared" si="21"/>
        <v>5.9761904761904766E-2</v>
      </c>
      <c r="V344" s="4" t="s">
        <v>533</v>
      </c>
      <c r="W344" s="4" t="s">
        <v>373</v>
      </c>
    </row>
    <row r="345" spans="1:35" ht="12.75" customHeight="1">
      <c r="A345" s="4" t="s">
        <v>374</v>
      </c>
      <c r="B345" s="14" t="s">
        <v>472</v>
      </c>
      <c r="C345" s="4" t="s">
        <v>474</v>
      </c>
      <c r="D345" s="4" t="s">
        <v>475</v>
      </c>
      <c r="E345" s="4" t="s">
        <v>476</v>
      </c>
      <c r="F345" s="4" t="s">
        <v>474</v>
      </c>
      <c r="G345" s="4" t="s">
        <v>478</v>
      </c>
      <c r="H345" s="4" t="s">
        <v>462</v>
      </c>
      <c r="I345" s="8">
        <v>45245</v>
      </c>
      <c r="J345" s="4" t="s">
        <v>477</v>
      </c>
      <c r="K345" s="11">
        <v>1</v>
      </c>
      <c r="L345" s="11">
        <v>10</v>
      </c>
      <c r="M345" s="11">
        <v>4</v>
      </c>
      <c r="N345" s="6" t="s">
        <v>560</v>
      </c>
      <c r="O345" s="4">
        <v>29.8</v>
      </c>
      <c r="P345" s="4">
        <v>24</v>
      </c>
      <c r="Q345" s="4">
        <v>7.1</v>
      </c>
      <c r="R345" s="4">
        <v>255</v>
      </c>
      <c r="S345" s="4">
        <f t="shared" si="20"/>
        <v>0.255</v>
      </c>
      <c r="T345" s="4">
        <f t="shared" si="21"/>
        <v>2.5671140939597319E-2</v>
      </c>
      <c r="V345" s="4" t="s">
        <v>533</v>
      </c>
      <c r="W345" s="4" t="s">
        <v>374</v>
      </c>
    </row>
    <row r="346" spans="1:35" ht="12.75" customHeight="1">
      <c r="A346" s="4" t="s">
        <v>375</v>
      </c>
      <c r="B346" s="14" t="s">
        <v>472</v>
      </c>
      <c r="C346" s="4" t="s">
        <v>474</v>
      </c>
      <c r="D346" s="4" t="s">
        <v>475</v>
      </c>
      <c r="E346" s="4" t="s">
        <v>476</v>
      </c>
      <c r="F346" s="4" t="s">
        <v>474</v>
      </c>
      <c r="G346" s="4" t="s">
        <v>478</v>
      </c>
      <c r="H346" s="4" t="s">
        <v>462</v>
      </c>
      <c r="I346" s="8">
        <v>45245</v>
      </c>
      <c r="J346" s="4" t="s">
        <v>477</v>
      </c>
      <c r="K346" s="11">
        <v>1</v>
      </c>
      <c r="L346" s="11">
        <v>10</v>
      </c>
      <c r="M346" s="11">
        <v>4</v>
      </c>
      <c r="N346" s="6" t="s">
        <v>560</v>
      </c>
      <c r="O346" s="4">
        <v>17.8</v>
      </c>
      <c r="P346" s="4">
        <v>11.2</v>
      </c>
      <c r="Q346" s="4">
        <v>4.5999999999999996</v>
      </c>
      <c r="R346" s="4">
        <v>68</v>
      </c>
      <c r="S346" s="4">
        <f t="shared" si="20"/>
        <v>6.8000000000000005E-2</v>
      </c>
      <c r="T346" s="4">
        <f t="shared" si="21"/>
        <v>1.1460674157303372E-2</v>
      </c>
      <c r="V346" s="4" t="s">
        <v>533</v>
      </c>
      <c r="W346" s="4" t="s">
        <v>375</v>
      </c>
    </row>
    <row r="347" spans="1:35" ht="12.75" customHeight="1">
      <c r="A347" s="4" t="s">
        <v>376</v>
      </c>
      <c r="B347" s="14" t="s">
        <v>472</v>
      </c>
      <c r="C347" s="4" t="s">
        <v>474</v>
      </c>
      <c r="D347" s="4" t="s">
        <v>475</v>
      </c>
      <c r="E347" s="4" t="s">
        <v>476</v>
      </c>
      <c r="F347" s="4" t="s">
        <v>474</v>
      </c>
      <c r="G347" s="4" t="s">
        <v>478</v>
      </c>
      <c r="H347" s="4" t="s">
        <v>462</v>
      </c>
      <c r="I347" s="8">
        <v>45245</v>
      </c>
      <c r="J347" s="4" t="s">
        <v>477</v>
      </c>
      <c r="K347" s="11">
        <v>1</v>
      </c>
      <c r="L347" s="11">
        <v>10</v>
      </c>
      <c r="M347" s="11">
        <v>4</v>
      </c>
      <c r="N347" s="6" t="s">
        <v>560</v>
      </c>
      <c r="O347" s="4">
        <v>27.7</v>
      </c>
      <c r="P347" s="4">
        <v>23.6</v>
      </c>
      <c r="Q347" s="4">
        <v>6.5</v>
      </c>
      <c r="R347" s="4">
        <v>224</v>
      </c>
      <c r="S347" s="4">
        <f t="shared" si="20"/>
        <v>0.224</v>
      </c>
      <c r="T347" s="4">
        <f t="shared" si="21"/>
        <v>2.4259927797833938E-2</v>
      </c>
      <c r="V347" s="4" t="s">
        <v>533</v>
      </c>
      <c r="W347" s="4" t="s">
        <v>376</v>
      </c>
    </row>
    <row r="348" spans="1:35" ht="12.75" customHeight="1">
      <c r="A348" s="4" t="s">
        <v>377</v>
      </c>
      <c r="B348" s="14" t="s">
        <v>472</v>
      </c>
      <c r="C348" s="4" t="s">
        <v>474</v>
      </c>
      <c r="D348" s="4" t="s">
        <v>475</v>
      </c>
      <c r="E348" s="4" t="s">
        <v>476</v>
      </c>
      <c r="F348" s="4" t="s">
        <v>474</v>
      </c>
      <c r="G348" s="4" t="s">
        <v>478</v>
      </c>
      <c r="H348" s="4" t="s">
        <v>462</v>
      </c>
      <c r="I348" s="8">
        <v>45245</v>
      </c>
      <c r="J348" s="4" t="s">
        <v>477</v>
      </c>
      <c r="K348" s="11">
        <v>1</v>
      </c>
      <c r="L348" s="11">
        <v>10</v>
      </c>
      <c r="M348" s="11">
        <v>4</v>
      </c>
      <c r="N348" s="6" t="s">
        <v>560</v>
      </c>
      <c r="O348" s="4">
        <v>19.100000000000001</v>
      </c>
      <c r="P348" s="4">
        <v>16.3</v>
      </c>
      <c r="Q348" s="4">
        <v>4.8</v>
      </c>
      <c r="R348" s="4">
        <v>79</v>
      </c>
      <c r="S348" s="4">
        <f t="shared" si="20"/>
        <v>7.9000000000000001E-2</v>
      </c>
      <c r="T348" s="4">
        <f t="shared" si="21"/>
        <v>1.2408376963350783E-2</v>
      </c>
      <c r="V348" s="4" t="s">
        <v>533</v>
      </c>
      <c r="W348" s="4" t="s">
        <v>377</v>
      </c>
    </row>
    <row r="349" spans="1:35" ht="12.75" customHeight="1">
      <c r="A349" s="4" t="s">
        <v>378</v>
      </c>
      <c r="B349" s="14" t="s">
        <v>472</v>
      </c>
      <c r="C349" s="4" t="s">
        <v>474</v>
      </c>
      <c r="D349" s="4" t="s">
        <v>475</v>
      </c>
      <c r="E349" s="4" t="s">
        <v>476</v>
      </c>
      <c r="F349" s="4" t="s">
        <v>474</v>
      </c>
      <c r="G349" s="4" t="s">
        <v>478</v>
      </c>
      <c r="H349" s="4" t="s">
        <v>462</v>
      </c>
      <c r="I349" s="8">
        <v>45245</v>
      </c>
      <c r="J349" s="4" t="s">
        <v>477</v>
      </c>
      <c r="K349" s="11">
        <v>1</v>
      </c>
      <c r="L349" s="11">
        <v>10</v>
      </c>
      <c r="M349" s="11">
        <v>4</v>
      </c>
      <c r="N349" s="6" t="s">
        <v>560</v>
      </c>
      <c r="O349" s="4">
        <v>33.5</v>
      </c>
      <c r="P349" s="4">
        <v>23.2</v>
      </c>
      <c r="Q349" s="4">
        <v>6.8</v>
      </c>
      <c r="R349" s="4">
        <v>234</v>
      </c>
      <c r="S349" s="4">
        <f t="shared" si="20"/>
        <v>0.23400000000000001</v>
      </c>
      <c r="T349" s="4">
        <f t="shared" si="21"/>
        <v>2.0955223880597017E-2</v>
      </c>
      <c r="V349" s="4" t="s">
        <v>533</v>
      </c>
      <c r="W349" s="4" t="s">
        <v>378</v>
      </c>
    </row>
    <row r="350" spans="1:35" ht="12.75" customHeight="1">
      <c r="A350" s="4" t="s">
        <v>379</v>
      </c>
      <c r="B350" s="14" t="s">
        <v>472</v>
      </c>
      <c r="C350" s="4" t="s">
        <v>474</v>
      </c>
      <c r="D350" s="4" t="s">
        <v>475</v>
      </c>
      <c r="E350" s="4" t="s">
        <v>476</v>
      </c>
      <c r="F350" s="4" t="s">
        <v>474</v>
      </c>
      <c r="G350" s="4" t="s">
        <v>478</v>
      </c>
      <c r="H350" s="4" t="s">
        <v>462</v>
      </c>
      <c r="I350" s="8">
        <v>45245</v>
      </c>
      <c r="J350" s="4" t="s">
        <v>477</v>
      </c>
      <c r="K350" s="11">
        <v>1</v>
      </c>
      <c r="L350" s="11">
        <v>10</v>
      </c>
      <c r="M350" s="11">
        <v>4</v>
      </c>
      <c r="N350" s="6" t="s">
        <v>560</v>
      </c>
      <c r="O350" s="4">
        <v>29.6</v>
      </c>
      <c r="P350" s="4">
        <v>25.1</v>
      </c>
      <c r="Q350" s="4">
        <v>7.4</v>
      </c>
      <c r="R350" s="4">
        <v>295</v>
      </c>
      <c r="S350" s="4">
        <f t="shared" si="20"/>
        <v>0.29499999999999998</v>
      </c>
      <c r="T350" s="4">
        <f t="shared" si="21"/>
        <v>2.9898648648648645E-2</v>
      </c>
      <c r="V350" s="4" t="s">
        <v>533</v>
      </c>
      <c r="W350" s="4" t="s">
        <v>379</v>
      </c>
    </row>
    <row r="351" spans="1:35" ht="12.75" customHeight="1">
      <c r="A351" s="4" t="s">
        <v>380</v>
      </c>
      <c r="B351" s="14" t="s">
        <v>472</v>
      </c>
      <c r="C351" s="4" t="s">
        <v>474</v>
      </c>
      <c r="D351" s="4" t="s">
        <v>475</v>
      </c>
      <c r="E351" s="4" t="s">
        <v>476</v>
      </c>
      <c r="F351" s="4" t="s">
        <v>474</v>
      </c>
      <c r="G351" s="4" t="s">
        <v>478</v>
      </c>
      <c r="H351" s="4" t="s">
        <v>462</v>
      </c>
      <c r="I351" s="8">
        <v>45245</v>
      </c>
      <c r="J351" s="4" t="s">
        <v>477</v>
      </c>
      <c r="K351" s="11">
        <v>1</v>
      </c>
      <c r="L351" s="11">
        <v>10</v>
      </c>
      <c r="M351" s="11">
        <v>4</v>
      </c>
      <c r="N351" s="6" t="s">
        <v>560</v>
      </c>
      <c r="O351" s="4">
        <v>27.1</v>
      </c>
      <c r="P351" s="4">
        <v>22.1</v>
      </c>
      <c r="Q351" s="4">
        <v>6.4</v>
      </c>
      <c r="R351" s="4">
        <v>201</v>
      </c>
      <c r="S351" s="4">
        <f t="shared" si="20"/>
        <v>0.20100000000000001</v>
      </c>
      <c r="T351" s="4">
        <f t="shared" si="21"/>
        <v>2.2250922509225092E-2</v>
      </c>
      <c r="V351" s="4" t="s">
        <v>533</v>
      </c>
      <c r="W351" s="4" t="s">
        <v>380</v>
      </c>
    </row>
    <row r="352" spans="1:35" ht="12.75" customHeight="1">
      <c r="A352" s="4" t="s">
        <v>381</v>
      </c>
      <c r="B352" s="14" t="s">
        <v>472</v>
      </c>
      <c r="C352" s="4" t="s">
        <v>474</v>
      </c>
      <c r="D352" s="4" t="s">
        <v>475</v>
      </c>
      <c r="E352" s="4" t="s">
        <v>476</v>
      </c>
      <c r="F352" s="4" t="s">
        <v>474</v>
      </c>
      <c r="G352" s="4" t="s">
        <v>478</v>
      </c>
      <c r="H352" s="4" t="s">
        <v>462</v>
      </c>
      <c r="I352" s="8">
        <v>45245</v>
      </c>
      <c r="J352" s="4" t="s">
        <v>477</v>
      </c>
      <c r="K352" s="11">
        <v>1</v>
      </c>
      <c r="L352" s="11">
        <v>10</v>
      </c>
      <c r="M352" s="11">
        <v>4</v>
      </c>
      <c r="N352" s="6" t="s">
        <v>560</v>
      </c>
      <c r="O352" s="4">
        <v>26.5</v>
      </c>
      <c r="P352" s="4">
        <v>22.3</v>
      </c>
      <c r="Q352" s="4">
        <v>5.8</v>
      </c>
      <c r="R352" s="4">
        <v>150</v>
      </c>
      <c r="S352" s="13">
        <f t="shared" si="20"/>
        <v>0.15</v>
      </c>
      <c r="T352" s="4">
        <f t="shared" si="21"/>
        <v>1.6981132075471698E-2</v>
      </c>
      <c r="V352" s="4" t="s">
        <v>533</v>
      </c>
      <c r="W352" s="4" t="s">
        <v>381</v>
      </c>
    </row>
    <row r="353" spans="1:23" ht="12.75" customHeight="1">
      <c r="A353" s="4" t="s">
        <v>382</v>
      </c>
      <c r="B353" s="14" t="s">
        <v>472</v>
      </c>
      <c r="C353" s="4" t="s">
        <v>474</v>
      </c>
      <c r="D353" s="4" t="s">
        <v>475</v>
      </c>
      <c r="E353" s="4" t="s">
        <v>476</v>
      </c>
      <c r="F353" s="4" t="s">
        <v>474</v>
      </c>
      <c r="G353" s="4" t="s">
        <v>478</v>
      </c>
      <c r="H353" s="4" t="s">
        <v>462</v>
      </c>
      <c r="I353" s="8">
        <v>45245</v>
      </c>
      <c r="J353" s="4" t="s">
        <v>477</v>
      </c>
      <c r="K353" s="11">
        <v>1</v>
      </c>
      <c r="L353" s="11">
        <v>10</v>
      </c>
      <c r="M353" s="11">
        <v>4</v>
      </c>
      <c r="N353" s="6" t="s">
        <v>560</v>
      </c>
      <c r="O353" s="4">
        <v>23.1</v>
      </c>
      <c r="P353" s="4">
        <v>18.600000000000001</v>
      </c>
      <c r="Q353" s="4">
        <v>5</v>
      </c>
      <c r="R353" s="4">
        <v>112</v>
      </c>
      <c r="S353" s="4">
        <f t="shared" si="20"/>
        <v>0.112</v>
      </c>
      <c r="T353" s="4">
        <f t="shared" si="21"/>
        <v>1.4545454545454545E-2</v>
      </c>
      <c r="V353" s="4" t="s">
        <v>533</v>
      </c>
      <c r="W353" s="4" t="s">
        <v>382</v>
      </c>
    </row>
    <row r="354" spans="1:23" ht="12.75" customHeight="1">
      <c r="A354" s="4" t="s">
        <v>383</v>
      </c>
      <c r="B354" s="14" t="s">
        <v>472</v>
      </c>
      <c r="C354" s="4" t="s">
        <v>474</v>
      </c>
      <c r="D354" s="4" t="s">
        <v>475</v>
      </c>
      <c r="E354" s="4" t="s">
        <v>476</v>
      </c>
      <c r="F354" s="4" t="s">
        <v>474</v>
      </c>
      <c r="G354" s="4" t="s">
        <v>478</v>
      </c>
      <c r="H354" s="4" t="s">
        <v>462</v>
      </c>
      <c r="I354" s="8">
        <v>45245</v>
      </c>
      <c r="J354" s="4" t="s">
        <v>477</v>
      </c>
      <c r="K354" s="11">
        <v>1</v>
      </c>
      <c r="L354" s="11">
        <v>10</v>
      </c>
      <c r="M354" s="11">
        <v>4</v>
      </c>
      <c r="N354" s="6" t="s">
        <v>560</v>
      </c>
      <c r="O354" s="4">
        <v>28.8</v>
      </c>
      <c r="P354" s="4">
        <v>23.1</v>
      </c>
      <c r="Q354" s="4">
        <v>6.7</v>
      </c>
      <c r="R354" s="4">
        <v>238</v>
      </c>
      <c r="S354" s="4">
        <f t="shared" si="20"/>
        <v>0.23799999999999999</v>
      </c>
      <c r="T354" s="4">
        <f t="shared" si="21"/>
        <v>2.4791666666666663E-2</v>
      </c>
      <c r="V354" s="4" t="s">
        <v>533</v>
      </c>
      <c r="W354" s="4" t="s">
        <v>383</v>
      </c>
    </row>
    <row r="355" spans="1:23" ht="12.75" customHeight="1">
      <c r="A355" s="4" t="s">
        <v>384</v>
      </c>
      <c r="B355" s="14" t="s">
        <v>472</v>
      </c>
      <c r="C355" s="4" t="s">
        <v>474</v>
      </c>
      <c r="D355" s="4" t="s">
        <v>475</v>
      </c>
      <c r="E355" s="4" t="s">
        <v>476</v>
      </c>
      <c r="F355" s="4" t="s">
        <v>474</v>
      </c>
      <c r="G355" s="4" t="s">
        <v>478</v>
      </c>
      <c r="H355" s="4" t="s">
        <v>462</v>
      </c>
      <c r="I355" s="8">
        <v>45245</v>
      </c>
      <c r="J355" s="4" t="s">
        <v>477</v>
      </c>
      <c r="K355" s="11">
        <v>1</v>
      </c>
      <c r="L355" s="11">
        <v>10</v>
      </c>
      <c r="M355" s="11">
        <v>4</v>
      </c>
      <c r="N355" s="6" t="s">
        <v>479</v>
      </c>
      <c r="O355" s="4">
        <v>25.4</v>
      </c>
      <c r="P355" s="4">
        <v>19.7</v>
      </c>
      <c r="Q355" s="4">
        <v>4.5</v>
      </c>
      <c r="R355" s="4">
        <v>115</v>
      </c>
      <c r="S355" s="4">
        <f t="shared" si="20"/>
        <v>0.115</v>
      </c>
      <c r="T355" s="4">
        <f t="shared" si="21"/>
        <v>1.3582677165354332E-2</v>
      </c>
      <c r="V355" s="4" t="s">
        <v>533</v>
      </c>
      <c r="W355" s="4" t="s">
        <v>384</v>
      </c>
    </row>
    <row r="356" spans="1:23" ht="12.75" customHeight="1">
      <c r="A356" s="4" t="s">
        <v>385</v>
      </c>
      <c r="B356" s="14" t="s">
        <v>472</v>
      </c>
      <c r="C356" s="4" t="s">
        <v>474</v>
      </c>
      <c r="D356" s="4" t="s">
        <v>475</v>
      </c>
      <c r="E356" s="4" t="s">
        <v>476</v>
      </c>
      <c r="F356" s="4" t="s">
        <v>474</v>
      </c>
      <c r="G356" s="4" t="s">
        <v>478</v>
      </c>
      <c r="H356" s="4" t="s">
        <v>462</v>
      </c>
      <c r="I356" s="8">
        <v>45245</v>
      </c>
      <c r="J356" s="4" t="s">
        <v>477</v>
      </c>
      <c r="K356" s="11">
        <v>1</v>
      </c>
      <c r="L356" s="11">
        <v>10</v>
      </c>
      <c r="M356" s="11">
        <v>4</v>
      </c>
      <c r="N356" s="6" t="s">
        <v>560</v>
      </c>
      <c r="O356" s="4">
        <v>28</v>
      </c>
      <c r="P356" s="4">
        <v>22.9</v>
      </c>
      <c r="Q356" s="4">
        <v>5.8</v>
      </c>
      <c r="R356" s="4">
        <v>169</v>
      </c>
      <c r="S356" s="4">
        <f t="shared" si="20"/>
        <v>0.16900000000000001</v>
      </c>
      <c r="T356" s="4">
        <f t="shared" si="21"/>
        <v>1.8107142857142856E-2</v>
      </c>
      <c r="V356" s="4" t="s">
        <v>533</v>
      </c>
      <c r="W356" s="4" t="s">
        <v>385</v>
      </c>
    </row>
    <row r="357" spans="1:23" ht="12.75" customHeight="1">
      <c r="A357" s="4" t="s">
        <v>386</v>
      </c>
      <c r="B357" s="14" t="s">
        <v>472</v>
      </c>
      <c r="C357" s="4" t="s">
        <v>474</v>
      </c>
      <c r="D357" s="4" t="s">
        <v>475</v>
      </c>
      <c r="E357" s="4" t="s">
        <v>476</v>
      </c>
      <c r="F357" s="4" t="s">
        <v>474</v>
      </c>
      <c r="G357" s="4" t="s">
        <v>478</v>
      </c>
      <c r="H357" s="4" t="s">
        <v>462</v>
      </c>
      <c r="I357" s="8">
        <v>45245</v>
      </c>
      <c r="J357" s="4" t="s">
        <v>477</v>
      </c>
      <c r="K357" s="11">
        <v>1</v>
      </c>
      <c r="L357" s="11">
        <v>10</v>
      </c>
      <c r="M357" s="11">
        <v>4</v>
      </c>
      <c r="N357" s="6" t="s">
        <v>560</v>
      </c>
      <c r="O357" s="4">
        <v>30.9</v>
      </c>
      <c r="P357" s="4">
        <v>25.2</v>
      </c>
      <c r="Q357" s="4">
        <v>6.4</v>
      </c>
      <c r="R357" s="4">
        <v>296</v>
      </c>
      <c r="S357" s="4">
        <f t="shared" si="20"/>
        <v>0.29599999999999999</v>
      </c>
      <c r="T357" s="4">
        <f t="shared" si="21"/>
        <v>2.87378640776699E-2</v>
      </c>
      <c r="V357" s="4" t="s">
        <v>533</v>
      </c>
      <c r="W357" s="4" t="s">
        <v>386</v>
      </c>
    </row>
    <row r="358" spans="1:23" ht="12.75" customHeight="1">
      <c r="A358" s="4" t="s">
        <v>387</v>
      </c>
      <c r="B358" s="14" t="s">
        <v>472</v>
      </c>
      <c r="C358" s="4" t="s">
        <v>474</v>
      </c>
      <c r="D358" s="4" t="s">
        <v>475</v>
      </c>
      <c r="E358" s="4" t="s">
        <v>476</v>
      </c>
      <c r="F358" s="4" t="s">
        <v>474</v>
      </c>
      <c r="G358" s="4" t="s">
        <v>478</v>
      </c>
      <c r="H358" s="4" t="s">
        <v>462</v>
      </c>
      <c r="I358" s="8">
        <v>45245</v>
      </c>
      <c r="J358" s="4" t="s">
        <v>477</v>
      </c>
      <c r="K358" s="11">
        <v>1</v>
      </c>
      <c r="L358" s="11">
        <v>10</v>
      </c>
      <c r="M358" s="11">
        <v>4</v>
      </c>
      <c r="N358" s="6" t="s">
        <v>479</v>
      </c>
      <c r="O358" s="4">
        <v>33.799999999999997</v>
      </c>
      <c r="P358" s="4">
        <v>23.1</v>
      </c>
      <c r="Q358" s="4">
        <v>9.4</v>
      </c>
      <c r="R358" s="4">
        <v>672</v>
      </c>
      <c r="S358" s="4">
        <f t="shared" si="20"/>
        <v>0.67200000000000004</v>
      </c>
      <c r="T358" s="4">
        <f t="shared" si="21"/>
        <v>5.9644970414201193E-2</v>
      </c>
      <c r="V358" s="4" t="s">
        <v>533</v>
      </c>
      <c r="W358" s="4" t="s">
        <v>387</v>
      </c>
    </row>
    <row r="359" spans="1:23" ht="12.75" customHeight="1">
      <c r="A359" s="4" t="s">
        <v>388</v>
      </c>
      <c r="B359" s="14" t="s">
        <v>472</v>
      </c>
      <c r="C359" s="4" t="s">
        <v>474</v>
      </c>
      <c r="D359" s="4" t="s">
        <v>475</v>
      </c>
      <c r="E359" s="4" t="s">
        <v>476</v>
      </c>
      <c r="F359" s="4" t="s">
        <v>474</v>
      </c>
      <c r="G359" s="4" t="s">
        <v>478</v>
      </c>
      <c r="H359" s="4" t="s">
        <v>462</v>
      </c>
      <c r="I359" s="8">
        <v>45245</v>
      </c>
      <c r="J359" s="4" t="s">
        <v>477</v>
      </c>
      <c r="K359" s="11">
        <v>1</v>
      </c>
      <c r="L359" s="11">
        <v>10</v>
      </c>
      <c r="M359" s="11">
        <v>4</v>
      </c>
      <c r="N359" s="6" t="s">
        <v>560</v>
      </c>
      <c r="O359" s="4">
        <v>25.4</v>
      </c>
      <c r="P359" s="4">
        <v>19.7</v>
      </c>
      <c r="Q359" s="4">
        <v>4.5</v>
      </c>
      <c r="R359" s="4">
        <v>115</v>
      </c>
      <c r="S359" s="4">
        <f t="shared" si="20"/>
        <v>0.115</v>
      </c>
      <c r="T359" s="4">
        <f t="shared" si="21"/>
        <v>1.3582677165354332E-2</v>
      </c>
      <c r="V359" s="4" t="s">
        <v>533</v>
      </c>
      <c r="W359" s="4" t="s">
        <v>388</v>
      </c>
    </row>
    <row r="360" spans="1:23" ht="12.75" customHeight="1">
      <c r="A360" s="4" t="s">
        <v>389</v>
      </c>
      <c r="B360" s="14" t="s">
        <v>472</v>
      </c>
      <c r="C360" s="4" t="s">
        <v>474</v>
      </c>
      <c r="D360" s="4" t="s">
        <v>475</v>
      </c>
      <c r="E360" s="4" t="s">
        <v>476</v>
      </c>
      <c r="F360" s="4" t="s">
        <v>474</v>
      </c>
      <c r="G360" s="4" t="s">
        <v>478</v>
      </c>
      <c r="H360" s="4" t="s">
        <v>462</v>
      </c>
      <c r="I360" s="8">
        <v>45245</v>
      </c>
      <c r="J360" s="4" t="s">
        <v>477</v>
      </c>
      <c r="K360" s="11">
        <v>1</v>
      </c>
      <c r="L360" s="11">
        <v>10</v>
      </c>
      <c r="M360" s="11">
        <v>4</v>
      </c>
      <c r="N360" s="6" t="s">
        <v>560</v>
      </c>
      <c r="O360" s="4">
        <v>27.6</v>
      </c>
      <c r="P360" s="4">
        <v>22.7</v>
      </c>
      <c r="Q360" s="4">
        <v>5.0999999999999996</v>
      </c>
      <c r="R360" s="4">
        <v>169</v>
      </c>
      <c r="S360" s="4">
        <f t="shared" si="20"/>
        <v>0.16900000000000001</v>
      </c>
      <c r="T360" s="4">
        <f t="shared" si="21"/>
        <v>1.8369565217391304E-2</v>
      </c>
      <c r="V360" s="4" t="s">
        <v>533</v>
      </c>
      <c r="W360" s="4" t="s">
        <v>389</v>
      </c>
    </row>
    <row r="361" spans="1:23" ht="12.75" customHeight="1">
      <c r="A361" s="4" t="s">
        <v>390</v>
      </c>
      <c r="B361" s="14" t="s">
        <v>472</v>
      </c>
      <c r="C361" s="4" t="s">
        <v>474</v>
      </c>
      <c r="D361" s="4" t="s">
        <v>475</v>
      </c>
      <c r="E361" s="4" t="s">
        <v>476</v>
      </c>
      <c r="F361" s="4" t="s">
        <v>474</v>
      </c>
      <c r="G361" s="4" t="s">
        <v>478</v>
      </c>
      <c r="H361" s="4" t="s">
        <v>462</v>
      </c>
      <c r="I361" s="8">
        <v>45245</v>
      </c>
      <c r="J361" s="4" t="s">
        <v>477</v>
      </c>
      <c r="K361" s="11">
        <v>1</v>
      </c>
      <c r="L361" s="11">
        <v>10</v>
      </c>
      <c r="M361" s="11">
        <v>4</v>
      </c>
      <c r="N361" s="6" t="s">
        <v>473</v>
      </c>
      <c r="O361" s="4">
        <v>27.1</v>
      </c>
      <c r="P361" s="4">
        <v>21</v>
      </c>
      <c r="Q361" s="4">
        <v>4.5999999999999996</v>
      </c>
      <c r="R361" s="4">
        <v>127</v>
      </c>
      <c r="S361" s="4">
        <f t="shared" si="20"/>
        <v>0.127</v>
      </c>
      <c r="T361" s="4">
        <f t="shared" si="21"/>
        <v>1.4059040590405903E-2</v>
      </c>
      <c r="V361" s="4" t="s">
        <v>533</v>
      </c>
      <c r="W361" s="4" t="s">
        <v>390</v>
      </c>
    </row>
    <row r="362" spans="1:23" ht="12.75" customHeight="1">
      <c r="A362" s="4" t="s">
        <v>391</v>
      </c>
      <c r="B362" s="14" t="s">
        <v>472</v>
      </c>
      <c r="C362" s="4" t="s">
        <v>474</v>
      </c>
      <c r="D362" s="4" t="s">
        <v>475</v>
      </c>
      <c r="E362" s="4" t="s">
        <v>476</v>
      </c>
      <c r="F362" s="4" t="s">
        <v>474</v>
      </c>
      <c r="G362" s="4" t="s">
        <v>478</v>
      </c>
      <c r="H362" s="4" t="s">
        <v>462</v>
      </c>
      <c r="I362" s="8">
        <v>45245</v>
      </c>
      <c r="J362" s="4" t="s">
        <v>477</v>
      </c>
      <c r="K362" s="11">
        <v>1</v>
      </c>
      <c r="L362" s="11">
        <v>10</v>
      </c>
      <c r="M362" s="11">
        <v>4</v>
      </c>
      <c r="N362" s="6" t="s">
        <v>473</v>
      </c>
      <c r="O362" s="4">
        <v>25.6</v>
      </c>
      <c r="P362" s="4">
        <v>19.7</v>
      </c>
      <c r="Q362" s="4">
        <v>4.7</v>
      </c>
      <c r="R362" s="4">
        <v>121</v>
      </c>
      <c r="S362" s="4">
        <f t="shared" si="20"/>
        <v>0.121</v>
      </c>
      <c r="T362" s="4">
        <f t="shared" si="21"/>
        <v>1.41796875E-2</v>
      </c>
      <c r="V362" s="4" t="s">
        <v>533</v>
      </c>
      <c r="W362" s="4" t="s">
        <v>391</v>
      </c>
    </row>
    <row r="363" spans="1:23" ht="12.75" customHeight="1">
      <c r="A363" s="4" t="s">
        <v>392</v>
      </c>
      <c r="B363" s="14" t="s">
        <v>472</v>
      </c>
      <c r="C363" s="4" t="s">
        <v>474</v>
      </c>
      <c r="D363" s="4" t="s">
        <v>475</v>
      </c>
      <c r="E363" s="4" t="s">
        <v>476</v>
      </c>
      <c r="F363" s="4" t="s">
        <v>474</v>
      </c>
      <c r="G363" s="4" t="s">
        <v>478</v>
      </c>
      <c r="H363" s="4" t="s">
        <v>462</v>
      </c>
      <c r="I363" s="8">
        <v>45245</v>
      </c>
      <c r="J363" s="4" t="s">
        <v>477</v>
      </c>
      <c r="K363" s="11">
        <v>1</v>
      </c>
      <c r="L363" s="11">
        <v>10</v>
      </c>
      <c r="M363" s="11">
        <v>4</v>
      </c>
      <c r="N363" s="6" t="s">
        <v>560</v>
      </c>
      <c r="O363" s="4">
        <v>31.3</v>
      </c>
      <c r="P363" s="4">
        <v>24</v>
      </c>
      <c r="Q363" s="4">
        <v>6.2</v>
      </c>
      <c r="R363" s="4">
        <v>223</v>
      </c>
      <c r="S363" s="4">
        <f t="shared" si="20"/>
        <v>0.223</v>
      </c>
      <c r="T363" s="4">
        <f t="shared" si="21"/>
        <v>2.1373801916932906E-2</v>
      </c>
      <c r="V363" s="4" t="s">
        <v>533</v>
      </c>
      <c r="W363" s="4" t="s">
        <v>392</v>
      </c>
    </row>
    <row r="364" spans="1:23" ht="12.75" customHeight="1">
      <c r="A364" s="4" t="s">
        <v>393</v>
      </c>
      <c r="B364" s="14" t="s">
        <v>472</v>
      </c>
      <c r="C364" s="4" t="s">
        <v>474</v>
      </c>
      <c r="D364" s="4" t="s">
        <v>475</v>
      </c>
      <c r="E364" s="4" t="s">
        <v>476</v>
      </c>
      <c r="F364" s="4" t="s">
        <v>474</v>
      </c>
      <c r="G364" s="4" t="s">
        <v>478</v>
      </c>
      <c r="H364" s="4" t="s">
        <v>462</v>
      </c>
      <c r="I364" s="8">
        <v>45245</v>
      </c>
      <c r="J364" s="4" t="s">
        <v>477</v>
      </c>
      <c r="K364" s="11">
        <v>1</v>
      </c>
      <c r="L364" s="11">
        <v>10</v>
      </c>
      <c r="M364" s="11">
        <v>4</v>
      </c>
      <c r="N364" s="6" t="s">
        <v>560</v>
      </c>
      <c r="O364" s="4">
        <v>25.7</v>
      </c>
      <c r="P364" s="4">
        <v>20.8</v>
      </c>
      <c r="Q364" s="4">
        <v>6.3</v>
      </c>
      <c r="R364" s="4">
        <v>179</v>
      </c>
      <c r="S364" s="4">
        <f t="shared" si="20"/>
        <v>0.17899999999999999</v>
      </c>
      <c r="T364" s="4">
        <f t="shared" si="21"/>
        <v>2.0894941634241243E-2</v>
      </c>
      <c r="V364" s="4" t="s">
        <v>533</v>
      </c>
      <c r="W364" s="4" t="s">
        <v>393</v>
      </c>
    </row>
    <row r="365" spans="1:23" ht="12.75" customHeight="1">
      <c r="A365" s="4" t="s">
        <v>394</v>
      </c>
      <c r="B365" s="14" t="s">
        <v>472</v>
      </c>
      <c r="C365" s="4" t="s">
        <v>474</v>
      </c>
      <c r="D365" s="4" t="s">
        <v>475</v>
      </c>
      <c r="E365" s="4" t="s">
        <v>476</v>
      </c>
      <c r="F365" s="4" t="s">
        <v>474</v>
      </c>
      <c r="G365" s="4" t="s">
        <v>478</v>
      </c>
      <c r="H365" s="4" t="s">
        <v>462</v>
      </c>
      <c r="I365" s="8">
        <v>45245</v>
      </c>
      <c r="J365" s="4" t="s">
        <v>477</v>
      </c>
      <c r="K365" s="11">
        <v>1</v>
      </c>
      <c r="L365" s="11">
        <v>10</v>
      </c>
      <c r="M365" s="11">
        <v>4</v>
      </c>
      <c r="N365" s="6" t="s">
        <v>479</v>
      </c>
      <c r="O365" s="4">
        <v>43.1</v>
      </c>
      <c r="P365" s="4">
        <v>33.799999999999997</v>
      </c>
      <c r="Q365" s="4">
        <v>9</v>
      </c>
      <c r="R365" s="4">
        <v>641</v>
      </c>
      <c r="S365" s="4">
        <f t="shared" si="20"/>
        <v>0.64100000000000001</v>
      </c>
      <c r="T365" s="4">
        <f t="shared" si="21"/>
        <v>4.4617169373549884E-2</v>
      </c>
      <c r="V365" s="4" t="s">
        <v>533</v>
      </c>
      <c r="W365" s="4" t="s">
        <v>394</v>
      </c>
    </row>
    <row r="366" spans="1:23" ht="12.75" customHeight="1">
      <c r="A366" s="4" t="s">
        <v>395</v>
      </c>
      <c r="B366" s="14" t="s">
        <v>472</v>
      </c>
      <c r="C366" s="4" t="s">
        <v>474</v>
      </c>
      <c r="D366" s="4" t="s">
        <v>475</v>
      </c>
      <c r="E366" s="4" t="s">
        <v>476</v>
      </c>
      <c r="F366" s="4" t="s">
        <v>474</v>
      </c>
      <c r="G366" s="4" t="s">
        <v>478</v>
      </c>
      <c r="H366" s="4" t="s">
        <v>462</v>
      </c>
      <c r="I366" s="8">
        <v>45245</v>
      </c>
      <c r="J366" s="4" t="s">
        <v>477</v>
      </c>
      <c r="K366" s="11">
        <v>1</v>
      </c>
      <c r="L366" s="11">
        <v>10</v>
      </c>
      <c r="M366" s="11">
        <v>4</v>
      </c>
      <c r="N366" s="6" t="s">
        <v>479</v>
      </c>
      <c r="O366" s="4">
        <v>29.4</v>
      </c>
      <c r="P366" s="4">
        <v>23.9</v>
      </c>
      <c r="Q366" s="4">
        <v>5.6</v>
      </c>
      <c r="R366" s="4">
        <v>237</v>
      </c>
      <c r="S366" s="4">
        <f t="shared" si="20"/>
        <v>0.23699999999999999</v>
      </c>
      <c r="T366" s="4">
        <f t="shared" si="21"/>
        <v>2.4183673469387754E-2</v>
      </c>
      <c r="V366" s="4" t="s">
        <v>533</v>
      </c>
      <c r="W366" s="4" t="s">
        <v>395</v>
      </c>
    </row>
    <row r="367" spans="1:23" ht="12.75" customHeight="1">
      <c r="A367" s="4" t="s">
        <v>396</v>
      </c>
      <c r="B367" s="14" t="s">
        <v>472</v>
      </c>
      <c r="C367" s="4" t="s">
        <v>474</v>
      </c>
      <c r="D367" s="4" t="s">
        <v>475</v>
      </c>
      <c r="E367" s="4" t="s">
        <v>476</v>
      </c>
      <c r="F367" s="4" t="s">
        <v>474</v>
      </c>
      <c r="G367" s="4" t="s">
        <v>478</v>
      </c>
      <c r="H367" s="4" t="s">
        <v>462</v>
      </c>
      <c r="I367" s="8">
        <v>45245</v>
      </c>
      <c r="J367" s="4" t="s">
        <v>477</v>
      </c>
      <c r="K367" s="11">
        <v>1</v>
      </c>
      <c r="L367" s="11">
        <v>10</v>
      </c>
      <c r="M367" s="11">
        <v>4</v>
      </c>
      <c r="N367" s="6" t="s">
        <v>560</v>
      </c>
      <c r="O367" s="4">
        <v>29.2</v>
      </c>
      <c r="P367" s="4">
        <v>22.9</v>
      </c>
      <c r="Q367" s="4">
        <v>5.8</v>
      </c>
      <c r="R367" s="4">
        <v>166</v>
      </c>
      <c r="S367" s="4">
        <f t="shared" si="20"/>
        <v>0.16600000000000001</v>
      </c>
      <c r="T367" s="4">
        <f t="shared" si="21"/>
        <v>1.7054794520547947E-2</v>
      </c>
      <c r="V367" s="4" t="s">
        <v>533</v>
      </c>
      <c r="W367" s="4" t="s">
        <v>396</v>
      </c>
    </row>
    <row r="368" spans="1:23" ht="12.75" customHeight="1">
      <c r="A368" s="4" t="s">
        <v>397</v>
      </c>
      <c r="B368" s="14" t="s">
        <v>472</v>
      </c>
      <c r="C368" s="4" t="s">
        <v>474</v>
      </c>
      <c r="D368" s="4" t="s">
        <v>475</v>
      </c>
      <c r="E368" s="4" t="s">
        <v>476</v>
      </c>
      <c r="F368" s="4" t="s">
        <v>474</v>
      </c>
      <c r="G368" s="4" t="s">
        <v>478</v>
      </c>
      <c r="H368" s="4" t="s">
        <v>462</v>
      </c>
      <c r="I368" s="8">
        <v>45245</v>
      </c>
      <c r="J368" s="4" t="s">
        <v>477</v>
      </c>
      <c r="K368" s="11">
        <v>1</v>
      </c>
      <c r="L368" s="11">
        <v>10</v>
      </c>
      <c r="M368" s="11">
        <v>4</v>
      </c>
      <c r="N368" s="6" t="s">
        <v>482</v>
      </c>
      <c r="O368" s="4">
        <v>35.299999999999997</v>
      </c>
      <c r="P368" s="4">
        <v>26.4</v>
      </c>
      <c r="Q368" s="4">
        <v>8.3000000000000007</v>
      </c>
      <c r="R368" s="4">
        <v>363</v>
      </c>
      <c r="S368" s="4">
        <f t="shared" si="20"/>
        <v>0.36299999999999999</v>
      </c>
      <c r="T368" s="4">
        <f t="shared" si="21"/>
        <v>3.0849858356940513E-2</v>
      </c>
      <c r="V368" s="4" t="s">
        <v>533</v>
      </c>
      <c r="W368" s="4" t="s">
        <v>397</v>
      </c>
    </row>
    <row r="369" spans="1:23" ht="12.75" customHeight="1">
      <c r="A369" s="4" t="s">
        <v>398</v>
      </c>
      <c r="B369" s="14" t="s">
        <v>472</v>
      </c>
      <c r="C369" s="4" t="s">
        <v>474</v>
      </c>
      <c r="D369" s="4" t="s">
        <v>475</v>
      </c>
      <c r="E369" s="4" t="s">
        <v>476</v>
      </c>
      <c r="F369" s="4" t="s">
        <v>474</v>
      </c>
      <c r="G369" s="4" t="s">
        <v>478</v>
      </c>
      <c r="H369" s="4" t="s">
        <v>462</v>
      </c>
      <c r="I369" s="8">
        <v>45245</v>
      </c>
      <c r="J369" s="4" t="s">
        <v>477</v>
      </c>
      <c r="K369" s="11">
        <v>1</v>
      </c>
      <c r="L369" s="11">
        <v>10</v>
      </c>
      <c r="M369" s="11">
        <v>4</v>
      </c>
      <c r="N369" s="6" t="s">
        <v>560</v>
      </c>
      <c r="O369" s="4">
        <v>17</v>
      </c>
      <c r="P369" s="4">
        <v>12.9</v>
      </c>
      <c r="Q369" s="4">
        <v>2.4</v>
      </c>
      <c r="R369" s="4">
        <v>36</v>
      </c>
      <c r="S369" s="4">
        <f t="shared" si="20"/>
        <v>3.5999999999999997E-2</v>
      </c>
      <c r="T369" s="4">
        <f t="shared" si="21"/>
        <v>6.3529411764705872E-3</v>
      </c>
      <c r="V369" s="4" t="s">
        <v>533</v>
      </c>
      <c r="W369" s="4" t="s">
        <v>398</v>
      </c>
    </row>
    <row r="370" spans="1:23" ht="12.75" customHeight="1">
      <c r="A370" s="4" t="s">
        <v>399</v>
      </c>
      <c r="B370" s="14" t="s">
        <v>472</v>
      </c>
      <c r="C370" s="4" t="s">
        <v>474</v>
      </c>
      <c r="D370" s="4" t="s">
        <v>475</v>
      </c>
      <c r="E370" s="4" t="s">
        <v>476</v>
      </c>
      <c r="F370" s="4" t="s">
        <v>474</v>
      </c>
      <c r="G370" s="4" t="s">
        <v>478</v>
      </c>
      <c r="H370" s="4" t="s">
        <v>462</v>
      </c>
      <c r="I370" s="8">
        <v>45245</v>
      </c>
      <c r="J370" s="4" t="s">
        <v>477</v>
      </c>
      <c r="K370" s="11">
        <v>1</v>
      </c>
      <c r="L370" s="11">
        <v>10</v>
      </c>
      <c r="M370" s="11">
        <v>4</v>
      </c>
      <c r="N370" s="6" t="s">
        <v>473</v>
      </c>
      <c r="O370" s="4">
        <v>22.1</v>
      </c>
      <c r="P370" s="4">
        <v>17.5</v>
      </c>
      <c r="Q370" s="4">
        <v>3.9</v>
      </c>
      <c r="R370" s="4">
        <v>73</v>
      </c>
      <c r="S370" s="4">
        <f t="shared" si="20"/>
        <v>7.2999999999999995E-2</v>
      </c>
      <c r="T370" s="4">
        <f t="shared" si="21"/>
        <v>9.9095022624434374E-3</v>
      </c>
      <c r="V370" s="4" t="s">
        <v>533</v>
      </c>
      <c r="W370" s="4" t="s">
        <v>399</v>
      </c>
    </row>
    <row r="371" spans="1:23" ht="12.75" customHeight="1">
      <c r="A371" s="4" t="s">
        <v>400</v>
      </c>
      <c r="B371" s="14" t="s">
        <v>472</v>
      </c>
      <c r="C371" s="4" t="s">
        <v>474</v>
      </c>
      <c r="D371" s="4" t="s">
        <v>475</v>
      </c>
      <c r="E371" s="4" t="s">
        <v>476</v>
      </c>
      <c r="F371" s="4" t="s">
        <v>474</v>
      </c>
      <c r="G371" s="4" t="s">
        <v>478</v>
      </c>
      <c r="H371" s="4" t="s">
        <v>462</v>
      </c>
      <c r="I371" s="8">
        <v>45245</v>
      </c>
      <c r="J371" s="4" t="s">
        <v>477</v>
      </c>
      <c r="K371" s="11">
        <v>1</v>
      </c>
      <c r="L371" s="11">
        <v>10</v>
      </c>
      <c r="M371" s="11">
        <v>4</v>
      </c>
      <c r="N371" s="6" t="s">
        <v>560</v>
      </c>
      <c r="O371" s="4">
        <v>31</v>
      </c>
      <c r="P371" s="4">
        <v>23.8</v>
      </c>
      <c r="Q371" s="4">
        <v>6.7</v>
      </c>
      <c r="R371" s="4">
        <v>281</v>
      </c>
      <c r="S371" s="4">
        <f t="shared" si="20"/>
        <v>0.28100000000000003</v>
      </c>
      <c r="T371" s="4">
        <f t="shared" si="21"/>
        <v>2.7193548387096776E-2</v>
      </c>
      <c r="V371" s="4" t="s">
        <v>533</v>
      </c>
      <c r="W371" s="4" t="s">
        <v>400</v>
      </c>
    </row>
    <row r="372" spans="1:23" ht="12.75" customHeight="1">
      <c r="A372" s="4" t="s">
        <v>401</v>
      </c>
      <c r="B372" s="14" t="s">
        <v>472</v>
      </c>
      <c r="C372" s="4" t="s">
        <v>474</v>
      </c>
      <c r="D372" s="4" t="s">
        <v>475</v>
      </c>
      <c r="E372" s="4" t="s">
        <v>476</v>
      </c>
      <c r="F372" s="4" t="s">
        <v>474</v>
      </c>
      <c r="G372" s="4" t="s">
        <v>478</v>
      </c>
      <c r="H372" s="4" t="s">
        <v>462</v>
      </c>
      <c r="I372" s="8">
        <v>45245</v>
      </c>
      <c r="J372" s="4" t="s">
        <v>477</v>
      </c>
      <c r="K372" s="11">
        <v>1</v>
      </c>
      <c r="L372" s="11">
        <v>10</v>
      </c>
      <c r="M372" s="11">
        <v>4</v>
      </c>
      <c r="N372" s="6" t="s">
        <v>560</v>
      </c>
      <c r="O372" s="4">
        <v>27.1</v>
      </c>
      <c r="P372" s="4">
        <v>22.1</v>
      </c>
      <c r="Q372" s="4">
        <v>6.3</v>
      </c>
      <c r="R372" s="4">
        <v>204</v>
      </c>
      <c r="S372" s="4">
        <f t="shared" si="20"/>
        <v>0.20399999999999999</v>
      </c>
      <c r="T372" s="4">
        <f t="shared" si="21"/>
        <v>2.2583025830258299E-2</v>
      </c>
      <c r="V372" s="4" t="s">
        <v>533</v>
      </c>
      <c r="W372" s="4" t="s">
        <v>401</v>
      </c>
    </row>
    <row r="373" spans="1:23" ht="12.75" customHeight="1">
      <c r="A373" s="4" t="s">
        <v>402</v>
      </c>
      <c r="B373" s="14" t="s">
        <v>472</v>
      </c>
      <c r="C373" s="4" t="s">
        <v>474</v>
      </c>
      <c r="D373" s="4" t="s">
        <v>475</v>
      </c>
      <c r="E373" s="4" t="s">
        <v>476</v>
      </c>
      <c r="F373" s="4" t="s">
        <v>474</v>
      </c>
      <c r="G373" s="4" t="s">
        <v>478</v>
      </c>
      <c r="H373" s="4" t="s">
        <v>462</v>
      </c>
      <c r="I373" s="8">
        <v>45245</v>
      </c>
      <c r="J373" s="4" t="s">
        <v>477</v>
      </c>
      <c r="K373" s="11">
        <v>1</v>
      </c>
      <c r="L373" s="11">
        <v>10</v>
      </c>
      <c r="M373" s="11">
        <v>4</v>
      </c>
      <c r="N373" s="6" t="s">
        <v>560</v>
      </c>
      <c r="O373" s="4">
        <v>24.3</v>
      </c>
      <c r="P373" s="4">
        <v>20.2</v>
      </c>
      <c r="Q373" s="4">
        <v>5.5</v>
      </c>
      <c r="R373" s="4">
        <v>135</v>
      </c>
      <c r="S373" s="4">
        <f t="shared" si="20"/>
        <v>0.13500000000000001</v>
      </c>
      <c r="T373" s="4">
        <f t="shared" si="21"/>
        <v>1.6666666666666666E-2</v>
      </c>
      <c r="V373" s="4" t="s">
        <v>533</v>
      </c>
      <c r="W373" s="4" t="s">
        <v>402</v>
      </c>
    </row>
    <row r="374" spans="1:23" ht="12.75" customHeight="1">
      <c r="A374" s="4" t="s">
        <v>403</v>
      </c>
      <c r="B374" s="14" t="s">
        <v>472</v>
      </c>
      <c r="C374" s="4" t="s">
        <v>474</v>
      </c>
      <c r="D374" s="4" t="s">
        <v>475</v>
      </c>
      <c r="E374" s="4" t="s">
        <v>476</v>
      </c>
      <c r="F374" s="4" t="s">
        <v>474</v>
      </c>
      <c r="G374" s="4" t="s">
        <v>478</v>
      </c>
      <c r="H374" s="4" t="s">
        <v>462</v>
      </c>
      <c r="I374" s="8">
        <v>45245</v>
      </c>
      <c r="J374" s="4" t="s">
        <v>477</v>
      </c>
      <c r="K374" s="11">
        <v>1</v>
      </c>
      <c r="L374" s="11">
        <v>10</v>
      </c>
      <c r="M374" s="11">
        <v>4</v>
      </c>
      <c r="N374" s="6" t="s">
        <v>473</v>
      </c>
      <c r="O374" s="4">
        <v>22.9</v>
      </c>
      <c r="P374" s="4">
        <v>18.399999999999999</v>
      </c>
      <c r="Q374" s="4">
        <v>4.2</v>
      </c>
      <c r="R374" s="4">
        <v>92</v>
      </c>
      <c r="S374" s="4">
        <f t="shared" si="20"/>
        <v>9.1999999999999998E-2</v>
      </c>
      <c r="T374" s="4">
        <f t="shared" si="21"/>
        <v>1.2052401746724891E-2</v>
      </c>
      <c r="V374" s="4" t="s">
        <v>533</v>
      </c>
      <c r="W374" s="4" t="s">
        <v>403</v>
      </c>
    </row>
    <row r="375" spans="1:23" ht="12.75" customHeight="1">
      <c r="A375" s="4" t="s">
        <v>404</v>
      </c>
      <c r="B375" s="14" t="s">
        <v>472</v>
      </c>
      <c r="C375" s="4" t="s">
        <v>474</v>
      </c>
      <c r="D375" s="4" t="s">
        <v>475</v>
      </c>
      <c r="E375" s="4" t="s">
        <v>476</v>
      </c>
      <c r="F375" s="4" t="s">
        <v>474</v>
      </c>
      <c r="G375" s="4" t="s">
        <v>478</v>
      </c>
      <c r="H375" s="4" t="s">
        <v>462</v>
      </c>
      <c r="I375" s="8">
        <v>45245</v>
      </c>
      <c r="J375" s="4" t="s">
        <v>477</v>
      </c>
      <c r="K375" s="11">
        <v>1</v>
      </c>
      <c r="L375" s="11">
        <v>10</v>
      </c>
      <c r="M375" s="11">
        <v>4</v>
      </c>
      <c r="N375" s="6" t="s">
        <v>560</v>
      </c>
      <c r="O375" s="4">
        <v>24.3</v>
      </c>
      <c r="P375" s="4">
        <v>20.3</v>
      </c>
      <c r="Q375" s="4">
        <v>5.0999999999999996</v>
      </c>
      <c r="R375" s="4">
        <v>156</v>
      </c>
      <c r="S375" s="4">
        <f t="shared" si="20"/>
        <v>0.156</v>
      </c>
      <c r="T375" s="4">
        <f t="shared" si="21"/>
        <v>1.9259259259259257E-2</v>
      </c>
      <c r="V375" s="4" t="s">
        <v>533</v>
      </c>
      <c r="W375" s="4" t="s">
        <v>404</v>
      </c>
    </row>
    <row r="376" spans="1:23" ht="12.75" customHeight="1">
      <c r="A376" s="4" t="s">
        <v>405</v>
      </c>
      <c r="B376" s="14" t="s">
        <v>472</v>
      </c>
      <c r="C376" s="4" t="s">
        <v>474</v>
      </c>
      <c r="D376" s="4" t="s">
        <v>475</v>
      </c>
      <c r="E376" s="4" t="s">
        <v>476</v>
      </c>
      <c r="F376" s="4" t="s">
        <v>474</v>
      </c>
      <c r="G376" s="4" t="s">
        <v>478</v>
      </c>
      <c r="H376" s="4" t="s">
        <v>462</v>
      </c>
      <c r="I376" s="8">
        <v>45245</v>
      </c>
      <c r="J376" s="4" t="s">
        <v>477</v>
      </c>
      <c r="K376" s="11">
        <v>1</v>
      </c>
      <c r="L376" s="11">
        <v>10</v>
      </c>
      <c r="M376" s="11">
        <v>4</v>
      </c>
      <c r="N376" s="6" t="s">
        <v>560</v>
      </c>
      <c r="O376" s="4">
        <v>29.5</v>
      </c>
      <c r="P376" s="4">
        <v>23.2</v>
      </c>
      <c r="Q376" s="4">
        <v>6</v>
      </c>
      <c r="R376" s="4">
        <v>256</v>
      </c>
      <c r="S376" s="4">
        <f t="shared" si="20"/>
        <v>0.25600000000000001</v>
      </c>
      <c r="T376" s="4">
        <f t="shared" si="21"/>
        <v>2.6033898305084745E-2</v>
      </c>
      <c r="V376" s="4" t="s">
        <v>533</v>
      </c>
      <c r="W376" s="4" t="s">
        <v>405</v>
      </c>
    </row>
    <row r="377" spans="1:23" ht="12.75" customHeight="1">
      <c r="A377" s="4" t="s">
        <v>406</v>
      </c>
      <c r="B377" s="14" t="s">
        <v>472</v>
      </c>
      <c r="C377" s="4" t="s">
        <v>474</v>
      </c>
      <c r="D377" s="4" t="s">
        <v>475</v>
      </c>
      <c r="E377" s="4" t="s">
        <v>476</v>
      </c>
      <c r="F377" s="4" t="s">
        <v>474</v>
      </c>
      <c r="G377" s="4" t="s">
        <v>478</v>
      </c>
      <c r="H377" s="4" t="s">
        <v>462</v>
      </c>
      <c r="I377" s="8">
        <v>45245</v>
      </c>
      <c r="J377" s="4" t="s">
        <v>477</v>
      </c>
      <c r="K377" s="11">
        <v>1</v>
      </c>
      <c r="L377" s="11">
        <v>10</v>
      </c>
      <c r="M377" s="11">
        <v>4</v>
      </c>
      <c r="N377" s="6" t="s">
        <v>560</v>
      </c>
      <c r="O377" s="4">
        <v>26.8</v>
      </c>
      <c r="P377" s="4">
        <v>22.1</v>
      </c>
      <c r="Q377" s="4">
        <v>6.9</v>
      </c>
      <c r="R377" s="4">
        <v>206</v>
      </c>
      <c r="S377" s="4">
        <f t="shared" si="20"/>
        <v>0.20599999999999999</v>
      </c>
      <c r="T377" s="4">
        <f t="shared" si="21"/>
        <v>2.3059701492537311E-2</v>
      </c>
      <c r="V377" s="4" t="s">
        <v>533</v>
      </c>
      <c r="W377" s="4" t="s">
        <v>406</v>
      </c>
    </row>
    <row r="378" spans="1:23" ht="12.75" customHeight="1">
      <c r="A378" s="4" t="s">
        <v>407</v>
      </c>
      <c r="B378" s="14" t="s">
        <v>472</v>
      </c>
      <c r="C378" s="4" t="s">
        <v>474</v>
      </c>
      <c r="D378" s="4" t="s">
        <v>475</v>
      </c>
      <c r="E378" s="4" t="s">
        <v>476</v>
      </c>
      <c r="F378" s="4" t="s">
        <v>474</v>
      </c>
      <c r="G378" s="4" t="s">
        <v>478</v>
      </c>
      <c r="H378" s="4" t="s">
        <v>462</v>
      </c>
      <c r="I378" s="8">
        <v>45245</v>
      </c>
      <c r="J378" s="4" t="s">
        <v>477</v>
      </c>
      <c r="K378" s="11">
        <v>1</v>
      </c>
      <c r="L378" s="11">
        <v>10</v>
      </c>
      <c r="M378" s="11">
        <v>4</v>
      </c>
      <c r="N378" s="6" t="s">
        <v>560</v>
      </c>
      <c r="O378" s="4">
        <v>14.3</v>
      </c>
      <c r="P378" s="4">
        <v>11.2</v>
      </c>
      <c r="Q378" s="4">
        <v>2.2999999999999998</v>
      </c>
      <c r="R378" s="4">
        <v>29</v>
      </c>
      <c r="S378" s="4">
        <f t="shared" si="20"/>
        <v>2.9000000000000001E-2</v>
      </c>
      <c r="T378" s="4">
        <f t="shared" si="21"/>
        <v>6.0839160839160841E-3</v>
      </c>
      <c r="V378" s="4" t="s">
        <v>533</v>
      </c>
      <c r="W378" s="4" t="s">
        <v>407</v>
      </c>
    </row>
    <row r="379" spans="1:23" ht="12.75" customHeight="1">
      <c r="A379" s="4" t="s">
        <v>408</v>
      </c>
      <c r="B379" s="14" t="s">
        <v>472</v>
      </c>
      <c r="C379" s="4" t="s">
        <v>474</v>
      </c>
      <c r="D379" s="4" t="s">
        <v>475</v>
      </c>
      <c r="E379" s="4" t="s">
        <v>476</v>
      </c>
      <c r="F379" s="4" t="s">
        <v>474</v>
      </c>
      <c r="G379" s="4" t="s">
        <v>478</v>
      </c>
      <c r="H379" s="4" t="s">
        <v>462</v>
      </c>
      <c r="I379" s="8">
        <v>45245</v>
      </c>
      <c r="J379" s="4" t="s">
        <v>477</v>
      </c>
      <c r="K379" s="11">
        <v>1</v>
      </c>
      <c r="L379" s="11">
        <v>10</v>
      </c>
      <c r="M379" s="11">
        <v>4</v>
      </c>
      <c r="N379" s="6" t="s">
        <v>473</v>
      </c>
      <c r="O379" s="4">
        <v>27.5</v>
      </c>
      <c r="P379" s="4">
        <v>21</v>
      </c>
      <c r="Q379" s="4">
        <v>3.6</v>
      </c>
      <c r="R379" s="4">
        <v>123</v>
      </c>
      <c r="S379" s="4">
        <f t="shared" si="20"/>
        <v>0.123</v>
      </c>
      <c r="T379" s="4">
        <f t="shared" si="21"/>
        <v>1.3418181818181817E-2</v>
      </c>
      <c r="V379" s="4" t="s">
        <v>533</v>
      </c>
      <c r="W379" s="4" t="s">
        <v>408</v>
      </c>
    </row>
    <row r="380" spans="1:23" ht="12.75" customHeight="1">
      <c r="A380" s="4" t="s">
        <v>409</v>
      </c>
      <c r="B380" s="14" t="s">
        <v>472</v>
      </c>
      <c r="C380" s="4" t="s">
        <v>474</v>
      </c>
      <c r="D380" s="4" t="s">
        <v>475</v>
      </c>
      <c r="E380" s="4" t="s">
        <v>476</v>
      </c>
      <c r="F380" s="4" t="s">
        <v>474</v>
      </c>
      <c r="G380" s="4" t="s">
        <v>478</v>
      </c>
      <c r="H380" s="4" t="s">
        <v>462</v>
      </c>
      <c r="I380" s="8">
        <v>45245</v>
      </c>
      <c r="J380" s="4" t="s">
        <v>477</v>
      </c>
      <c r="K380" s="11">
        <v>1</v>
      </c>
      <c r="L380" s="11">
        <v>10</v>
      </c>
      <c r="M380" s="11">
        <v>4</v>
      </c>
      <c r="N380" s="6" t="s">
        <v>560</v>
      </c>
      <c r="O380" s="4">
        <v>16.399999999999999</v>
      </c>
      <c r="P380" s="4">
        <v>13.2</v>
      </c>
      <c r="Q380" s="4">
        <v>3.3</v>
      </c>
      <c r="R380" s="4">
        <v>41</v>
      </c>
      <c r="S380" s="4">
        <f t="shared" si="20"/>
        <v>4.1000000000000002E-2</v>
      </c>
      <c r="T380" s="4">
        <f t="shared" si="21"/>
        <v>7.5000000000000015E-3</v>
      </c>
      <c r="V380" s="4" t="s">
        <v>533</v>
      </c>
      <c r="W380" s="4" t="s">
        <v>409</v>
      </c>
    </row>
    <row r="381" spans="1:23" ht="12.75" customHeight="1">
      <c r="A381" s="4" t="s">
        <v>410</v>
      </c>
      <c r="B381" s="14" t="s">
        <v>472</v>
      </c>
      <c r="C381" s="4" t="s">
        <v>474</v>
      </c>
      <c r="D381" s="4" t="s">
        <v>475</v>
      </c>
      <c r="E381" s="4" t="s">
        <v>476</v>
      </c>
      <c r="F381" s="4" t="s">
        <v>474</v>
      </c>
      <c r="G381" s="4" t="s">
        <v>478</v>
      </c>
      <c r="H381" s="4" t="s">
        <v>462</v>
      </c>
      <c r="I381" s="8">
        <v>45245</v>
      </c>
      <c r="J381" s="4" t="s">
        <v>477</v>
      </c>
      <c r="K381" s="11">
        <v>1</v>
      </c>
      <c r="L381" s="11">
        <v>10</v>
      </c>
      <c r="M381" s="11">
        <v>4</v>
      </c>
      <c r="N381" s="6" t="s">
        <v>560</v>
      </c>
      <c r="O381" s="4">
        <v>27.6</v>
      </c>
      <c r="P381" s="4">
        <v>22.2</v>
      </c>
      <c r="Q381" s="4">
        <v>6</v>
      </c>
      <c r="R381" s="4">
        <v>189</v>
      </c>
      <c r="S381" s="4">
        <f t="shared" si="20"/>
        <v>0.189</v>
      </c>
      <c r="T381" s="4">
        <f t="shared" si="21"/>
        <v>2.0543478260869566E-2</v>
      </c>
      <c r="V381" s="4" t="s">
        <v>533</v>
      </c>
      <c r="W381" s="4" t="s">
        <v>410</v>
      </c>
    </row>
    <row r="382" spans="1:23" ht="12.75" customHeight="1">
      <c r="A382" s="4" t="s">
        <v>411</v>
      </c>
      <c r="B382" s="14" t="s">
        <v>472</v>
      </c>
      <c r="C382" s="4" t="s">
        <v>474</v>
      </c>
      <c r="D382" s="4" t="s">
        <v>475</v>
      </c>
      <c r="E382" s="4" t="s">
        <v>476</v>
      </c>
      <c r="F382" s="4" t="s">
        <v>474</v>
      </c>
      <c r="G382" s="4" t="s">
        <v>478</v>
      </c>
      <c r="H382" s="4" t="s">
        <v>462</v>
      </c>
      <c r="I382" s="8">
        <v>45245</v>
      </c>
      <c r="J382" s="4" t="s">
        <v>477</v>
      </c>
      <c r="K382" s="11">
        <v>1</v>
      </c>
      <c r="L382" s="11">
        <v>10</v>
      </c>
      <c r="M382" s="11">
        <v>4</v>
      </c>
      <c r="N382" s="6" t="s">
        <v>560</v>
      </c>
      <c r="O382" s="4">
        <v>31.3</v>
      </c>
      <c r="P382" s="4">
        <v>24.6</v>
      </c>
      <c r="Q382" s="4">
        <v>6.9</v>
      </c>
      <c r="R382" s="4">
        <v>238</v>
      </c>
      <c r="S382" s="4">
        <f t="shared" si="20"/>
        <v>0.23799999999999999</v>
      </c>
      <c r="T382" s="4">
        <f t="shared" si="21"/>
        <v>2.2811501597444089E-2</v>
      </c>
      <c r="V382" s="4" t="s">
        <v>533</v>
      </c>
      <c r="W382" s="4" t="s">
        <v>411</v>
      </c>
    </row>
    <row r="383" spans="1:23" ht="12.75" customHeight="1">
      <c r="A383" s="4" t="s">
        <v>412</v>
      </c>
      <c r="B383" s="14" t="s">
        <v>472</v>
      </c>
      <c r="C383" s="4" t="s">
        <v>474</v>
      </c>
      <c r="D383" s="4" t="s">
        <v>475</v>
      </c>
      <c r="E383" s="4" t="s">
        <v>476</v>
      </c>
      <c r="F383" s="4" t="s">
        <v>474</v>
      </c>
      <c r="G383" s="4" t="s">
        <v>478</v>
      </c>
      <c r="H383" s="4" t="s">
        <v>462</v>
      </c>
      <c r="I383" s="8">
        <v>45245</v>
      </c>
      <c r="J383" s="4" t="s">
        <v>477</v>
      </c>
      <c r="K383" s="11">
        <v>1</v>
      </c>
      <c r="L383" s="11">
        <v>10</v>
      </c>
      <c r="M383" s="11">
        <v>4</v>
      </c>
      <c r="N383" s="6" t="s">
        <v>560</v>
      </c>
      <c r="O383" s="4">
        <v>29</v>
      </c>
      <c r="P383" s="4">
        <v>23.4</v>
      </c>
      <c r="Q383" s="4">
        <v>6</v>
      </c>
      <c r="R383" s="4">
        <v>216</v>
      </c>
      <c r="S383" s="4">
        <f t="shared" si="20"/>
        <v>0.216</v>
      </c>
      <c r="T383" s="4">
        <f t="shared" si="21"/>
        <v>2.2344827586206897E-2</v>
      </c>
      <c r="V383" s="4" t="s">
        <v>533</v>
      </c>
      <c r="W383" s="4" t="s">
        <v>412</v>
      </c>
    </row>
    <row r="384" spans="1:23" ht="12.75" customHeight="1">
      <c r="A384" s="4" t="s">
        <v>413</v>
      </c>
      <c r="B384" s="14" t="s">
        <v>472</v>
      </c>
      <c r="C384" s="4" t="s">
        <v>474</v>
      </c>
      <c r="D384" s="4" t="s">
        <v>475</v>
      </c>
      <c r="E384" s="4" t="s">
        <v>476</v>
      </c>
      <c r="F384" s="4" t="s">
        <v>474</v>
      </c>
      <c r="G384" s="4" t="s">
        <v>478</v>
      </c>
      <c r="H384" s="4" t="s">
        <v>462</v>
      </c>
      <c r="I384" s="8">
        <v>45245</v>
      </c>
      <c r="J384" s="4" t="s">
        <v>477</v>
      </c>
      <c r="K384" s="11">
        <v>1</v>
      </c>
      <c r="L384" s="11">
        <v>10</v>
      </c>
      <c r="M384" s="11">
        <v>4</v>
      </c>
      <c r="N384" s="6" t="s">
        <v>560</v>
      </c>
      <c r="O384" s="4">
        <v>29.5</v>
      </c>
      <c r="P384" s="4">
        <v>24.2</v>
      </c>
      <c r="Q384" s="4">
        <v>6.1</v>
      </c>
      <c r="R384" s="4">
        <v>211</v>
      </c>
      <c r="S384" s="4">
        <f t="shared" si="20"/>
        <v>0.21099999999999999</v>
      </c>
      <c r="T384" s="4">
        <f t="shared" si="21"/>
        <v>2.1457627118644067E-2</v>
      </c>
      <c r="V384" s="4" t="s">
        <v>533</v>
      </c>
      <c r="W384" s="4" t="s">
        <v>413</v>
      </c>
    </row>
    <row r="385" spans="1:23" ht="12.75" customHeight="1">
      <c r="A385" s="4" t="s">
        <v>414</v>
      </c>
      <c r="B385" s="14" t="s">
        <v>472</v>
      </c>
      <c r="C385" s="4" t="s">
        <v>474</v>
      </c>
      <c r="D385" s="4" t="s">
        <v>475</v>
      </c>
      <c r="E385" s="4" t="s">
        <v>476</v>
      </c>
      <c r="F385" s="4" t="s">
        <v>474</v>
      </c>
      <c r="G385" s="4" t="s">
        <v>478</v>
      </c>
      <c r="H385" s="4" t="s">
        <v>462</v>
      </c>
      <c r="I385" s="8">
        <v>45245</v>
      </c>
      <c r="J385" s="4" t="s">
        <v>477</v>
      </c>
      <c r="K385" s="11">
        <v>1</v>
      </c>
      <c r="L385" s="11">
        <v>10</v>
      </c>
      <c r="M385" s="11">
        <v>4</v>
      </c>
      <c r="N385" s="6" t="s">
        <v>560</v>
      </c>
      <c r="O385" s="4">
        <v>24.5</v>
      </c>
      <c r="P385" s="4">
        <v>20.100000000000001</v>
      </c>
      <c r="Q385" s="4">
        <v>4.9000000000000004</v>
      </c>
      <c r="R385" s="4">
        <v>213</v>
      </c>
      <c r="S385" s="4">
        <f t="shared" si="20"/>
        <v>0.21299999999999999</v>
      </c>
      <c r="T385" s="4">
        <f t="shared" si="21"/>
        <v>2.6081632653061224E-2</v>
      </c>
      <c r="V385" s="4" t="s">
        <v>533</v>
      </c>
      <c r="W385" s="4" t="s">
        <v>414</v>
      </c>
    </row>
    <row r="386" spans="1:23" ht="12.75" customHeight="1">
      <c r="A386" s="4" t="s">
        <v>415</v>
      </c>
      <c r="B386" s="14" t="s">
        <v>472</v>
      </c>
      <c r="C386" s="4" t="s">
        <v>474</v>
      </c>
      <c r="D386" s="4" t="s">
        <v>475</v>
      </c>
      <c r="E386" s="4" t="s">
        <v>476</v>
      </c>
      <c r="F386" s="4" t="s">
        <v>474</v>
      </c>
      <c r="G386" s="4" t="s">
        <v>478</v>
      </c>
      <c r="H386" s="4" t="s">
        <v>462</v>
      </c>
      <c r="I386" s="8">
        <v>45245</v>
      </c>
      <c r="J386" s="4" t="s">
        <v>477</v>
      </c>
      <c r="K386" s="11">
        <v>1</v>
      </c>
      <c r="L386" s="11">
        <v>10</v>
      </c>
      <c r="M386" s="11">
        <v>4</v>
      </c>
      <c r="N386" s="6" t="s">
        <v>560</v>
      </c>
      <c r="O386" s="4">
        <v>26.3</v>
      </c>
      <c r="P386" s="4">
        <v>21.7</v>
      </c>
      <c r="Q386" s="4">
        <v>6</v>
      </c>
      <c r="R386" s="4">
        <v>178</v>
      </c>
      <c r="S386" s="4">
        <f t="shared" si="20"/>
        <v>0.17799999999999999</v>
      </c>
      <c r="T386" s="4">
        <f t="shared" si="21"/>
        <v>2.0304182509505702E-2</v>
      </c>
      <c r="V386" s="4" t="s">
        <v>533</v>
      </c>
      <c r="W386" s="4" t="s">
        <v>415</v>
      </c>
    </row>
    <row r="387" spans="1:23" ht="12.75" customHeight="1">
      <c r="A387" s="4" t="s">
        <v>416</v>
      </c>
      <c r="B387" s="14" t="s">
        <v>472</v>
      </c>
      <c r="C387" s="4" t="s">
        <v>474</v>
      </c>
      <c r="D387" s="4" t="s">
        <v>475</v>
      </c>
      <c r="E387" s="4" t="s">
        <v>476</v>
      </c>
      <c r="F387" s="4" t="s">
        <v>474</v>
      </c>
      <c r="G387" s="4" t="s">
        <v>478</v>
      </c>
      <c r="H387" s="4" t="s">
        <v>462</v>
      </c>
      <c r="I387" s="8">
        <v>45245</v>
      </c>
      <c r="J387" s="4" t="s">
        <v>477</v>
      </c>
      <c r="K387" s="11">
        <v>1</v>
      </c>
      <c r="L387" s="11">
        <v>10</v>
      </c>
      <c r="M387" s="11">
        <v>4</v>
      </c>
      <c r="N387" s="6" t="s">
        <v>560</v>
      </c>
      <c r="O387" s="4">
        <v>25.3</v>
      </c>
      <c r="P387" s="4">
        <v>21.1</v>
      </c>
      <c r="Q387" s="4">
        <v>4.9000000000000004</v>
      </c>
      <c r="R387" s="4">
        <v>154</v>
      </c>
      <c r="S387" s="4">
        <f t="shared" ref="S387:S421" si="22">R387/1000</f>
        <v>0.154</v>
      </c>
      <c r="T387" s="4">
        <f t="shared" ref="T387:T425" si="23">S387/O387*3</f>
        <v>1.8260869565217393E-2</v>
      </c>
      <c r="V387" s="4" t="s">
        <v>533</v>
      </c>
      <c r="W387" s="4" t="s">
        <v>416</v>
      </c>
    </row>
    <row r="388" spans="1:23" ht="12.75" customHeight="1">
      <c r="A388" s="4" t="s">
        <v>417</v>
      </c>
      <c r="B388" s="14" t="s">
        <v>472</v>
      </c>
      <c r="C388" s="4" t="s">
        <v>474</v>
      </c>
      <c r="D388" s="4" t="s">
        <v>475</v>
      </c>
      <c r="E388" s="4" t="s">
        <v>476</v>
      </c>
      <c r="F388" s="4" t="s">
        <v>474</v>
      </c>
      <c r="G388" s="4" t="s">
        <v>478</v>
      </c>
      <c r="H388" s="4" t="s">
        <v>462</v>
      </c>
      <c r="I388" s="8">
        <v>45245</v>
      </c>
      <c r="J388" s="4" t="s">
        <v>477</v>
      </c>
      <c r="K388" s="11">
        <v>1</v>
      </c>
      <c r="L388" s="11">
        <v>10</v>
      </c>
      <c r="M388" s="11">
        <v>4</v>
      </c>
      <c r="N388" s="6" t="s">
        <v>560</v>
      </c>
      <c r="O388" s="4">
        <v>26.2</v>
      </c>
      <c r="P388" s="4">
        <v>22.3</v>
      </c>
      <c r="Q388" s="4">
        <v>6.3</v>
      </c>
      <c r="R388" s="4">
        <v>186</v>
      </c>
      <c r="S388" s="4">
        <f t="shared" si="22"/>
        <v>0.186</v>
      </c>
      <c r="T388" s="4">
        <f t="shared" si="23"/>
        <v>2.1297709923664122E-2</v>
      </c>
      <c r="V388" s="4" t="s">
        <v>533</v>
      </c>
      <c r="W388" s="4" t="s">
        <v>417</v>
      </c>
    </row>
    <row r="389" spans="1:23" ht="12.75" customHeight="1">
      <c r="A389" s="4" t="s">
        <v>418</v>
      </c>
      <c r="B389" s="14" t="s">
        <v>472</v>
      </c>
      <c r="C389" s="4" t="s">
        <v>474</v>
      </c>
      <c r="D389" s="4" t="s">
        <v>475</v>
      </c>
      <c r="E389" s="4" t="s">
        <v>476</v>
      </c>
      <c r="F389" s="4" t="s">
        <v>474</v>
      </c>
      <c r="G389" s="4" t="s">
        <v>478</v>
      </c>
      <c r="H389" s="4" t="s">
        <v>462</v>
      </c>
      <c r="I389" s="8">
        <v>45245</v>
      </c>
      <c r="J389" s="4" t="s">
        <v>477</v>
      </c>
      <c r="K389" s="11">
        <v>1</v>
      </c>
      <c r="L389" s="11">
        <v>10</v>
      </c>
      <c r="M389" s="11">
        <v>4</v>
      </c>
      <c r="N389" s="6" t="s">
        <v>560</v>
      </c>
      <c r="O389" s="4">
        <v>23.5</v>
      </c>
      <c r="P389" s="4">
        <v>19</v>
      </c>
      <c r="Q389" s="4">
        <v>5.0999999999999996</v>
      </c>
      <c r="R389" s="4">
        <v>112</v>
      </c>
      <c r="S389" s="4">
        <f t="shared" si="22"/>
        <v>0.112</v>
      </c>
      <c r="T389" s="4">
        <f t="shared" si="23"/>
        <v>1.4297872340425531E-2</v>
      </c>
      <c r="V389" s="4" t="s">
        <v>533</v>
      </c>
      <c r="W389" s="4" t="s">
        <v>418</v>
      </c>
    </row>
    <row r="390" spans="1:23" ht="12.75" customHeight="1">
      <c r="A390" s="4" t="s">
        <v>419</v>
      </c>
      <c r="B390" s="14" t="s">
        <v>472</v>
      </c>
      <c r="C390" s="4" t="s">
        <v>474</v>
      </c>
      <c r="D390" s="4" t="s">
        <v>475</v>
      </c>
      <c r="E390" s="4" t="s">
        <v>476</v>
      </c>
      <c r="F390" s="4" t="s">
        <v>474</v>
      </c>
      <c r="G390" s="4" t="s">
        <v>478</v>
      </c>
      <c r="H390" s="4" t="s">
        <v>462</v>
      </c>
      <c r="I390" s="8">
        <v>45245</v>
      </c>
      <c r="J390" s="4" t="s">
        <v>477</v>
      </c>
      <c r="K390" s="11">
        <v>1</v>
      </c>
      <c r="L390" s="11">
        <v>10</v>
      </c>
      <c r="M390" s="11">
        <v>4</v>
      </c>
      <c r="N390" s="6" t="s">
        <v>560</v>
      </c>
      <c r="O390" s="4">
        <v>28.8</v>
      </c>
      <c r="P390" s="4">
        <v>22.3</v>
      </c>
      <c r="Q390" s="4">
        <v>6.5</v>
      </c>
      <c r="R390" s="4">
        <v>214</v>
      </c>
      <c r="S390" s="4">
        <f t="shared" si="22"/>
        <v>0.214</v>
      </c>
      <c r="T390" s="4">
        <f t="shared" si="23"/>
        <v>2.2291666666666664E-2</v>
      </c>
      <c r="V390" s="4" t="s">
        <v>533</v>
      </c>
      <c r="W390" s="4" t="s">
        <v>419</v>
      </c>
    </row>
    <row r="391" spans="1:23" ht="12.75" customHeight="1">
      <c r="A391" s="4" t="s">
        <v>420</v>
      </c>
      <c r="B391" s="14" t="s">
        <v>472</v>
      </c>
      <c r="C391" s="4" t="s">
        <v>474</v>
      </c>
      <c r="D391" s="4" t="s">
        <v>475</v>
      </c>
      <c r="E391" s="4" t="s">
        <v>476</v>
      </c>
      <c r="F391" s="4" t="s">
        <v>474</v>
      </c>
      <c r="G391" s="4" t="s">
        <v>478</v>
      </c>
      <c r="H391" s="4" t="s">
        <v>462</v>
      </c>
      <c r="I391" s="8">
        <v>45245</v>
      </c>
      <c r="J391" s="4" t="s">
        <v>477</v>
      </c>
      <c r="K391" s="11">
        <v>1</v>
      </c>
      <c r="L391" s="11">
        <v>10</v>
      </c>
      <c r="M391" s="11">
        <v>4</v>
      </c>
      <c r="N391" s="6" t="s">
        <v>560</v>
      </c>
      <c r="O391" s="4">
        <v>28.4</v>
      </c>
      <c r="P391" s="4">
        <v>23.3</v>
      </c>
      <c r="Q391" s="4">
        <v>6.3</v>
      </c>
      <c r="R391" s="4">
        <v>176</v>
      </c>
      <c r="S391" s="4">
        <f t="shared" si="22"/>
        <v>0.17599999999999999</v>
      </c>
      <c r="T391" s="4">
        <f t="shared" si="23"/>
        <v>1.8591549295774647E-2</v>
      </c>
      <c r="V391" s="4" t="s">
        <v>533</v>
      </c>
      <c r="W391" s="4" t="s">
        <v>420</v>
      </c>
    </row>
    <row r="392" spans="1:23" ht="12.75" customHeight="1">
      <c r="A392" s="4" t="s">
        <v>421</v>
      </c>
      <c r="B392" s="14" t="s">
        <v>472</v>
      </c>
      <c r="C392" s="4" t="s">
        <v>474</v>
      </c>
      <c r="D392" s="4" t="s">
        <v>475</v>
      </c>
      <c r="E392" s="4" t="s">
        <v>476</v>
      </c>
      <c r="F392" s="4" t="s">
        <v>474</v>
      </c>
      <c r="G392" s="4" t="s">
        <v>478</v>
      </c>
      <c r="H392" s="4" t="s">
        <v>462</v>
      </c>
      <c r="I392" s="8">
        <v>45245</v>
      </c>
      <c r="J392" s="4" t="s">
        <v>477</v>
      </c>
      <c r="K392" s="11">
        <v>1</v>
      </c>
      <c r="L392" s="11">
        <v>10</v>
      </c>
      <c r="M392" s="11">
        <v>4</v>
      </c>
      <c r="N392" s="6" t="s">
        <v>560</v>
      </c>
      <c r="O392" s="4">
        <v>22.9</v>
      </c>
      <c r="P392" s="4">
        <v>17.600000000000001</v>
      </c>
      <c r="Q392" s="4">
        <v>5</v>
      </c>
      <c r="R392" s="4">
        <v>104</v>
      </c>
      <c r="S392" s="4">
        <f t="shared" si="22"/>
        <v>0.104</v>
      </c>
      <c r="T392" s="4">
        <f t="shared" si="23"/>
        <v>1.3624454148471618E-2</v>
      </c>
      <c r="V392" s="4" t="s">
        <v>533</v>
      </c>
      <c r="W392" s="4" t="s">
        <v>421</v>
      </c>
    </row>
    <row r="393" spans="1:23" ht="12.75" customHeight="1">
      <c r="A393" s="4" t="s">
        <v>422</v>
      </c>
      <c r="B393" s="14" t="s">
        <v>472</v>
      </c>
      <c r="C393" s="4" t="s">
        <v>474</v>
      </c>
      <c r="D393" s="4" t="s">
        <v>475</v>
      </c>
      <c r="E393" s="4" t="s">
        <v>476</v>
      </c>
      <c r="F393" s="4" t="s">
        <v>474</v>
      </c>
      <c r="G393" s="4" t="s">
        <v>478</v>
      </c>
      <c r="H393" s="4" t="s">
        <v>462</v>
      </c>
      <c r="I393" s="8">
        <v>45245</v>
      </c>
      <c r="J393" s="4" t="s">
        <v>477</v>
      </c>
      <c r="K393" s="11">
        <v>1</v>
      </c>
      <c r="L393" s="11">
        <v>10</v>
      </c>
      <c r="M393" s="11">
        <v>4</v>
      </c>
      <c r="N393" s="6" t="s">
        <v>473</v>
      </c>
      <c r="O393" s="4">
        <v>19.899999999999999</v>
      </c>
      <c r="P393" s="4">
        <v>16.399999999999999</v>
      </c>
      <c r="Q393" s="4">
        <v>3.9</v>
      </c>
      <c r="R393" s="4">
        <v>60</v>
      </c>
      <c r="S393" s="13">
        <f t="shared" si="22"/>
        <v>0.06</v>
      </c>
      <c r="T393" s="4">
        <f t="shared" si="23"/>
        <v>9.0452261306532677E-3</v>
      </c>
      <c r="V393" s="4" t="s">
        <v>533</v>
      </c>
      <c r="W393" s="4" t="s">
        <v>422</v>
      </c>
    </row>
    <row r="394" spans="1:23" ht="12.75" customHeight="1">
      <c r="A394" s="4" t="s">
        <v>423</v>
      </c>
      <c r="B394" s="14" t="s">
        <v>472</v>
      </c>
      <c r="C394" s="4" t="s">
        <v>474</v>
      </c>
      <c r="D394" s="4" t="s">
        <v>475</v>
      </c>
      <c r="E394" s="4" t="s">
        <v>476</v>
      </c>
      <c r="F394" s="4" t="s">
        <v>474</v>
      </c>
      <c r="G394" s="4" t="s">
        <v>478</v>
      </c>
      <c r="H394" s="4" t="s">
        <v>462</v>
      </c>
      <c r="I394" s="8">
        <v>45245</v>
      </c>
      <c r="J394" s="4" t="s">
        <v>477</v>
      </c>
      <c r="K394" s="11">
        <v>1</v>
      </c>
      <c r="L394" s="11">
        <v>10</v>
      </c>
      <c r="M394" s="11">
        <v>4</v>
      </c>
      <c r="N394" s="6" t="s">
        <v>560</v>
      </c>
      <c r="O394" s="4">
        <v>28.8</v>
      </c>
      <c r="P394" s="4">
        <v>23.1</v>
      </c>
      <c r="Q394" s="4">
        <v>6.2</v>
      </c>
      <c r="R394" s="4">
        <v>224</v>
      </c>
      <c r="S394" s="4">
        <f t="shared" si="22"/>
        <v>0.224</v>
      </c>
      <c r="T394" s="4">
        <f t="shared" si="23"/>
        <v>2.3333333333333331E-2</v>
      </c>
      <c r="V394" s="4" t="s">
        <v>533</v>
      </c>
      <c r="W394" s="4" t="s">
        <v>423</v>
      </c>
    </row>
    <row r="395" spans="1:23" ht="12.75" customHeight="1">
      <c r="A395" s="4" t="s">
        <v>424</v>
      </c>
      <c r="B395" s="14" t="s">
        <v>472</v>
      </c>
      <c r="C395" s="4" t="s">
        <v>474</v>
      </c>
      <c r="D395" s="4" t="s">
        <v>475</v>
      </c>
      <c r="E395" s="4" t="s">
        <v>476</v>
      </c>
      <c r="F395" s="4" t="s">
        <v>474</v>
      </c>
      <c r="G395" s="4" t="s">
        <v>478</v>
      </c>
      <c r="H395" s="4" t="s">
        <v>462</v>
      </c>
      <c r="I395" s="8">
        <v>45245</v>
      </c>
      <c r="J395" s="4" t="s">
        <v>477</v>
      </c>
      <c r="K395" s="11">
        <v>1</v>
      </c>
      <c r="L395" s="11">
        <v>10</v>
      </c>
      <c r="M395" s="11">
        <v>4</v>
      </c>
      <c r="N395" s="6" t="s">
        <v>560</v>
      </c>
      <c r="O395" s="4">
        <v>30.5</v>
      </c>
      <c r="P395" s="4">
        <v>24</v>
      </c>
      <c r="Q395" s="4">
        <v>6.2</v>
      </c>
      <c r="R395" s="4">
        <v>238</v>
      </c>
      <c r="S395" s="4">
        <f t="shared" si="22"/>
        <v>0.23799999999999999</v>
      </c>
      <c r="T395" s="4">
        <f t="shared" si="23"/>
        <v>2.3409836065573772E-2</v>
      </c>
      <c r="V395" s="4" t="s">
        <v>533</v>
      </c>
      <c r="W395" s="4" t="s">
        <v>424</v>
      </c>
    </row>
    <row r="396" spans="1:23" ht="12.75" customHeight="1">
      <c r="A396" s="4" t="s">
        <v>425</v>
      </c>
      <c r="B396" s="14" t="s">
        <v>472</v>
      </c>
      <c r="C396" s="4" t="s">
        <v>474</v>
      </c>
      <c r="D396" s="4" t="s">
        <v>475</v>
      </c>
      <c r="E396" s="4" t="s">
        <v>476</v>
      </c>
      <c r="F396" s="4" t="s">
        <v>474</v>
      </c>
      <c r="G396" s="4" t="s">
        <v>478</v>
      </c>
      <c r="H396" s="4" t="s">
        <v>462</v>
      </c>
      <c r="I396" s="8">
        <v>45245</v>
      </c>
      <c r="J396" s="4" t="s">
        <v>477</v>
      </c>
      <c r="K396" s="11">
        <v>1</v>
      </c>
      <c r="L396" s="11">
        <v>10</v>
      </c>
      <c r="M396" s="11">
        <v>4</v>
      </c>
      <c r="N396" s="6" t="s">
        <v>560</v>
      </c>
      <c r="O396" s="4">
        <v>27</v>
      </c>
      <c r="P396" s="4">
        <v>21.6</v>
      </c>
      <c r="Q396" s="4">
        <v>5.7</v>
      </c>
      <c r="R396" s="4">
        <v>180</v>
      </c>
      <c r="S396" s="13">
        <f t="shared" si="22"/>
        <v>0.18</v>
      </c>
      <c r="T396" s="4">
        <f t="shared" si="23"/>
        <v>1.9999999999999997E-2</v>
      </c>
      <c r="V396" s="4" t="s">
        <v>533</v>
      </c>
      <c r="W396" s="4" t="s">
        <v>425</v>
      </c>
    </row>
    <row r="397" spans="1:23" ht="12.75" customHeight="1">
      <c r="A397" s="4" t="s">
        <v>426</v>
      </c>
      <c r="B397" s="14" t="s">
        <v>472</v>
      </c>
      <c r="C397" s="4" t="s">
        <v>474</v>
      </c>
      <c r="D397" s="4" t="s">
        <v>475</v>
      </c>
      <c r="E397" s="4" t="s">
        <v>476</v>
      </c>
      <c r="F397" s="4" t="s">
        <v>474</v>
      </c>
      <c r="G397" s="4" t="s">
        <v>478</v>
      </c>
      <c r="H397" s="4" t="s">
        <v>462</v>
      </c>
      <c r="I397" s="8">
        <v>45245</v>
      </c>
      <c r="J397" s="4" t="s">
        <v>477</v>
      </c>
      <c r="K397" s="11">
        <v>1</v>
      </c>
      <c r="L397" s="11">
        <v>10</v>
      </c>
      <c r="M397" s="11">
        <v>4</v>
      </c>
      <c r="N397" s="6" t="s">
        <v>560</v>
      </c>
      <c r="O397" s="4">
        <v>23.8</v>
      </c>
      <c r="P397" s="4">
        <v>19.100000000000001</v>
      </c>
      <c r="Q397" s="4">
        <v>4.8</v>
      </c>
      <c r="R397" s="4">
        <v>125</v>
      </c>
      <c r="S397" s="4">
        <f t="shared" si="22"/>
        <v>0.125</v>
      </c>
      <c r="T397" s="4">
        <f t="shared" si="23"/>
        <v>1.5756302521008403E-2</v>
      </c>
      <c r="V397" s="4" t="s">
        <v>533</v>
      </c>
      <c r="W397" s="4" t="s">
        <v>426</v>
      </c>
    </row>
    <row r="398" spans="1:23" ht="12.75" customHeight="1">
      <c r="A398" s="4" t="s">
        <v>427</v>
      </c>
      <c r="B398" s="14" t="s">
        <v>472</v>
      </c>
      <c r="C398" s="4" t="s">
        <v>474</v>
      </c>
      <c r="D398" s="4" t="s">
        <v>475</v>
      </c>
      <c r="E398" s="4" t="s">
        <v>476</v>
      </c>
      <c r="F398" s="4" t="s">
        <v>474</v>
      </c>
      <c r="G398" s="4" t="s">
        <v>478</v>
      </c>
      <c r="H398" s="4" t="s">
        <v>462</v>
      </c>
      <c r="I398" s="8">
        <v>45245</v>
      </c>
      <c r="J398" s="4" t="s">
        <v>477</v>
      </c>
      <c r="K398" s="11">
        <v>1</v>
      </c>
      <c r="L398" s="11">
        <v>10</v>
      </c>
      <c r="M398" s="11">
        <v>4</v>
      </c>
      <c r="N398" s="6" t="s">
        <v>560</v>
      </c>
      <c r="O398" s="4">
        <v>21.4</v>
      </c>
      <c r="P398" s="4">
        <v>17.7</v>
      </c>
      <c r="Q398" s="4">
        <v>4.3</v>
      </c>
      <c r="R398" s="4">
        <v>98</v>
      </c>
      <c r="S398" s="4">
        <f t="shared" si="22"/>
        <v>9.8000000000000004E-2</v>
      </c>
      <c r="T398" s="4">
        <f t="shared" si="23"/>
        <v>1.3738317757009347E-2</v>
      </c>
      <c r="V398" s="4" t="s">
        <v>533</v>
      </c>
      <c r="W398" s="4" t="s">
        <v>427</v>
      </c>
    </row>
    <row r="399" spans="1:23" ht="12.75" customHeight="1">
      <c r="A399" s="4" t="s">
        <v>428</v>
      </c>
      <c r="B399" s="14" t="s">
        <v>472</v>
      </c>
      <c r="C399" s="4" t="s">
        <v>474</v>
      </c>
      <c r="D399" s="4" t="s">
        <v>475</v>
      </c>
      <c r="E399" s="4" t="s">
        <v>476</v>
      </c>
      <c r="F399" s="4" t="s">
        <v>474</v>
      </c>
      <c r="G399" s="4" t="s">
        <v>478</v>
      </c>
      <c r="H399" s="4" t="s">
        <v>462</v>
      </c>
      <c r="I399" s="8">
        <v>45245</v>
      </c>
      <c r="J399" s="4" t="s">
        <v>477</v>
      </c>
      <c r="K399" s="11">
        <v>1</v>
      </c>
      <c r="L399" s="11">
        <v>10</v>
      </c>
      <c r="M399" s="11">
        <v>4</v>
      </c>
      <c r="N399" s="6" t="s">
        <v>560</v>
      </c>
      <c r="O399" s="4">
        <v>22.5</v>
      </c>
      <c r="P399" s="4">
        <v>18.2</v>
      </c>
      <c r="Q399" s="4">
        <v>4.8</v>
      </c>
      <c r="R399" s="4">
        <v>109</v>
      </c>
      <c r="S399" s="4">
        <f t="shared" si="22"/>
        <v>0.109</v>
      </c>
      <c r="T399" s="4">
        <f t="shared" si="23"/>
        <v>1.4533333333333334E-2</v>
      </c>
      <c r="V399" s="4" t="s">
        <v>533</v>
      </c>
      <c r="W399" s="4" t="s">
        <v>428</v>
      </c>
    </row>
    <row r="400" spans="1:23" ht="12.75" customHeight="1">
      <c r="A400" s="4" t="s">
        <v>429</v>
      </c>
      <c r="B400" s="14" t="s">
        <v>472</v>
      </c>
      <c r="C400" s="4" t="s">
        <v>474</v>
      </c>
      <c r="D400" s="4" t="s">
        <v>475</v>
      </c>
      <c r="E400" s="4" t="s">
        <v>476</v>
      </c>
      <c r="F400" s="4" t="s">
        <v>474</v>
      </c>
      <c r="G400" s="4" t="s">
        <v>478</v>
      </c>
      <c r="H400" s="4" t="s">
        <v>462</v>
      </c>
      <c r="I400" s="8">
        <v>45245</v>
      </c>
      <c r="J400" s="4" t="s">
        <v>477</v>
      </c>
      <c r="K400" s="11">
        <v>1</v>
      </c>
      <c r="L400" s="11">
        <v>10</v>
      </c>
      <c r="M400" s="11">
        <v>4</v>
      </c>
      <c r="N400" s="6" t="s">
        <v>560</v>
      </c>
      <c r="O400" s="4">
        <v>20.8</v>
      </c>
      <c r="P400" s="4">
        <v>17.5</v>
      </c>
      <c r="Q400" s="4">
        <v>4.5</v>
      </c>
      <c r="R400" s="4">
        <v>111</v>
      </c>
      <c r="S400" s="4">
        <f t="shared" si="22"/>
        <v>0.111</v>
      </c>
      <c r="T400" s="4">
        <f t="shared" si="23"/>
        <v>1.6009615384615383E-2</v>
      </c>
      <c r="V400" s="4" t="s">
        <v>533</v>
      </c>
      <c r="W400" s="4" t="s">
        <v>429</v>
      </c>
    </row>
    <row r="401" spans="1:50" ht="12.75" customHeight="1">
      <c r="A401" s="4" t="s">
        <v>430</v>
      </c>
      <c r="B401" s="14" t="s">
        <v>472</v>
      </c>
      <c r="C401" s="4" t="s">
        <v>474</v>
      </c>
      <c r="D401" s="4" t="s">
        <v>475</v>
      </c>
      <c r="E401" s="4" t="s">
        <v>476</v>
      </c>
      <c r="F401" s="4" t="s">
        <v>474</v>
      </c>
      <c r="G401" s="4" t="s">
        <v>478</v>
      </c>
      <c r="H401" s="4" t="s">
        <v>462</v>
      </c>
      <c r="I401" s="8">
        <v>45245</v>
      </c>
      <c r="J401" s="4" t="s">
        <v>477</v>
      </c>
      <c r="K401" s="11">
        <v>1</v>
      </c>
      <c r="L401" s="11">
        <v>10</v>
      </c>
      <c r="M401" s="11">
        <v>4</v>
      </c>
      <c r="N401" s="6" t="s">
        <v>560</v>
      </c>
      <c r="O401" s="4">
        <v>20.5</v>
      </c>
      <c r="P401" s="4">
        <v>16.5</v>
      </c>
      <c r="Q401" s="4">
        <v>4.2</v>
      </c>
      <c r="R401" s="4">
        <v>77</v>
      </c>
      <c r="S401" s="4">
        <f t="shared" si="22"/>
        <v>7.6999999999999999E-2</v>
      </c>
      <c r="T401" s="4">
        <f t="shared" si="23"/>
        <v>1.1268292682926829E-2</v>
      </c>
      <c r="V401" s="4" t="s">
        <v>533</v>
      </c>
      <c r="W401" s="4" t="s">
        <v>430</v>
      </c>
    </row>
    <row r="402" spans="1:50" ht="12.75" customHeight="1">
      <c r="A402" s="4" t="s">
        <v>431</v>
      </c>
      <c r="B402" s="14" t="s">
        <v>472</v>
      </c>
      <c r="C402" s="4" t="s">
        <v>474</v>
      </c>
      <c r="D402" s="4" t="s">
        <v>475</v>
      </c>
      <c r="E402" s="4" t="s">
        <v>476</v>
      </c>
      <c r="F402" s="4" t="s">
        <v>474</v>
      </c>
      <c r="G402" s="4" t="s">
        <v>478</v>
      </c>
      <c r="H402" s="4" t="s">
        <v>462</v>
      </c>
      <c r="I402" s="8">
        <v>45245</v>
      </c>
      <c r="J402" s="4" t="s">
        <v>477</v>
      </c>
      <c r="K402" s="11">
        <v>1</v>
      </c>
      <c r="L402" s="11">
        <v>10</v>
      </c>
      <c r="M402" s="11">
        <v>4</v>
      </c>
      <c r="N402" s="6" t="s">
        <v>560</v>
      </c>
      <c r="O402" s="4">
        <v>20.2</v>
      </c>
      <c r="P402" s="4">
        <v>17.399999999999999</v>
      </c>
      <c r="Q402" s="4">
        <v>4.2</v>
      </c>
      <c r="R402" s="4">
        <v>45</v>
      </c>
      <c r="S402" s="4">
        <f t="shared" si="22"/>
        <v>4.4999999999999998E-2</v>
      </c>
      <c r="T402" s="4">
        <f t="shared" si="23"/>
        <v>6.6831683168316822E-3</v>
      </c>
      <c r="V402" s="4" t="s">
        <v>533</v>
      </c>
      <c r="W402" s="4" t="s">
        <v>431</v>
      </c>
    </row>
    <row r="403" spans="1:50" ht="12.75" customHeight="1">
      <c r="A403" s="4" t="s">
        <v>432</v>
      </c>
      <c r="B403" s="14" t="s">
        <v>472</v>
      </c>
      <c r="C403" s="4" t="s">
        <v>474</v>
      </c>
      <c r="D403" s="4" t="s">
        <v>475</v>
      </c>
      <c r="E403" s="4" t="s">
        <v>476</v>
      </c>
      <c r="F403" s="4" t="s">
        <v>474</v>
      </c>
      <c r="G403" s="4" t="s">
        <v>478</v>
      </c>
      <c r="H403" s="4" t="s">
        <v>462</v>
      </c>
      <c r="I403" s="8">
        <v>45245</v>
      </c>
      <c r="J403" s="4" t="s">
        <v>477</v>
      </c>
      <c r="K403" s="11">
        <v>1</v>
      </c>
      <c r="L403" s="11">
        <v>10</v>
      </c>
      <c r="M403" s="11">
        <v>4</v>
      </c>
      <c r="N403" s="6" t="s">
        <v>560</v>
      </c>
      <c r="O403" s="4">
        <v>26.1</v>
      </c>
      <c r="P403" s="4">
        <v>21.6</v>
      </c>
      <c r="Q403" s="4">
        <v>5.7</v>
      </c>
      <c r="R403" s="4">
        <v>196</v>
      </c>
      <c r="S403" s="4">
        <f t="shared" si="22"/>
        <v>0.19600000000000001</v>
      </c>
      <c r="T403" s="4">
        <f t="shared" si="23"/>
        <v>2.2528735632183907E-2</v>
      </c>
      <c r="V403" s="4" t="s">
        <v>533</v>
      </c>
      <c r="W403" s="4" t="s">
        <v>432</v>
      </c>
    </row>
    <row r="404" spans="1:50" ht="12.75" customHeight="1">
      <c r="A404" s="4" t="s">
        <v>433</v>
      </c>
      <c r="B404" s="14" t="s">
        <v>472</v>
      </c>
      <c r="C404" s="4" t="s">
        <v>474</v>
      </c>
      <c r="D404" s="4" t="s">
        <v>475</v>
      </c>
      <c r="E404" s="4" t="s">
        <v>476</v>
      </c>
      <c r="F404" s="4" t="s">
        <v>474</v>
      </c>
      <c r="G404" s="4" t="s">
        <v>478</v>
      </c>
      <c r="H404" s="4" t="s">
        <v>462</v>
      </c>
      <c r="I404" s="8">
        <v>45245</v>
      </c>
      <c r="J404" s="4" t="s">
        <v>477</v>
      </c>
      <c r="K404" s="11">
        <v>1</v>
      </c>
      <c r="L404" s="11">
        <v>10</v>
      </c>
      <c r="M404" s="11">
        <v>4</v>
      </c>
      <c r="N404" s="6" t="s">
        <v>560</v>
      </c>
      <c r="O404" s="4">
        <v>28.2</v>
      </c>
      <c r="P404" s="4">
        <v>22.5</v>
      </c>
      <c r="Q404" s="4">
        <v>6</v>
      </c>
      <c r="R404" s="4">
        <v>189</v>
      </c>
      <c r="S404" s="4">
        <f t="shared" si="22"/>
        <v>0.189</v>
      </c>
      <c r="T404" s="4">
        <f t="shared" si="23"/>
        <v>2.0106382978723407E-2</v>
      </c>
      <c r="V404" s="4" t="s">
        <v>533</v>
      </c>
      <c r="W404" s="4" t="s">
        <v>433</v>
      </c>
    </row>
    <row r="405" spans="1:50" ht="12.75" customHeight="1">
      <c r="A405" s="4" t="s">
        <v>434</v>
      </c>
      <c r="B405" s="14" t="s">
        <v>472</v>
      </c>
      <c r="C405" s="4" t="s">
        <v>474</v>
      </c>
      <c r="D405" s="4" t="s">
        <v>475</v>
      </c>
      <c r="E405" s="4" t="s">
        <v>476</v>
      </c>
      <c r="F405" s="4" t="s">
        <v>474</v>
      </c>
      <c r="G405" s="4" t="s">
        <v>478</v>
      </c>
      <c r="H405" s="4" t="s">
        <v>462</v>
      </c>
      <c r="I405" s="8">
        <v>45245</v>
      </c>
      <c r="J405" s="4" t="s">
        <v>477</v>
      </c>
      <c r="K405" s="11">
        <v>1</v>
      </c>
      <c r="L405" s="11">
        <v>10</v>
      </c>
      <c r="M405" s="11">
        <v>4</v>
      </c>
      <c r="N405" s="6" t="s">
        <v>560</v>
      </c>
      <c r="O405" s="4">
        <v>21.9</v>
      </c>
      <c r="P405" s="4">
        <v>18.5</v>
      </c>
      <c r="Q405" s="4">
        <v>4.9000000000000004</v>
      </c>
      <c r="R405" s="4">
        <v>102</v>
      </c>
      <c r="S405" s="4">
        <f t="shared" si="22"/>
        <v>0.10199999999999999</v>
      </c>
      <c r="T405" s="4">
        <f t="shared" si="23"/>
        <v>1.3972602739726028E-2</v>
      </c>
      <c r="V405" s="4" t="s">
        <v>533</v>
      </c>
      <c r="W405" s="4" t="s">
        <v>434</v>
      </c>
    </row>
    <row r="406" spans="1:50" ht="12.75" customHeight="1">
      <c r="A406" s="4" t="s">
        <v>435</v>
      </c>
      <c r="B406" s="14" t="s">
        <v>472</v>
      </c>
      <c r="C406" s="4" t="s">
        <v>474</v>
      </c>
      <c r="D406" s="4" t="s">
        <v>475</v>
      </c>
      <c r="E406" s="4" t="s">
        <v>476</v>
      </c>
      <c r="F406" s="4" t="s">
        <v>474</v>
      </c>
      <c r="G406" s="4" t="s">
        <v>478</v>
      </c>
      <c r="H406" s="4" t="s">
        <v>462</v>
      </c>
      <c r="I406" s="8">
        <v>45245</v>
      </c>
      <c r="J406" s="4" t="s">
        <v>477</v>
      </c>
      <c r="K406" s="11">
        <v>1</v>
      </c>
      <c r="L406" s="11">
        <v>10</v>
      </c>
      <c r="M406" s="11">
        <v>4</v>
      </c>
      <c r="N406" s="6" t="s">
        <v>560</v>
      </c>
      <c r="O406" s="4">
        <v>29.3</v>
      </c>
      <c r="P406" s="4">
        <v>22.8</v>
      </c>
      <c r="Q406" s="4">
        <v>5.7</v>
      </c>
      <c r="R406" s="4">
        <v>189</v>
      </c>
      <c r="S406" s="4">
        <f t="shared" si="22"/>
        <v>0.189</v>
      </c>
      <c r="T406" s="4">
        <f t="shared" si="23"/>
        <v>1.9351535836177474E-2</v>
      </c>
      <c r="V406" s="4" t="s">
        <v>533</v>
      </c>
      <c r="W406" s="4" t="s">
        <v>435</v>
      </c>
    </row>
    <row r="407" spans="1:50" ht="12.75" customHeight="1">
      <c r="A407" s="4" t="s">
        <v>436</v>
      </c>
      <c r="B407" s="14" t="s">
        <v>472</v>
      </c>
      <c r="C407" s="4" t="s">
        <v>474</v>
      </c>
      <c r="D407" s="4" t="s">
        <v>475</v>
      </c>
      <c r="E407" s="4" t="s">
        <v>476</v>
      </c>
      <c r="F407" s="4" t="s">
        <v>474</v>
      </c>
      <c r="G407" s="4" t="s">
        <v>478</v>
      </c>
      <c r="H407" s="4" t="s">
        <v>462</v>
      </c>
      <c r="I407" s="8">
        <v>45245</v>
      </c>
      <c r="J407" s="4" t="s">
        <v>477</v>
      </c>
      <c r="K407" s="11">
        <v>1</v>
      </c>
      <c r="L407" s="11">
        <v>10</v>
      </c>
      <c r="M407" s="11">
        <v>4</v>
      </c>
      <c r="N407" s="6" t="s">
        <v>560</v>
      </c>
      <c r="O407" s="4">
        <v>18.100000000000001</v>
      </c>
      <c r="P407" s="4">
        <v>14.8</v>
      </c>
      <c r="Q407" s="4">
        <v>3.8</v>
      </c>
      <c r="R407" s="4">
        <v>59</v>
      </c>
      <c r="S407" s="4">
        <f t="shared" si="22"/>
        <v>5.8999999999999997E-2</v>
      </c>
      <c r="T407" s="4">
        <f t="shared" si="23"/>
        <v>9.7790055248618765E-3</v>
      </c>
      <c r="V407" s="4" t="s">
        <v>533</v>
      </c>
      <c r="W407" s="4" t="s">
        <v>436</v>
      </c>
    </row>
    <row r="408" spans="1:50" ht="12.75" customHeight="1">
      <c r="A408" s="4" t="s">
        <v>437</v>
      </c>
      <c r="B408" s="14" t="s">
        <v>472</v>
      </c>
      <c r="C408" s="4" t="s">
        <v>474</v>
      </c>
      <c r="D408" s="4" t="s">
        <v>475</v>
      </c>
      <c r="E408" s="4" t="s">
        <v>476</v>
      </c>
      <c r="F408" s="4" t="s">
        <v>474</v>
      </c>
      <c r="G408" s="4" t="s">
        <v>478</v>
      </c>
      <c r="H408" s="4" t="s">
        <v>462</v>
      </c>
      <c r="I408" s="8">
        <v>45245</v>
      </c>
      <c r="J408" s="4" t="s">
        <v>477</v>
      </c>
      <c r="K408" s="11">
        <v>1</v>
      </c>
      <c r="L408" s="11">
        <v>10</v>
      </c>
      <c r="M408" s="11">
        <v>4</v>
      </c>
      <c r="N408" s="6" t="s">
        <v>560</v>
      </c>
      <c r="O408" s="4">
        <v>17.399999999999999</v>
      </c>
      <c r="P408" s="4">
        <v>14.5</v>
      </c>
      <c r="Q408" s="4">
        <v>4.0999999999999996</v>
      </c>
      <c r="R408" s="4">
        <v>43</v>
      </c>
      <c r="S408" s="4">
        <f t="shared" si="22"/>
        <v>4.2999999999999997E-2</v>
      </c>
      <c r="T408" s="4">
        <f t="shared" si="23"/>
        <v>7.4137931034482752E-3</v>
      </c>
      <c r="V408" s="4" t="s">
        <v>533</v>
      </c>
      <c r="W408" s="4" t="s">
        <v>437</v>
      </c>
    </row>
    <row r="409" spans="1:50" ht="12.75" customHeight="1">
      <c r="A409" s="4" t="s">
        <v>438</v>
      </c>
      <c r="B409" s="14" t="s">
        <v>472</v>
      </c>
      <c r="C409" s="4" t="s">
        <v>474</v>
      </c>
      <c r="D409" s="4" t="s">
        <v>475</v>
      </c>
      <c r="E409" s="4" t="s">
        <v>476</v>
      </c>
      <c r="F409" s="4" t="s">
        <v>474</v>
      </c>
      <c r="G409" s="4" t="s">
        <v>478</v>
      </c>
      <c r="H409" s="4" t="s">
        <v>462</v>
      </c>
      <c r="I409" s="8">
        <v>45245</v>
      </c>
      <c r="J409" s="4" t="s">
        <v>477</v>
      </c>
      <c r="K409" s="11">
        <v>1</v>
      </c>
      <c r="L409" s="11">
        <v>10</v>
      </c>
      <c r="M409" s="11">
        <v>4</v>
      </c>
      <c r="N409" s="6" t="s">
        <v>560</v>
      </c>
      <c r="O409" s="4">
        <v>15.2</v>
      </c>
      <c r="P409" s="4">
        <v>17.5</v>
      </c>
      <c r="Q409" s="4">
        <v>3.3</v>
      </c>
      <c r="R409" s="4">
        <v>44</v>
      </c>
      <c r="S409" s="4">
        <f t="shared" si="22"/>
        <v>4.3999999999999997E-2</v>
      </c>
      <c r="T409" s="4">
        <f t="shared" si="23"/>
        <v>8.6842105263157908E-3</v>
      </c>
      <c r="V409" s="4" t="s">
        <v>533</v>
      </c>
      <c r="W409" s="4" t="s">
        <v>438</v>
      </c>
    </row>
    <row r="410" spans="1:50">
      <c r="A410" s="4" t="s">
        <v>707</v>
      </c>
      <c r="B410" s="9" t="s">
        <v>472</v>
      </c>
      <c r="C410" s="5" t="s">
        <v>474</v>
      </c>
      <c r="D410" s="5" t="s">
        <v>475</v>
      </c>
      <c r="E410" s="5" t="s">
        <v>476</v>
      </c>
      <c r="F410" s="12" t="s">
        <v>474</v>
      </c>
      <c r="G410" s="12" t="s">
        <v>478</v>
      </c>
      <c r="H410" s="12" t="s">
        <v>462</v>
      </c>
      <c r="I410" s="8">
        <v>45245</v>
      </c>
      <c r="J410" s="10" t="s">
        <v>477</v>
      </c>
      <c r="K410" s="11">
        <v>1</v>
      </c>
      <c r="L410" s="11">
        <v>10</v>
      </c>
      <c r="M410" s="11">
        <v>4</v>
      </c>
      <c r="N410" s="6" t="s">
        <v>479</v>
      </c>
      <c r="O410" s="7">
        <v>26.5</v>
      </c>
      <c r="P410" s="7">
        <v>21.3</v>
      </c>
      <c r="Q410" s="7">
        <v>6</v>
      </c>
      <c r="R410" s="4">
        <v>128</v>
      </c>
      <c r="S410" s="4">
        <f t="shared" si="22"/>
        <v>0.128</v>
      </c>
      <c r="T410" s="4">
        <f t="shared" si="23"/>
        <v>1.4490566037735849E-2</v>
      </c>
      <c r="V410" s="4" t="s">
        <v>540</v>
      </c>
      <c r="W410" s="4" t="s">
        <v>707</v>
      </c>
      <c r="X410" s="4" t="s">
        <v>707</v>
      </c>
      <c r="Y410" s="4">
        <v>1</v>
      </c>
      <c r="Z410" s="4" t="s">
        <v>707</v>
      </c>
      <c r="AA410" s="4">
        <v>1</v>
      </c>
      <c r="AB410" s="24"/>
      <c r="AC410" s="24"/>
      <c r="AD410" s="25"/>
      <c r="AE410" s="26"/>
      <c r="AF410" s="24"/>
      <c r="AG410" s="25"/>
      <c r="AH410" s="25"/>
      <c r="AJ410" s="4">
        <v>1.0694999999999999</v>
      </c>
      <c r="AK410" s="4">
        <v>1.0914999999999999</v>
      </c>
      <c r="AL410" s="4">
        <v>1.0701000000000001</v>
      </c>
      <c r="AM410" s="4">
        <v>2.1999999999999999E-2</v>
      </c>
      <c r="AN410" s="4">
        <v>5.9999999999999995E-4</v>
      </c>
      <c r="AO410" s="4">
        <v>0.97272727270000003</v>
      </c>
      <c r="AP410" s="4">
        <v>97.272727270000004</v>
      </c>
      <c r="AQ410" s="4">
        <v>1.0506</v>
      </c>
      <c r="AR410" s="4">
        <v>1.0677000000000001</v>
      </c>
      <c r="AS410" s="4">
        <v>1.0521</v>
      </c>
      <c r="AT410" s="4">
        <v>1.7100000000000001E-2</v>
      </c>
      <c r="AU410" s="4">
        <v>1.5E-3</v>
      </c>
      <c r="AV410" s="4">
        <v>0.91228070179999998</v>
      </c>
      <c r="AW410" s="4">
        <v>91.228070180000003</v>
      </c>
    </row>
    <row r="411" spans="1:50">
      <c r="A411" s="4" t="s">
        <v>708</v>
      </c>
      <c r="B411" s="9" t="s">
        <v>472</v>
      </c>
      <c r="C411" s="5" t="s">
        <v>474</v>
      </c>
      <c r="D411" s="5" t="s">
        <v>475</v>
      </c>
      <c r="E411" s="5" t="s">
        <v>476</v>
      </c>
      <c r="F411" s="12" t="s">
        <v>474</v>
      </c>
      <c r="G411" s="12" t="s">
        <v>478</v>
      </c>
      <c r="H411" s="12" t="s">
        <v>462</v>
      </c>
      <c r="I411" s="8">
        <v>45245</v>
      </c>
      <c r="J411" s="10" t="s">
        <v>477</v>
      </c>
      <c r="K411" s="11">
        <v>1</v>
      </c>
      <c r="L411" s="11">
        <v>10</v>
      </c>
      <c r="M411" s="11">
        <v>4</v>
      </c>
      <c r="N411" s="6" t="s">
        <v>480</v>
      </c>
      <c r="O411" s="7">
        <v>37.9</v>
      </c>
      <c r="P411" s="7">
        <v>31.7</v>
      </c>
      <c r="Q411" s="7">
        <v>10.4</v>
      </c>
      <c r="R411" s="4">
        <v>555</v>
      </c>
      <c r="S411" s="4">
        <f t="shared" si="22"/>
        <v>0.55500000000000005</v>
      </c>
      <c r="T411" s="4">
        <f t="shared" si="23"/>
        <v>4.393139841688655E-2</v>
      </c>
      <c r="V411" s="4" t="s">
        <v>540</v>
      </c>
      <c r="W411" s="4" t="s">
        <v>708</v>
      </c>
      <c r="X411" s="4" t="s">
        <v>708</v>
      </c>
      <c r="Y411" s="4">
        <v>2</v>
      </c>
      <c r="Z411" s="4" t="s">
        <v>708</v>
      </c>
      <c r="AA411" s="4">
        <v>2</v>
      </c>
      <c r="AB411" s="24"/>
      <c r="AC411" s="24"/>
      <c r="AD411" s="25"/>
      <c r="AE411" s="26"/>
      <c r="AF411" s="24"/>
      <c r="AG411" s="25"/>
      <c r="AH411" s="25"/>
      <c r="AJ411" s="4">
        <v>0.99729999999999996</v>
      </c>
      <c r="AK411" s="4">
        <v>1.0555000000000001</v>
      </c>
      <c r="AL411" s="4">
        <v>0.99919999999999998</v>
      </c>
      <c r="AM411" s="4">
        <v>5.8200000000000002E-2</v>
      </c>
      <c r="AN411" s="4">
        <v>1.9E-3</v>
      </c>
      <c r="AO411" s="4">
        <v>0.96735395189999995</v>
      </c>
      <c r="AP411" s="4">
        <v>96.735395190000006</v>
      </c>
      <c r="AQ411" s="4">
        <v>1.0247999999999999</v>
      </c>
      <c r="AR411" s="4">
        <v>1.0670999999999999</v>
      </c>
      <c r="AS411" s="4">
        <v>1.0321</v>
      </c>
      <c r="AT411" s="4">
        <v>4.2299999999999997E-2</v>
      </c>
      <c r="AU411" s="4">
        <v>7.3000000000000001E-3</v>
      </c>
      <c r="AV411" s="4">
        <v>0.82742316780000003</v>
      </c>
      <c r="AW411" s="4">
        <v>82.742316779999996</v>
      </c>
      <c r="AX411" s="27">
        <v>61.72</v>
      </c>
    </row>
    <row r="412" spans="1:50">
      <c r="A412" s="4" t="s">
        <v>709</v>
      </c>
      <c r="B412" s="9" t="s">
        <v>472</v>
      </c>
      <c r="C412" s="5" t="s">
        <v>474</v>
      </c>
      <c r="D412" s="5" t="s">
        <v>475</v>
      </c>
      <c r="E412" s="5" t="s">
        <v>476</v>
      </c>
      <c r="F412" s="12" t="s">
        <v>474</v>
      </c>
      <c r="G412" s="12" t="s">
        <v>478</v>
      </c>
      <c r="H412" s="12" t="s">
        <v>462</v>
      </c>
      <c r="I412" s="8">
        <v>45245</v>
      </c>
      <c r="J412" s="10" t="s">
        <v>477</v>
      </c>
      <c r="K412" s="11">
        <v>1</v>
      </c>
      <c r="L412" s="11">
        <v>10</v>
      </c>
      <c r="M412" s="11">
        <v>4</v>
      </c>
      <c r="N412" s="6" t="s">
        <v>560</v>
      </c>
      <c r="O412" s="7">
        <v>30.2</v>
      </c>
      <c r="P412" s="7">
        <v>24.1</v>
      </c>
      <c r="Q412" s="7">
        <v>7.5</v>
      </c>
      <c r="R412" s="4">
        <v>264</v>
      </c>
      <c r="S412" s="4">
        <f t="shared" si="22"/>
        <v>0.26400000000000001</v>
      </c>
      <c r="T412" s="4">
        <f t="shared" si="23"/>
        <v>2.6225165562913912E-2</v>
      </c>
      <c r="V412" s="4" t="s">
        <v>540</v>
      </c>
      <c r="W412" s="4" t="s">
        <v>709</v>
      </c>
      <c r="X412" s="4" t="s">
        <v>709</v>
      </c>
      <c r="Y412" s="4">
        <v>3</v>
      </c>
      <c r="Z412" s="4" t="s">
        <v>709</v>
      </c>
      <c r="AA412" s="4">
        <v>3</v>
      </c>
      <c r="AB412" s="24"/>
      <c r="AC412" s="24"/>
      <c r="AD412" s="25"/>
      <c r="AE412" s="26"/>
      <c r="AF412" s="24"/>
      <c r="AG412" s="25"/>
      <c r="AH412" s="25"/>
      <c r="AJ412" s="4">
        <v>1.0507</v>
      </c>
      <c r="AK412" s="4">
        <v>1.0625</v>
      </c>
      <c r="AL412" s="4">
        <v>1.0515000000000001</v>
      </c>
      <c r="AM412" s="4">
        <v>1.18E-2</v>
      </c>
      <c r="AN412" s="4">
        <v>8.0000000000000004E-4</v>
      </c>
      <c r="AO412" s="4">
        <v>0.93220338979999995</v>
      </c>
      <c r="AP412" s="4">
        <v>93.220338979999994</v>
      </c>
      <c r="AQ412" s="4">
        <v>1.0235000000000001</v>
      </c>
      <c r="AR412" s="4">
        <v>1.0468</v>
      </c>
      <c r="AS412" s="4">
        <v>1.0281</v>
      </c>
      <c r="AT412" s="4">
        <v>2.3300000000000001E-2</v>
      </c>
      <c r="AU412" s="4">
        <v>4.5999999999999999E-3</v>
      </c>
      <c r="AV412" s="4">
        <v>0.80257510730000003</v>
      </c>
      <c r="AW412" s="4">
        <v>80.257510730000007</v>
      </c>
      <c r="AX412" s="27">
        <v>87.71</v>
      </c>
    </row>
    <row r="413" spans="1:50">
      <c r="A413" s="4" t="s">
        <v>710</v>
      </c>
      <c r="B413" s="9" t="s">
        <v>472</v>
      </c>
      <c r="C413" s="5" t="s">
        <v>474</v>
      </c>
      <c r="D413" s="5" t="s">
        <v>475</v>
      </c>
      <c r="E413" s="5" t="s">
        <v>476</v>
      </c>
      <c r="F413" s="12" t="s">
        <v>474</v>
      </c>
      <c r="G413" s="12" t="s">
        <v>478</v>
      </c>
      <c r="H413" s="12" t="s">
        <v>462</v>
      </c>
      <c r="I413" s="8">
        <v>45245</v>
      </c>
      <c r="J413" s="10" t="s">
        <v>477</v>
      </c>
      <c r="K413" s="11">
        <v>1</v>
      </c>
      <c r="L413" s="11">
        <v>10</v>
      </c>
      <c r="M413" s="11">
        <v>4</v>
      </c>
      <c r="N413" s="6" t="s">
        <v>560</v>
      </c>
      <c r="O413" s="7">
        <v>34.1</v>
      </c>
      <c r="P413" s="7">
        <v>27.4</v>
      </c>
      <c r="Q413" s="7">
        <v>7.2</v>
      </c>
      <c r="R413" s="4">
        <v>242</v>
      </c>
      <c r="S413" s="4">
        <f t="shared" si="22"/>
        <v>0.24199999999999999</v>
      </c>
      <c r="T413" s="4">
        <f t="shared" si="23"/>
        <v>2.1290322580645161E-2</v>
      </c>
      <c r="V413" s="4" t="s">
        <v>540</v>
      </c>
      <c r="W413" s="4" t="s">
        <v>710</v>
      </c>
      <c r="X413" s="4" t="s">
        <v>710</v>
      </c>
      <c r="Y413" s="4">
        <v>4</v>
      </c>
      <c r="Z413" s="4" t="s">
        <v>710</v>
      </c>
      <c r="AA413" s="4">
        <v>4</v>
      </c>
      <c r="AB413" s="24"/>
      <c r="AC413" s="24"/>
      <c r="AD413" s="25"/>
      <c r="AE413" s="26"/>
      <c r="AF413" s="24"/>
      <c r="AG413" s="25"/>
      <c r="AH413" s="25"/>
      <c r="AJ413" s="4">
        <v>1.0389999999999999</v>
      </c>
      <c r="AK413" s="4">
        <v>1.0718000000000001</v>
      </c>
      <c r="AL413" s="4">
        <v>1.0397000000000001</v>
      </c>
      <c r="AM413" s="4">
        <v>3.2800000000000003E-2</v>
      </c>
      <c r="AN413" s="4">
        <v>6.9999999999999999E-4</v>
      </c>
      <c r="AO413" s="4">
        <v>0.97865853660000002</v>
      </c>
      <c r="AP413" s="4">
        <v>97.865853659999999</v>
      </c>
      <c r="AQ413" s="4">
        <v>1.0427999999999999</v>
      </c>
      <c r="AR413" s="4">
        <v>1.099</v>
      </c>
      <c r="AS413" s="4">
        <v>1.0468</v>
      </c>
      <c r="AT413" s="4">
        <v>5.62E-2</v>
      </c>
      <c r="AU413" s="4">
        <v>4.0000000000000001E-3</v>
      </c>
      <c r="AV413" s="4">
        <v>0.92882562280000003</v>
      </c>
      <c r="AW413" s="4">
        <v>92.882562280000002</v>
      </c>
    </row>
    <row r="414" spans="1:50">
      <c r="A414" s="4" t="s">
        <v>711</v>
      </c>
      <c r="B414" s="9" t="s">
        <v>472</v>
      </c>
      <c r="C414" s="5" t="s">
        <v>474</v>
      </c>
      <c r="D414" s="5" t="s">
        <v>475</v>
      </c>
      <c r="E414" s="5" t="s">
        <v>476</v>
      </c>
      <c r="F414" s="12" t="s">
        <v>474</v>
      </c>
      <c r="G414" s="12" t="s">
        <v>478</v>
      </c>
      <c r="H414" s="12" t="s">
        <v>462</v>
      </c>
      <c r="I414" s="8">
        <v>45245</v>
      </c>
      <c r="J414" s="10" t="s">
        <v>477</v>
      </c>
      <c r="K414" s="11">
        <v>1</v>
      </c>
      <c r="L414" s="11">
        <v>10</v>
      </c>
      <c r="M414" s="11">
        <v>4</v>
      </c>
      <c r="N414" s="6" t="s">
        <v>479</v>
      </c>
      <c r="O414" s="7">
        <v>31.3</v>
      </c>
      <c r="P414" s="7">
        <v>23.9</v>
      </c>
      <c r="Q414" s="7">
        <v>6.4</v>
      </c>
      <c r="R414" s="4">
        <v>165</v>
      </c>
      <c r="S414" s="4">
        <f t="shared" si="22"/>
        <v>0.16500000000000001</v>
      </c>
      <c r="T414" s="4">
        <f t="shared" si="23"/>
        <v>1.5814696485623003E-2</v>
      </c>
      <c r="V414" s="4" t="s">
        <v>540</v>
      </c>
      <c r="W414" s="4" t="s">
        <v>711</v>
      </c>
      <c r="X414" s="4" t="s">
        <v>711</v>
      </c>
      <c r="Y414" s="4">
        <v>5</v>
      </c>
      <c r="Z414" s="4" t="s">
        <v>711</v>
      </c>
      <c r="AA414" s="4">
        <v>5</v>
      </c>
      <c r="AB414" s="24"/>
      <c r="AC414" s="24"/>
      <c r="AD414" s="25"/>
      <c r="AE414" s="26"/>
      <c r="AF414" s="24"/>
      <c r="AG414" s="25"/>
      <c r="AH414" s="25"/>
      <c r="AJ414" s="4">
        <v>1.0415000000000001</v>
      </c>
      <c r="AK414" s="4">
        <v>1.0478000000000001</v>
      </c>
      <c r="AL414" s="4">
        <v>1.0418000000000001</v>
      </c>
      <c r="AM414" s="4">
        <v>6.3E-3</v>
      </c>
      <c r="AN414" s="4">
        <v>2.9999999999999997E-4</v>
      </c>
      <c r="AO414" s="4">
        <v>0.95238095239999998</v>
      </c>
      <c r="AP414" s="4">
        <v>95.238095240000007</v>
      </c>
      <c r="AQ414" s="4">
        <v>1.0354000000000001</v>
      </c>
      <c r="AR414" s="4">
        <v>1.0743</v>
      </c>
      <c r="AS414" s="4">
        <v>1.038</v>
      </c>
      <c r="AT414" s="4">
        <v>3.8899999999999997E-2</v>
      </c>
      <c r="AU414" s="4">
        <v>2.5999999999999999E-3</v>
      </c>
      <c r="AV414" s="4">
        <v>0.93316195369999999</v>
      </c>
      <c r="AW414" s="4">
        <v>93.316195370000003</v>
      </c>
    </row>
    <row r="415" spans="1:50">
      <c r="A415" s="4" t="s">
        <v>712</v>
      </c>
      <c r="B415" s="9" t="s">
        <v>472</v>
      </c>
      <c r="C415" s="5" t="s">
        <v>474</v>
      </c>
      <c r="D415" s="5" t="s">
        <v>475</v>
      </c>
      <c r="E415" s="5" t="s">
        <v>476</v>
      </c>
      <c r="F415" s="12" t="s">
        <v>474</v>
      </c>
      <c r="G415" s="12" t="s">
        <v>478</v>
      </c>
      <c r="H415" s="12" t="s">
        <v>462</v>
      </c>
      <c r="I415" s="8">
        <v>45245</v>
      </c>
      <c r="J415" s="10" t="s">
        <v>477</v>
      </c>
      <c r="K415" s="11">
        <v>1</v>
      </c>
      <c r="L415" s="11">
        <v>10</v>
      </c>
      <c r="M415" s="11">
        <v>4</v>
      </c>
      <c r="N415" s="6" t="s">
        <v>479</v>
      </c>
      <c r="O415" s="7">
        <v>48</v>
      </c>
      <c r="P415" s="7">
        <v>37.700000000000003</v>
      </c>
      <c r="Q415" s="7">
        <v>10.6</v>
      </c>
      <c r="R415" s="4">
        <v>705</v>
      </c>
      <c r="S415" s="4">
        <f t="shared" si="22"/>
        <v>0.70499999999999996</v>
      </c>
      <c r="T415" s="4">
        <f t="shared" si="23"/>
        <v>4.4062499999999998E-2</v>
      </c>
      <c r="V415" s="4" t="s">
        <v>540</v>
      </c>
      <c r="W415" s="4" t="s">
        <v>712</v>
      </c>
      <c r="X415" s="4" t="s">
        <v>712</v>
      </c>
      <c r="Y415" s="4">
        <v>6</v>
      </c>
      <c r="Z415" s="4" t="s">
        <v>712</v>
      </c>
      <c r="AA415" s="4">
        <v>6</v>
      </c>
      <c r="AB415" s="24"/>
      <c r="AC415" s="24"/>
      <c r="AD415" s="25"/>
      <c r="AE415" s="26"/>
      <c r="AF415" s="24"/>
      <c r="AG415" s="25"/>
      <c r="AH415" s="25"/>
      <c r="AJ415" s="4">
        <v>1.0631999999999999</v>
      </c>
      <c r="AK415" s="4">
        <v>1.0831999999999999</v>
      </c>
      <c r="AL415" s="4">
        <v>1.0651999999999999</v>
      </c>
      <c r="AM415" s="4">
        <v>0.02</v>
      </c>
      <c r="AN415" s="4">
        <v>2E-3</v>
      </c>
      <c r="AO415" s="4">
        <v>0.9</v>
      </c>
      <c r="AP415" s="4">
        <v>90</v>
      </c>
      <c r="AQ415" s="4">
        <v>1.0543</v>
      </c>
      <c r="AR415" s="4">
        <v>1.0925</v>
      </c>
      <c r="AS415" s="4">
        <v>1.0593999999999999</v>
      </c>
      <c r="AT415" s="4">
        <v>3.8199999999999998E-2</v>
      </c>
      <c r="AU415" s="4">
        <v>5.1000000000000004E-3</v>
      </c>
      <c r="AV415" s="4">
        <v>0.86649214659999996</v>
      </c>
      <c r="AW415" s="4">
        <v>86.649214659999998</v>
      </c>
      <c r="AX415" s="27">
        <v>82.16</v>
      </c>
    </row>
    <row r="416" spans="1:50">
      <c r="A416" s="4" t="s">
        <v>713</v>
      </c>
      <c r="B416" s="9" t="s">
        <v>472</v>
      </c>
      <c r="C416" s="5" t="s">
        <v>474</v>
      </c>
      <c r="D416" s="5" t="s">
        <v>475</v>
      </c>
      <c r="E416" s="5" t="s">
        <v>476</v>
      </c>
      <c r="F416" s="12" t="s">
        <v>474</v>
      </c>
      <c r="G416" s="12" t="s">
        <v>478</v>
      </c>
      <c r="H416" s="12" t="s">
        <v>462</v>
      </c>
      <c r="I416" s="8">
        <v>45245</v>
      </c>
      <c r="J416" s="10" t="s">
        <v>477</v>
      </c>
      <c r="K416" s="11">
        <v>1</v>
      </c>
      <c r="L416" s="11">
        <v>10</v>
      </c>
      <c r="M416" s="11">
        <v>4</v>
      </c>
      <c r="N416" s="6" t="s">
        <v>479</v>
      </c>
      <c r="O416" s="7">
        <v>45.2</v>
      </c>
      <c r="P416" s="7">
        <v>35</v>
      </c>
      <c r="Q416" s="7">
        <v>10.1</v>
      </c>
      <c r="R416" s="4">
        <v>591</v>
      </c>
      <c r="S416" s="4">
        <f t="shared" si="22"/>
        <v>0.59099999999999997</v>
      </c>
      <c r="T416" s="4">
        <f t="shared" si="23"/>
        <v>3.9225663716814158E-2</v>
      </c>
      <c r="V416" s="4" t="s">
        <v>540</v>
      </c>
      <c r="W416" s="4" t="s">
        <v>713</v>
      </c>
      <c r="X416" s="4" t="s">
        <v>713</v>
      </c>
      <c r="Y416" s="4">
        <v>7</v>
      </c>
      <c r="Z416" s="4" t="s">
        <v>713</v>
      </c>
      <c r="AA416" s="4">
        <v>7</v>
      </c>
      <c r="AB416" s="24"/>
      <c r="AC416" s="24"/>
      <c r="AD416" s="25"/>
      <c r="AE416" s="26"/>
      <c r="AF416" s="24"/>
      <c r="AG416" s="25"/>
      <c r="AH416" s="25"/>
      <c r="AJ416" s="4">
        <v>1.0509999999999999</v>
      </c>
      <c r="AK416" s="4">
        <v>1.0734999999999999</v>
      </c>
      <c r="AL416" s="4">
        <v>1.0531999999999999</v>
      </c>
      <c r="AM416" s="4">
        <v>2.2499999999999999E-2</v>
      </c>
      <c r="AN416" s="4">
        <v>2.2000000000000001E-3</v>
      </c>
      <c r="AO416" s="4">
        <v>0.90222222220000003</v>
      </c>
      <c r="AP416" s="4">
        <v>90.222222220000006</v>
      </c>
      <c r="AQ416" s="4">
        <v>1.0418000000000001</v>
      </c>
      <c r="AR416" s="4">
        <v>1.1108</v>
      </c>
      <c r="AS416" s="4">
        <v>1.0475000000000001</v>
      </c>
      <c r="AT416" s="4">
        <v>6.9000000000000006E-2</v>
      </c>
      <c r="AU416" s="4">
        <v>5.7000000000000002E-3</v>
      </c>
      <c r="AV416" s="4">
        <v>0.91739130430000004</v>
      </c>
      <c r="AW416" s="4">
        <v>91.739130430000003</v>
      </c>
    </row>
    <row r="417" spans="1:50">
      <c r="A417" s="4" t="s">
        <v>714</v>
      </c>
      <c r="B417" s="9" t="s">
        <v>472</v>
      </c>
      <c r="C417" s="5" t="s">
        <v>474</v>
      </c>
      <c r="D417" s="5" t="s">
        <v>475</v>
      </c>
      <c r="E417" s="5" t="s">
        <v>476</v>
      </c>
      <c r="F417" s="12" t="s">
        <v>474</v>
      </c>
      <c r="G417" s="12" t="s">
        <v>478</v>
      </c>
      <c r="H417" s="12" t="s">
        <v>462</v>
      </c>
      <c r="I417" s="8">
        <v>45245</v>
      </c>
      <c r="J417" s="10" t="s">
        <v>477</v>
      </c>
      <c r="K417" s="11">
        <v>1</v>
      </c>
      <c r="L417" s="11">
        <v>10</v>
      </c>
      <c r="M417" s="11">
        <v>4</v>
      </c>
      <c r="N417" s="6" t="s">
        <v>560</v>
      </c>
      <c r="O417" s="7">
        <v>30.7</v>
      </c>
      <c r="P417" s="7">
        <v>24.3</v>
      </c>
      <c r="Q417" s="7">
        <v>6.9</v>
      </c>
      <c r="R417" s="4">
        <v>188</v>
      </c>
      <c r="S417" s="4">
        <f t="shared" si="22"/>
        <v>0.188</v>
      </c>
      <c r="T417" s="4">
        <f t="shared" si="23"/>
        <v>1.8371335504885993E-2</v>
      </c>
      <c r="V417" s="4" t="s">
        <v>540</v>
      </c>
      <c r="W417" s="4" t="s">
        <v>714</v>
      </c>
      <c r="X417" s="4" t="s">
        <v>714</v>
      </c>
      <c r="Y417" s="4">
        <v>8</v>
      </c>
      <c r="Z417" s="4" t="s">
        <v>714</v>
      </c>
      <c r="AA417" s="4">
        <v>8</v>
      </c>
      <c r="AB417" s="24"/>
      <c r="AC417" s="24"/>
      <c r="AD417" s="25"/>
      <c r="AE417" s="26"/>
      <c r="AF417" s="24"/>
      <c r="AG417" s="25"/>
      <c r="AH417" s="25"/>
      <c r="AJ417" s="4">
        <v>1.0504</v>
      </c>
      <c r="AK417" s="4">
        <v>1.0645</v>
      </c>
      <c r="AL417" s="4">
        <v>1.0511999999999999</v>
      </c>
      <c r="AM417" s="4">
        <v>1.41E-2</v>
      </c>
      <c r="AN417" s="4">
        <v>8.0000000000000004E-4</v>
      </c>
      <c r="AO417" s="4">
        <v>0.94326241129999999</v>
      </c>
      <c r="AP417" s="4">
        <v>94.32624113</v>
      </c>
      <c r="AQ417" s="4">
        <v>1.069</v>
      </c>
      <c r="AR417" s="4">
        <v>1.1247</v>
      </c>
      <c r="AS417" s="4">
        <v>1.0726</v>
      </c>
      <c r="AT417" s="4">
        <v>5.57E-2</v>
      </c>
      <c r="AU417" s="4">
        <v>3.5999999999999999E-3</v>
      </c>
      <c r="AV417" s="4">
        <v>0.93536804309999999</v>
      </c>
      <c r="AW417" s="4">
        <v>93.536804309999994</v>
      </c>
    </row>
    <row r="418" spans="1:50">
      <c r="A418" s="4" t="s">
        <v>715</v>
      </c>
      <c r="B418" s="9" t="s">
        <v>472</v>
      </c>
      <c r="C418" s="5" t="s">
        <v>474</v>
      </c>
      <c r="D418" s="5" t="s">
        <v>475</v>
      </c>
      <c r="E418" s="5" t="s">
        <v>476</v>
      </c>
      <c r="F418" s="12" t="s">
        <v>474</v>
      </c>
      <c r="G418" s="12" t="s">
        <v>478</v>
      </c>
      <c r="H418" s="12" t="s">
        <v>462</v>
      </c>
      <c r="I418" s="8">
        <v>45245</v>
      </c>
      <c r="J418" s="10" t="s">
        <v>477</v>
      </c>
      <c r="K418" s="11">
        <v>1</v>
      </c>
      <c r="L418" s="11">
        <v>10</v>
      </c>
      <c r="M418" s="11">
        <v>4</v>
      </c>
      <c r="N418" s="6" t="s">
        <v>479</v>
      </c>
      <c r="O418" s="7">
        <v>41.8</v>
      </c>
      <c r="P418" s="7">
        <v>33.299999999999997</v>
      </c>
      <c r="Q418" s="7">
        <v>9.6999999999999993</v>
      </c>
      <c r="R418" s="4">
        <v>500</v>
      </c>
      <c r="S418" s="13">
        <f t="shared" si="22"/>
        <v>0.5</v>
      </c>
      <c r="T418" s="4">
        <f t="shared" si="23"/>
        <v>3.5885167464114832E-2</v>
      </c>
      <c r="V418" s="4" t="s">
        <v>540</v>
      </c>
      <c r="W418" s="4" t="s">
        <v>715</v>
      </c>
      <c r="X418" s="4" t="s">
        <v>715</v>
      </c>
      <c r="Y418" s="4">
        <v>9</v>
      </c>
      <c r="Z418" s="4" t="s">
        <v>715</v>
      </c>
      <c r="AA418" s="4">
        <v>9</v>
      </c>
      <c r="AB418" s="24"/>
      <c r="AC418" s="24"/>
      <c r="AD418" s="25"/>
      <c r="AE418" s="26"/>
      <c r="AF418" s="24"/>
      <c r="AG418" s="25"/>
      <c r="AH418" s="25"/>
      <c r="AJ418" s="4">
        <v>1.0636000000000001</v>
      </c>
      <c r="AK418" s="4">
        <v>1.0953999999999999</v>
      </c>
      <c r="AL418" s="4">
        <v>1.0651999999999999</v>
      </c>
      <c r="AM418" s="4">
        <v>3.1800000000000002E-2</v>
      </c>
      <c r="AN418" s="4">
        <v>1.6000000000000001E-3</v>
      </c>
      <c r="AO418" s="4">
        <v>0.94968553460000005</v>
      </c>
      <c r="AP418" s="4">
        <v>94.968553459999995</v>
      </c>
      <c r="AX418" s="27">
        <v>86</v>
      </c>
    </row>
    <row r="419" spans="1:50">
      <c r="A419" s="4" t="s">
        <v>716</v>
      </c>
      <c r="B419" s="9" t="s">
        <v>472</v>
      </c>
      <c r="C419" s="5" t="s">
        <v>474</v>
      </c>
      <c r="D419" s="5" t="s">
        <v>475</v>
      </c>
      <c r="E419" s="5" t="s">
        <v>476</v>
      </c>
      <c r="F419" s="12" t="s">
        <v>474</v>
      </c>
      <c r="G419" s="12" t="s">
        <v>478</v>
      </c>
      <c r="H419" s="12" t="s">
        <v>462</v>
      </c>
      <c r="I419" s="8">
        <v>45245</v>
      </c>
      <c r="J419" s="10" t="s">
        <v>477</v>
      </c>
      <c r="K419" s="11">
        <v>1</v>
      </c>
      <c r="L419" s="11">
        <v>10</v>
      </c>
      <c r="M419" s="11">
        <v>4</v>
      </c>
      <c r="N419" s="6" t="s">
        <v>479</v>
      </c>
      <c r="O419" s="7">
        <v>48.9</v>
      </c>
      <c r="P419" s="7">
        <v>40</v>
      </c>
      <c r="Q419" s="7">
        <v>10.3</v>
      </c>
      <c r="R419" s="4">
        <v>807</v>
      </c>
      <c r="S419" s="4">
        <f t="shared" si="22"/>
        <v>0.80700000000000005</v>
      </c>
      <c r="T419" s="4">
        <f t="shared" si="23"/>
        <v>4.9509202453987732E-2</v>
      </c>
      <c r="V419" s="4" t="s">
        <v>540</v>
      </c>
      <c r="W419" s="4" t="s">
        <v>716</v>
      </c>
      <c r="X419" s="4" t="s">
        <v>716</v>
      </c>
      <c r="Y419" s="4">
        <v>10</v>
      </c>
      <c r="Z419" s="4" t="s">
        <v>716</v>
      </c>
      <c r="AA419" s="4">
        <v>10</v>
      </c>
      <c r="AB419" s="24"/>
      <c r="AC419" s="24"/>
      <c r="AD419" s="25"/>
      <c r="AE419" s="26"/>
      <c r="AF419" s="24"/>
      <c r="AG419" s="25"/>
      <c r="AH419" s="25"/>
      <c r="AJ419" s="4">
        <v>1.0538000000000001</v>
      </c>
      <c r="AK419" s="4">
        <v>1.0706</v>
      </c>
      <c r="AL419" s="4">
        <v>1.056</v>
      </c>
      <c r="AM419" s="4">
        <v>1.6799999999999999E-2</v>
      </c>
      <c r="AN419" s="4">
        <v>2.2000000000000001E-3</v>
      </c>
      <c r="AO419" s="4">
        <v>0.86904761900000005</v>
      </c>
      <c r="AP419" s="4">
        <v>86.904761899999997</v>
      </c>
      <c r="AQ419" s="4">
        <v>1.0346</v>
      </c>
      <c r="AR419" s="4">
        <v>1.0784</v>
      </c>
      <c r="AS419" s="4">
        <v>1.0465</v>
      </c>
      <c r="AT419" s="4">
        <v>4.3799999999999999E-2</v>
      </c>
      <c r="AU419" s="4">
        <v>1.1900000000000001E-2</v>
      </c>
      <c r="AV419" s="4">
        <v>0.72831050230000005</v>
      </c>
      <c r="AW419" s="4">
        <v>72.831050230000002</v>
      </c>
      <c r="AX419" s="27">
        <v>56.35</v>
      </c>
    </row>
    <row r="420" spans="1:50">
      <c r="A420" s="4" t="s">
        <v>717</v>
      </c>
      <c r="B420" s="9" t="s">
        <v>472</v>
      </c>
      <c r="C420" s="5" t="s">
        <v>474</v>
      </c>
      <c r="D420" s="5" t="s">
        <v>475</v>
      </c>
      <c r="E420" s="5" t="s">
        <v>476</v>
      </c>
      <c r="F420" s="12" t="s">
        <v>474</v>
      </c>
      <c r="G420" s="12" t="s">
        <v>478</v>
      </c>
      <c r="H420" s="12" t="s">
        <v>462</v>
      </c>
      <c r="I420" s="8">
        <v>45245</v>
      </c>
      <c r="J420" s="10" t="s">
        <v>477</v>
      </c>
      <c r="K420" s="11">
        <v>1</v>
      </c>
      <c r="L420" s="11">
        <v>10</v>
      </c>
      <c r="M420" s="11">
        <v>4</v>
      </c>
      <c r="N420" s="6" t="s">
        <v>560</v>
      </c>
      <c r="O420" s="7">
        <v>25.7</v>
      </c>
      <c r="P420" s="7">
        <v>20.2</v>
      </c>
      <c r="Q420" s="7">
        <v>6.1</v>
      </c>
      <c r="R420" s="4">
        <v>111</v>
      </c>
      <c r="S420" s="4">
        <f t="shared" si="22"/>
        <v>0.111</v>
      </c>
      <c r="T420" s="4">
        <f t="shared" si="23"/>
        <v>1.2957198443579766E-2</v>
      </c>
      <c r="V420" s="4" t="s">
        <v>540</v>
      </c>
      <c r="W420" s="4" t="s">
        <v>717</v>
      </c>
      <c r="X420" s="4" t="s">
        <v>717</v>
      </c>
      <c r="Y420" s="4">
        <v>11</v>
      </c>
      <c r="Z420" s="4" t="s">
        <v>717</v>
      </c>
      <c r="AA420" s="4">
        <v>11</v>
      </c>
      <c r="AB420" s="24"/>
      <c r="AC420" s="24"/>
      <c r="AD420" s="25"/>
      <c r="AE420" s="26"/>
      <c r="AF420" s="24"/>
      <c r="AG420" s="25"/>
      <c r="AH420" s="25"/>
      <c r="AJ420" s="4">
        <v>1.0504</v>
      </c>
      <c r="AK420" s="4">
        <v>1.0603</v>
      </c>
      <c r="AL420" s="4">
        <v>1.0507</v>
      </c>
      <c r="AM420" s="4">
        <v>9.9000000000000008E-3</v>
      </c>
      <c r="AN420" s="4">
        <v>2.9999999999999997E-4</v>
      </c>
      <c r="AO420" s="4">
        <v>0.96969696969999997</v>
      </c>
      <c r="AP420" s="4">
        <v>96.969696970000001</v>
      </c>
    </row>
    <row r="421" spans="1:50">
      <c r="A421" s="4" t="s">
        <v>718</v>
      </c>
      <c r="B421" s="9" t="s">
        <v>472</v>
      </c>
      <c r="C421" s="5" t="s">
        <v>474</v>
      </c>
      <c r="D421" s="5" t="s">
        <v>475</v>
      </c>
      <c r="E421" s="5" t="s">
        <v>476</v>
      </c>
      <c r="F421" s="12" t="s">
        <v>474</v>
      </c>
      <c r="G421" s="12" t="s">
        <v>478</v>
      </c>
      <c r="H421" s="12" t="s">
        <v>462</v>
      </c>
      <c r="I421" s="8">
        <v>45245</v>
      </c>
      <c r="J421" s="10" t="s">
        <v>477</v>
      </c>
      <c r="K421" s="11">
        <v>1</v>
      </c>
      <c r="L421" s="11">
        <v>10</v>
      </c>
      <c r="M421" s="11">
        <v>4</v>
      </c>
      <c r="N421" s="6" t="s">
        <v>560</v>
      </c>
      <c r="O421" s="7">
        <v>28.9</v>
      </c>
      <c r="P421" s="7">
        <v>22.1</v>
      </c>
      <c r="Q421" s="7">
        <v>6.5</v>
      </c>
      <c r="R421" s="4">
        <v>176</v>
      </c>
      <c r="S421" s="4">
        <f t="shared" si="22"/>
        <v>0.17599999999999999</v>
      </c>
      <c r="T421" s="4">
        <f t="shared" si="23"/>
        <v>1.8269896193771624E-2</v>
      </c>
      <c r="V421" s="4" t="s">
        <v>540</v>
      </c>
      <c r="W421" s="4" t="s">
        <v>718</v>
      </c>
      <c r="X421" s="4" t="s">
        <v>718</v>
      </c>
      <c r="Y421" s="4">
        <v>12</v>
      </c>
      <c r="Z421" s="4" t="s">
        <v>718</v>
      </c>
      <c r="AA421" s="4">
        <v>12</v>
      </c>
      <c r="AB421" s="24"/>
      <c r="AC421" s="24"/>
      <c r="AD421" s="25"/>
      <c r="AE421" s="26"/>
      <c r="AF421" s="24"/>
      <c r="AG421" s="25"/>
      <c r="AH421" s="25"/>
      <c r="AJ421" s="4">
        <v>1.0334000000000001</v>
      </c>
      <c r="AK421" s="4">
        <v>1.0390999999999999</v>
      </c>
      <c r="AL421" s="4">
        <v>1.0338000000000001</v>
      </c>
      <c r="AM421" s="4">
        <v>5.7000000000000002E-3</v>
      </c>
      <c r="AN421" s="4">
        <v>4.0000000000000002E-4</v>
      </c>
      <c r="AO421" s="4">
        <v>0.92982456140000003</v>
      </c>
      <c r="AP421" s="4">
        <v>92.982456139999996</v>
      </c>
    </row>
    <row r="422" spans="1:50">
      <c r="A422" s="4" t="s">
        <v>719</v>
      </c>
      <c r="B422" s="17" t="s">
        <v>472</v>
      </c>
      <c r="C422" s="4" t="s">
        <v>474</v>
      </c>
      <c r="D422" s="5" t="s">
        <v>475</v>
      </c>
      <c r="E422" s="5" t="s">
        <v>476</v>
      </c>
      <c r="F422" s="10" t="s">
        <v>474</v>
      </c>
      <c r="G422" s="11" t="s">
        <v>478</v>
      </c>
      <c r="H422" s="12" t="s">
        <v>462</v>
      </c>
      <c r="I422" s="16">
        <v>45245</v>
      </c>
      <c r="J422" s="10" t="s">
        <v>477</v>
      </c>
      <c r="K422" s="11">
        <v>1</v>
      </c>
      <c r="L422" s="11">
        <v>10</v>
      </c>
      <c r="M422" s="11">
        <v>4</v>
      </c>
      <c r="N422" s="6" t="s">
        <v>560</v>
      </c>
      <c r="O422" s="4">
        <v>29.9</v>
      </c>
      <c r="P422" s="4">
        <v>23.8</v>
      </c>
      <c r="Q422" s="7">
        <v>6.5</v>
      </c>
      <c r="R422" s="15">
        <v>218</v>
      </c>
      <c r="S422" s="13">
        <v>0.218</v>
      </c>
      <c r="T422" s="4">
        <f t="shared" si="23"/>
        <v>2.1872909698996659E-2</v>
      </c>
      <c r="V422" s="4" t="s">
        <v>533</v>
      </c>
      <c r="W422" s="4" t="s">
        <v>719</v>
      </c>
    </row>
    <row r="423" spans="1:50">
      <c r="A423" s="4" t="s">
        <v>720</v>
      </c>
      <c r="B423" s="17" t="s">
        <v>472</v>
      </c>
      <c r="C423" s="4" t="s">
        <v>474</v>
      </c>
      <c r="D423" s="5" t="s">
        <v>475</v>
      </c>
      <c r="E423" s="5" t="s">
        <v>476</v>
      </c>
      <c r="F423" s="10" t="s">
        <v>474</v>
      </c>
      <c r="G423" s="11" t="s">
        <v>478</v>
      </c>
      <c r="H423" s="12" t="s">
        <v>462</v>
      </c>
      <c r="I423" s="16">
        <v>45245</v>
      </c>
      <c r="J423" s="10" t="s">
        <v>477</v>
      </c>
      <c r="K423" s="11">
        <v>1</v>
      </c>
      <c r="L423" s="11">
        <v>10</v>
      </c>
      <c r="M423" s="11">
        <v>4</v>
      </c>
      <c r="N423" s="6" t="s">
        <v>560</v>
      </c>
      <c r="O423" s="4">
        <v>29.3</v>
      </c>
      <c r="P423" s="4">
        <v>23.2</v>
      </c>
      <c r="Q423" s="7">
        <v>6.3</v>
      </c>
      <c r="R423" s="15">
        <v>200</v>
      </c>
      <c r="S423" s="13">
        <v>0.2</v>
      </c>
      <c r="T423" s="4">
        <f t="shared" si="23"/>
        <v>2.0477815699658702E-2</v>
      </c>
      <c r="V423" s="4" t="s">
        <v>533</v>
      </c>
      <c r="W423" s="4" t="s">
        <v>720</v>
      </c>
    </row>
    <row r="424" spans="1:50">
      <c r="A424" s="4" t="s">
        <v>721</v>
      </c>
      <c r="B424" s="17" t="s">
        <v>472</v>
      </c>
      <c r="C424" s="4" t="s">
        <v>474</v>
      </c>
      <c r="D424" s="5" t="s">
        <v>475</v>
      </c>
      <c r="E424" s="5" t="s">
        <v>476</v>
      </c>
      <c r="F424" s="10" t="s">
        <v>474</v>
      </c>
      <c r="G424" s="11" t="s">
        <v>478</v>
      </c>
      <c r="H424" s="12" t="s">
        <v>462</v>
      </c>
      <c r="I424" s="16">
        <v>45245</v>
      </c>
      <c r="J424" s="10" t="s">
        <v>477</v>
      </c>
      <c r="K424" s="11">
        <v>1</v>
      </c>
      <c r="L424" s="11">
        <v>10</v>
      </c>
      <c r="M424" s="11">
        <v>4</v>
      </c>
      <c r="N424" s="6" t="s">
        <v>479</v>
      </c>
      <c r="O424" s="4">
        <v>42.1</v>
      </c>
      <c r="P424" s="4">
        <v>32.6</v>
      </c>
      <c r="Q424" s="7">
        <v>8.6999999999999993</v>
      </c>
      <c r="R424" s="15">
        <v>578</v>
      </c>
      <c r="S424" s="13">
        <v>0.57799999999999996</v>
      </c>
      <c r="T424" s="4">
        <f t="shared" si="23"/>
        <v>4.1187648456057005E-2</v>
      </c>
      <c r="V424" s="4" t="s">
        <v>533</v>
      </c>
      <c r="W424" s="4" t="s">
        <v>721</v>
      </c>
    </row>
    <row r="425" spans="1:50">
      <c r="A425" s="4" t="s">
        <v>722</v>
      </c>
      <c r="B425" s="17" t="s">
        <v>472</v>
      </c>
      <c r="C425" s="4" t="s">
        <v>474</v>
      </c>
      <c r="D425" s="5" t="s">
        <v>475</v>
      </c>
      <c r="E425" s="5" t="s">
        <v>476</v>
      </c>
      <c r="F425" s="10" t="s">
        <v>474</v>
      </c>
      <c r="G425" s="11" t="s">
        <v>478</v>
      </c>
      <c r="H425" s="12" t="s">
        <v>462</v>
      </c>
      <c r="I425" s="16">
        <v>45245</v>
      </c>
      <c r="J425" s="10" t="s">
        <v>477</v>
      </c>
      <c r="K425" s="11">
        <v>1</v>
      </c>
      <c r="L425" s="11">
        <v>10</v>
      </c>
      <c r="M425" s="11">
        <v>4</v>
      </c>
      <c r="N425" s="6" t="s">
        <v>560</v>
      </c>
      <c r="O425" s="4">
        <v>25.8</v>
      </c>
      <c r="P425" s="4">
        <v>21.9</v>
      </c>
      <c r="Q425" s="7">
        <v>6.3</v>
      </c>
      <c r="R425" s="15">
        <v>186</v>
      </c>
      <c r="S425" s="13">
        <v>0.186</v>
      </c>
      <c r="T425" s="4">
        <f t="shared" si="23"/>
        <v>2.1627906976744184E-2</v>
      </c>
      <c r="V425" s="4" t="s">
        <v>533</v>
      </c>
      <c r="W425" s="4" t="s">
        <v>722</v>
      </c>
    </row>
    <row r="427" spans="1:50">
      <c r="I427" s="16"/>
      <c r="J427" s="16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I100"/>
  <sheetViews>
    <sheetView zoomScale="80" zoomScaleNormal="80" workbookViewId="0"/>
  </sheetViews>
  <sheetFormatPr defaultColWidth="14.42578125" defaultRowHeight="12.75"/>
  <cols>
    <col min="1" max="11" width="8.5703125" customWidth="1"/>
  </cols>
  <sheetData>
    <row r="1" spans="4:9" ht="12.75" customHeight="1"/>
    <row r="2" spans="4:9" ht="12.75" customHeight="1"/>
    <row r="3" spans="4:9" ht="12.75" customHeight="1"/>
    <row r="4" spans="4:9" ht="12.75" customHeight="1"/>
    <row r="5" spans="4:9" ht="12.75" customHeight="1"/>
    <row r="6" spans="4:9" ht="12.75" customHeight="1"/>
    <row r="7" spans="4:9" ht="12.75" customHeight="1">
      <c r="D7" s="2" t="s">
        <v>462</v>
      </c>
      <c r="E7">
        <v>315</v>
      </c>
      <c r="F7" t="s">
        <v>616</v>
      </c>
      <c r="G7" t="s">
        <v>616</v>
      </c>
      <c r="H7" t="s">
        <v>616</v>
      </c>
      <c r="I7" t="s">
        <v>616</v>
      </c>
    </row>
    <row r="8" spans="4:9" ht="12.75" customHeight="1">
      <c r="D8" t="s">
        <v>617</v>
      </c>
      <c r="E8" s="2" t="s">
        <v>466</v>
      </c>
      <c r="F8" s="2" t="s">
        <v>618</v>
      </c>
      <c r="G8" t="s">
        <v>616</v>
      </c>
      <c r="H8" t="s">
        <v>616</v>
      </c>
      <c r="I8" t="s">
        <v>616</v>
      </c>
    </row>
    <row r="9" spans="4:9" ht="12.75" customHeight="1">
      <c r="D9" t="s">
        <v>619</v>
      </c>
      <c r="E9">
        <v>1</v>
      </c>
      <c r="F9" t="s">
        <v>616</v>
      </c>
      <c r="G9" s="2" t="s">
        <v>470</v>
      </c>
      <c r="H9" t="s">
        <v>616</v>
      </c>
      <c r="I9" t="s">
        <v>616</v>
      </c>
    </row>
    <row r="10" spans="4:9" ht="12.75" customHeight="1">
      <c r="D10" t="s">
        <v>616</v>
      </c>
      <c r="E10">
        <v>2</v>
      </c>
      <c r="F10" t="s">
        <v>616</v>
      </c>
      <c r="G10" s="1" t="s">
        <v>620</v>
      </c>
      <c r="H10" s="2" t="s">
        <v>621</v>
      </c>
      <c r="I10" t="s">
        <v>616</v>
      </c>
    </row>
    <row r="11" spans="4:9" ht="12.75" customHeight="1">
      <c r="D11" t="s">
        <v>616</v>
      </c>
      <c r="E11">
        <v>3</v>
      </c>
      <c r="F11" t="s">
        <v>616</v>
      </c>
      <c r="G11" s="1" t="s">
        <v>622</v>
      </c>
      <c r="H11" t="s">
        <v>623</v>
      </c>
      <c r="I11" s="2" t="s">
        <v>624</v>
      </c>
    </row>
    <row r="12" spans="4:9" ht="12.75" customHeight="1">
      <c r="D12" t="s">
        <v>616</v>
      </c>
      <c r="E12">
        <v>4</v>
      </c>
      <c r="F12" t="s">
        <v>616</v>
      </c>
      <c r="G12" s="1" t="s">
        <v>625</v>
      </c>
      <c r="H12" t="s">
        <v>626</v>
      </c>
      <c r="I12" s="1" t="s">
        <v>627</v>
      </c>
    </row>
    <row r="13" spans="4:9" ht="12.75" customHeight="1">
      <c r="D13" t="s">
        <v>616</v>
      </c>
      <c r="E13">
        <v>5</v>
      </c>
      <c r="F13" t="s">
        <v>616</v>
      </c>
      <c r="G13" t="s">
        <v>616</v>
      </c>
      <c r="H13" t="s">
        <v>628</v>
      </c>
      <c r="I13" s="1" t="s">
        <v>629</v>
      </c>
    </row>
    <row r="14" spans="4:9" ht="12.75" customHeight="1">
      <c r="D14" t="s">
        <v>616</v>
      </c>
      <c r="E14">
        <v>6</v>
      </c>
      <c r="F14" t="s">
        <v>616</v>
      </c>
      <c r="G14" t="s">
        <v>616</v>
      </c>
      <c r="H14" t="s">
        <v>616</v>
      </c>
      <c r="I14" s="1" t="s">
        <v>630</v>
      </c>
    </row>
    <row r="15" spans="4:9" ht="12.75" customHeight="1">
      <c r="D15">
        <v>2</v>
      </c>
      <c r="E15">
        <f>D15*6</f>
        <v>12</v>
      </c>
      <c r="F15" t="s">
        <v>616</v>
      </c>
      <c r="G15">
        <f>E15*3</f>
        <v>36</v>
      </c>
      <c r="H15">
        <f>G15*3</f>
        <v>108</v>
      </c>
      <c r="I15">
        <f>H15*3</f>
        <v>324</v>
      </c>
    </row>
    <row r="16" spans="4:9" ht="12.75" customHeight="1"/>
    <row r="17" spans="4:4" ht="12.75" customHeight="1"/>
    <row r="18" spans="4:4" ht="12.75" customHeight="1"/>
    <row r="19" spans="4:4" ht="12.75" customHeight="1"/>
    <row r="20" spans="4:4" ht="12.75" customHeight="1"/>
    <row r="21" spans="4:4" ht="12.75" customHeight="1"/>
    <row r="22" spans="4:4" ht="12.75" customHeight="1">
      <c r="D22" s="3" t="s">
        <v>26</v>
      </c>
    </row>
    <row r="23" spans="4:4" ht="12.75" customHeight="1"/>
    <row r="24" spans="4:4" ht="12.75" customHeight="1"/>
    <row r="25" spans="4:4" ht="12.75" customHeight="1"/>
    <row r="26" spans="4:4" ht="12.75" customHeight="1"/>
    <row r="27" spans="4:4" ht="12.75" customHeight="1"/>
    <row r="28" spans="4:4" ht="12.75" customHeight="1"/>
    <row r="29" spans="4:4" ht="12.75" customHeight="1"/>
    <row r="30" spans="4:4" ht="12.75" customHeight="1"/>
    <row r="31" spans="4:4" ht="12.75" customHeight="1"/>
    <row r="32" spans="4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4B08-9761-4E26-8500-DD2C63D9261B}">
  <dimension ref="A1:G7"/>
  <sheetViews>
    <sheetView zoomScaleNormal="100" workbookViewId="0"/>
  </sheetViews>
  <sheetFormatPr defaultRowHeight="12.75"/>
  <sheetData>
    <row r="1" spans="1:7"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</row>
    <row r="2" spans="1:7">
      <c r="A2" t="s">
        <v>489</v>
      </c>
      <c r="B2">
        <v>0</v>
      </c>
      <c r="C2">
        <v>0</v>
      </c>
      <c r="D2">
        <v>0</v>
      </c>
      <c r="E2">
        <v>0</v>
      </c>
      <c r="F2">
        <v>0</v>
      </c>
      <c r="G2">
        <v>29</v>
      </c>
    </row>
    <row r="3" spans="1:7">
      <c r="A3" t="s">
        <v>481</v>
      </c>
      <c r="B3">
        <v>0</v>
      </c>
      <c r="C3">
        <v>0</v>
      </c>
      <c r="D3">
        <v>0</v>
      </c>
      <c r="E3">
        <v>0</v>
      </c>
      <c r="F3">
        <v>0</v>
      </c>
      <c r="G3">
        <v>42</v>
      </c>
    </row>
    <row r="4" spans="1:7">
      <c r="A4" t="s">
        <v>487</v>
      </c>
      <c r="B4">
        <v>0</v>
      </c>
      <c r="C4">
        <v>0</v>
      </c>
      <c r="D4">
        <v>0</v>
      </c>
      <c r="E4">
        <v>0</v>
      </c>
      <c r="F4">
        <v>0</v>
      </c>
      <c r="G4">
        <v>33</v>
      </c>
    </row>
    <row r="5" spans="1:7">
      <c r="A5" t="s">
        <v>491</v>
      </c>
      <c r="B5">
        <v>0</v>
      </c>
      <c r="C5">
        <v>3</v>
      </c>
      <c r="D5">
        <v>0</v>
      </c>
      <c r="E5">
        <v>17</v>
      </c>
      <c r="F5">
        <v>27</v>
      </c>
      <c r="G5">
        <v>33</v>
      </c>
    </row>
    <row r="6" spans="1:7">
      <c r="A6" t="s">
        <v>494</v>
      </c>
      <c r="B6">
        <v>1</v>
      </c>
      <c r="C6">
        <v>3</v>
      </c>
      <c r="D6">
        <v>18</v>
      </c>
      <c r="E6">
        <v>10</v>
      </c>
      <c r="F6">
        <v>40</v>
      </c>
      <c r="G6">
        <v>52</v>
      </c>
    </row>
    <row r="7" spans="1:7">
      <c r="A7" t="s">
        <v>472</v>
      </c>
      <c r="B7">
        <v>0</v>
      </c>
      <c r="C7">
        <v>5</v>
      </c>
      <c r="D7">
        <v>25</v>
      </c>
      <c r="E7">
        <v>73</v>
      </c>
      <c r="F7">
        <v>10</v>
      </c>
      <c r="G7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original</vt:lpstr>
      <vt:lpstr>peixes-x</vt:lpstr>
      <vt:lpstr>peixes-fisio</vt:lpstr>
      <vt:lpstr>codes</vt:lpstr>
      <vt:lpstr>comunidade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Elvio Medeiros</dc:creator>
  <cp:keywords/>
  <dc:description/>
  <cp:lastModifiedBy>Elvio Medeiros</cp:lastModifiedBy>
  <cp:revision>27</cp:revision>
  <dcterms:created xsi:type="dcterms:W3CDTF">2024-02-26T20:23:28Z</dcterms:created>
  <dcterms:modified xsi:type="dcterms:W3CDTF">2026-06-18T22:30:39Z</dcterms:modified>
  <cp:category/>
  <cp:contentStatus/>
</cp:coreProperties>
</file>