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rebio23-mxr/mxr23_Q/data/"/>
    </mc:Choice>
  </mc:AlternateContent>
  <xr:revisionPtr revIDLastSave="195" documentId="11_FE56B542C92F4BF2C24FCCA07D5FC0E7B667B7AC" xr6:coauthVersionLast="47" xr6:coauthVersionMax="47" xr10:uidLastSave="{8275C021-2FF3-4AC9-8E3E-B34FF734AF67}"/>
  <bookViews>
    <workbookView xWindow="2310" yWindow="-13620" windowWidth="24240" windowHeight="13020" tabRatio="500" activeTab="2" xr2:uid="{00000000-000D-0000-FFFF-FFFF00000000}"/>
  </bookViews>
  <sheets>
    <sheet name="datapoints" sheetId="1" r:id="rId1"/>
    <sheet name="original" sheetId="6" r:id="rId2"/>
    <sheet name="ambiente" sheetId="3" r:id="rId3"/>
    <sheet name="nutri" sheetId="5" r:id="rId4"/>
    <sheet name="grupos" sheetId="2" r:id="rId5"/>
    <sheet name="variaveis" sheetId="4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Y98" i="6" l="1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G98" i="6"/>
  <c r="AF98" i="6"/>
  <c r="AD98" i="6"/>
  <c r="AC98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G97" i="6"/>
  <c r="AF97" i="6"/>
  <c r="AD97" i="6"/>
  <c r="AC97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G96" i="6"/>
  <c r="AF96" i="6"/>
  <c r="AD96" i="6"/>
  <c r="AC96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G95" i="6"/>
  <c r="AF95" i="6"/>
  <c r="AD95" i="6"/>
  <c r="AC95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G94" i="6"/>
  <c r="AF94" i="6"/>
  <c r="AD94" i="6"/>
  <c r="AC94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G93" i="6"/>
  <c r="AF93" i="6"/>
  <c r="AD93" i="6"/>
  <c r="AC93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G92" i="6"/>
  <c r="AF92" i="6"/>
  <c r="AD92" i="6"/>
  <c r="AC92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G91" i="6"/>
  <c r="AF91" i="6"/>
  <c r="AD91" i="6"/>
  <c r="AC91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G90" i="6"/>
  <c r="AF90" i="6"/>
  <c r="AD90" i="6"/>
  <c r="AC90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G89" i="6"/>
  <c r="AF89" i="6"/>
  <c r="AD89" i="6"/>
  <c r="AC89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G88" i="6"/>
  <c r="AF88" i="6"/>
  <c r="AD88" i="6"/>
  <c r="AC88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G87" i="6"/>
  <c r="AF87" i="6"/>
  <c r="AD87" i="6"/>
  <c r="AC87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G86" i="6"/>
  <c r="AF86" i="6"/>
  <c r="AD86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G85" i="6"/>
  <c r="AF85" i="6"/>
  <c r="AD85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G84" i="6"/>
  <c r="AF84" i="6"/>
  <c r="AD84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G83" i="6"/>
  <c r="AF83" i="6"/>
  <c r="AD83" i="6"/>
  <c r="AC83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G82" i="6"/>
  <c r="AF82" i="6"/>
  <c r="AD82" i="6"/>
  <c r="AC82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G81" i="6"/>
  <c r="AF81" i="6"/>
  <c r="AD81" i="6"/>
  <c r="AC81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G80" i="6"/>
  <c r="AF80" i="6"/>
  <c r="AD80" i="6"/>
  <c r="AC80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G79" i="6"/>
  <c r="AF79" i="6"/>
  <c r="AD79" i="6"/>
  <c r="AC79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G78" i="6"/>
  <c r="AF78" i="6"/>
  <c r="AD78" i="6"/>
  <c r="AC78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G77" i="6"/>
  <c r="AF77" i="6"/>
  <c r="AD77" i="6"/>
  <c r="AC77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G76" i="6"/>
  <c r="AF76" i="6"/>
  <c r="AD76" i="6"/>
  <c r="AC76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G75" i="6"/>
  <c r="AF75" i="6"/>
  <c r="AD75" i="6"/>
  <c r="AC75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G74" i="6"/>
  <c r="AF74" i="6"/>
  <c r="AD74" i="6"/>
  <c r="AC74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G73" i="6"/>
  <c r="AF73" i="6"/>
  <c r="AD73" i="6"/>
  <c r="AC73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G72" i="6"/>
  <c r="AF72" i="6"/>
  <c r="AD72" i="6"/>
  <c r="AC72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G68" i="6"/>
  <c r="AF68" i="6"/>
  <c r="AD68" i="6"/>
  <c r="AC68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G67" i="6"/>
  <c r="AF67" i="6"/>
  <c r="AD67" i="6"/>
  <c r="AC67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G66" i="6"/>
  <c r="AF66" i="6"/>
  <c r="AD66" i="6"/>
  <c r="AC66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G65" i="6"/>
  <c r="AF65" i="6"/>
  <c r="AD65" i="6"/>
  <c r="AC65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G64" i="6"/>
  <c r="AF64" i="6"/>
  <c r="AD64" i="6"/>
  <c r="AC64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G63" i="6"/>
  <c r="AF63" i="6"/>
  <c r="AD63" i="6"/>
  <c r="AC63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G62" i="6"/>
  <c r="AF62" i="6"/>
  <c r="AD62" i="6"/>
  <c r="AC62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G61" i="6"/>
  <c r="AF61" i="6"/>
  <c r="AD61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G60" i="6"/>
  <c r="AF60" i="6"/>
  <c r="AD60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G59" i="6"/>
  <c r="AF59" i="6"/>
  <c r="AD59" i="6"/>
  <c r="AC59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G58" i="6"/>
  <c r="AF58" i="6"/>
  <c r="AD58" i="6"/>
  <c r="AC58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G57" i="6"/>
  <c r="AF57" i="6"/>
  <c r="AD57" i="6"/>
  <c r="AC57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G56" i="6"/>
  <c r="AF56" i="6"/>
  <c r="AD56" i="6"/>
  <c r="AC56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G55" i="6"/>
  <c r="AF55" i="6"/>
  <c r="AD55" i="6"/>
  <c r="AC55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G54" i="6"/>
  <c r="AF54" i="6"/>
  <c r="AD54" i="6"/>
  <c r="AC54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G53" i="6"/>
  <c r="AF53" i="6"/>
  <c r="AD53" i="6"/>
  <c r="AC53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G52" i="6"/>
  <c r="AF52" i="6"/>
  <c r="AD52" i="6"/>
  <c r="AC52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G51" i="6"/>
  <c r="AF51" i="6"/>
  <c r="AD51" i="6"/>
  <c r="AC51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G50" i="6"/>
  <c r="AF50" i="6"/>
  <c r="AD50" i="6"/>
  <c r="AC50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G49" i="6"/>
  <c r="AF49" i="6"/>
  <c r="AD49" i="6"/>
  <c r="AC49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G48" i="6"/>
  <c r="AF48" i="6"/>
  <c r="AD48" i="6"/>
  <c r="AC48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G47" i="6"/>
  <c r="AF47" i="6"/>
  <c r="AD47" i="6"/>
  <c r="AC47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G46" i="6"/>
  <c r="AF46" i="6"/>
  <c r="AD46" i="6"/>
  <c r="AC46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G45" i="6"/>
  <c r="AF45" i="6"/>
  <c r="AD45" i="6"/>
  <c r="AC45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G44" i="6"/>
  <c r="AF44" i="6"/>
  <c r="AD44" i="6"/>
  <c r="AC44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G43" i="6"/>
  <c r="AF43" i="6"/>
  <c r="AD43" i="6"/>
  <c r="AC43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G42" i="6"/>
  <c r="AF42" i="6"/>
  <c r="AD42" i="6"/>
  <c r="AC42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G41" i="6"/>
  <c r="AF41" i="6"/>
  <c r="AD41" i="6"/>
  <c r="AC41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G40" i="6"/>
  <c r="AF40" i="6"/>
  <c r="AD40" i="6"/>
  <c r="AC40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G39" i="6"/>
  <c r="AF39" i="6"/>
  <c r="AD39" i="6"/>
  <c r="AC39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G38" i="6"/>
  <c r="AF38" i="6"/>
  <c r="AD38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G37" i="6"/>
  <c r="AF37" i="6"/>
  <c r="AD37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G36" i="6"/>
  <c r="AF36" i="6"/>
  <c r="AD36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G35" i="6"/>
  <c r="AF35" i="6"/>
  <c r="AD35" i="6"/>
  <c r="AC35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G34" i="6"/>
  <c r="AF34" i="6"/>
  <c r="AD34" i="6"/>
  <c r="AC34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G33" i="6"/>
  <c r="AF33" i="6"/>
  <c r="AD33" i="6"/>
  <c r="AC33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G32" i="6"/>
  <c r="AF32" i="6"/>
  <c r="AD32" i="6"/>
  <c r="AC32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G31" i="6"/>
  <c r="AF31" i="6"/>
  <c r="AD31" i="6"/>
  <c r="AC31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G30" i="6"/>
  <c r="AF30" i="6"/>
  <c r="AD30" i="6"/>
  <c r="AC30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G29" i="6"/>
  <c r="AF29" i="6"/>
  <c r="AD29" i="6"/>
  <c r="AC29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G28" i="6"/>
  <c r="AF28" i="6"/>
  <c r="AD28" i="6"/>
  <c r="AC28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G27" i="6"/>
  <c r="AF27" i="6"/>
  <c r="AD27" i="6"/>
  <c r="AC27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G26" i="6"/>
  <c r="AF26" i="6"/>
  <c r="AD26" i="6"/>
  <c r="AC26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G25" i="6"/>
  <c r="AF25" i="6"/>
  <c r="AD25" i="6"/>
  <c r="AC25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G24" i="6"/>
  <c r="AF24" i="6"/>
  <c r="AD24" i="6"/>
  <c r="AC24" i="6"/>
  <c r="AD23" i="6"/>
  <c r="AD22" i="6"/>
  <c r="AD21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G20" i="6"/>
  <c r="AF20" i="6"/>
  <c r="AD20" i="6"/>
  <c r="AC20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G19" i="6"/>
  <c r="AF19" i="6"/>
  <c r="AD19" i="6"/>
  <c r="AC19" i="6"/>
  <c r="AY18" i="6"/>
  <c r="AX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G18" i="6"/>
  <c r="AF18" i="6"/>
  <c r="AD18" i="6"/>
  <c r="AC18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G17" i="6"/>
  <c r="AF17" i="6"/>
  <c r="AD17" i="6"/>
  <c r="AC17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G16" i="6"/>
  <c r="AF16" i="6"/>
  <c r="AD16" i="6"/>
  <c r="AC16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G15" i="6"/>
  <c r="AF15" i="6"/>
  <c r="AD15" i="6"/>
  <c r="AC15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G14" i="6"/>
  <c r="AF14" i="6"/>
  <c r="AD14" i="6"/>
  <c r="AC14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G13" i="6"/>
  <c r="AF13" i="6"/>
  <c r="AD13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G12" i="6"/>
  <c r="AF12" i="6"/>
  <c r="AD12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G11" i="6"/>
  <c r="AF11" i="6"/>
  <c r="AD11" i="6"/>
  <c r="AC11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G10" i="6"/>
  <c r="AF10" i="6"/>
  <c r="AD10" i="6"/>
  <c r="AC10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G9" i="6"/>
  <c r="AF9" i="6"/>
  <c r="AD9" i="6"/>
  <c r="AC9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G8" i="6"/>
  <c r="AF8" i="6"/>
  <c r="AD8" i="6"/>
  <c r="AC8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G7" i="6"/>
  <c r="AF7" i="6"/>
  <c r="AD7" i="6"/>
  <c r="AC7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AD6" i="6"/>
  <c r="AC6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G5" i="6"/>
  <c r="AF5" i="6"/>
  <c r="AD5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G4" i="6"/>
  <c r="AF4" i="6"/>
  <c r="AD4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G3" i="6"/>
  <c r="AF3" i="6"/>
  <c r="AD3" i="6"/>
  <c r="J9" i="4"/>
  <c r="L9" i="4" s="1"/>
  <c r="M9" i="4" s="1"/>
  <c r="N9" i="4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</calcChain>
</file>

<file path=xl/sharedStrings.xml><?xml version="1.0" encoding="utf-8"?>
<sst xmlns="http://schemas.openxmlformats.org/spreadsheetml/2006/main" count="3098" uniqueCount="418">
  <si>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</si>
  <si>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</si>
  <si>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</si>
  <si>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</si>
  <si>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</si>
  <si>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</si>
  <si>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</si>
  <si>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</si>
  <si>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</si>
  <si>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</si>
  <si>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</si>
  <si>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</si>
  <si>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</si>
  <si>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</si>
  <si>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</si>
  <si>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</si>
  <si>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</si>
  <si>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</si>
  <si>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</si>
  <si>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</si>
  <si>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</si>
  <si>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</si>
  <si>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</si>
  <si>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</si>
  <si>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</si>
  <si>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</si>
  <si>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</si>
  <si>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</si>
  <si>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</si>
  <si>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</si>
  <si>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</si>
  <si>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</si>
  <si>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</si>
  <si>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</si>
  <si>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</si>
  <si>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</si>
  <si>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</si>
  <si>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</si>
  <si>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</si>
  <si>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</si>
  <si>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</si>
  <si>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</si>
  <si>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</si>
  <si>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</si>
  <si>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</si>
  <si>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</si>
  <si>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</si>
  <si>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</si>
  <si>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</si>
  <si>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</si>
  <si>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</si>
  <si>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</si>
  <si>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</si>
  <si>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</si>
  <si>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</si>
  <si>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</si>
  <si>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</si>
  <si>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</si>
  <si>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</si>
  <si>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</si>
  <si>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</si>
  <si>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</si>
  <si>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</si>
  <si>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</si>
  <si>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</si>
  <si>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</si>
  <si>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</si>
  <si>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</si>
  <si>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</si>
  <si>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</si>
  <si>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</si>
  <si>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</si>
  <si>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</si>
  <si>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DO_%</t>
  </si>
  <si>
    <t>Turb_ntu</t>
  </si>
  <si>
    <t>Elev_m</t>
  </si>
  <si>
    <t>Slope</t>
  </si>
  <si>
    <t>Depth_max_cm</t>
  </si>
  <si>
    <t>Depth_avg_cm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</si>
  <si>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</si>
  <si>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</si>
  <si>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</si>
  <si>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</si>
  <si>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</si>
  <si>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</si>
  <si>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</si>
  <si>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</si>
  <si>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</si>
  <si>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</si>
  <si>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</si>
  <si>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</si>
  <si>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</si>
  <si>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</si>
  <si>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</si>
  <si>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</si>
  <si>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</si>
  <si>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</si>
  <si>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</si>
  <si>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</si>
  <si>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</si>
  <si>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</si>
  <si>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</si>
  <si>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</si>
  <si>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</si>
  <si>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</si>
  <si>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</si>
  <si>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</si>
  <si>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</si>
  <si>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</si>
  <si>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</si>
  <si>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</si>
  <si>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</si>
  <si>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</si>
  <si>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</si>
  <si>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</si>
  <si>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</si>
  <si>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</si>
  <si>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</si>
  <si>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</si>
  <si>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</si>
  <si>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</si>
  <si>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</si>
  <si>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</si>
  <si>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</si>
  <si>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</si>
  <si>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</si>
  <si>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</si>
  <si>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</si>
  <si>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</si>
  <si>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</si>
  <si>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</si>
  <si>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</si>
  <si>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</si>
  <si>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</si>
  <si>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</si>
  <si>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</si>
  <si>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</si>
  <si>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</si>
  <si>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</si>
  <si>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</si>
  <si>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</si>
  <si>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</si>
  <si>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</si>
  <si>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</si>
  <si>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</si>
  <si>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</si>
  <si>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</si>
  <si>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</si>
  <si>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</si>
  <si>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</si>
  <si>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</si>
  <si>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</si>
  <si>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</si>
  <si>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</si>
  <si>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</si>
  <si>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</si>
  <si>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</si>
  <si>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</si>
  <si>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</si>
  <si>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</si>
  <si>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</si>
  <si>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</si>
  <si>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</si>
  <si>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</si>
  <si>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</si>
  <si>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</si>
  <si>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</si>
  <si>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</si>
  <si>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</si>
  <si>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</si>
  <si>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</si>
  <si>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</si>
  <si>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</si>
  <si>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</si>
  <si>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</si>
  <si>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</si>
  <si>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</si>
  <si>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</si>
  <si>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</si>
  <si>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</si>
  <si>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</si>
  <si>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</si>
  <si>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</si>
  <si>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</si>
  <si>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</si>
  <si>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</si>
  <si>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</si>
  <si>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</si>
  <si>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</si>
  <si>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</si>
  <si>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</si>
  <si>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</si>
  <si>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</si>
  <si>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</si>
  <si>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</si>
  <si>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</si>
  <si>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</si>
  <si>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</si>
  <si>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</si>
  <si>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</si>
  <si>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</si>
  <si>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</si>
  <si>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</si>
  <si>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</si>
  <si>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</si>
  <si>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</si>
  <si>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</si>
  <si>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</si>
  <si>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</si>
  <si>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</si>
  <si>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</si>
  <si>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</si>
  <si>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</si>
  <si>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</si>
  <si>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</si>
  <si>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</si>
  <si>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</si>
  <si>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</si>
  <si>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</si>
  <si>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</si>
  <si>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</si>
  <si>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</si>
  <si>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</si>
  <si>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</si>
  <si>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</si>
  <si>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</si>
  <si>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</si>
  <si>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</si>
  <si>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</si>
  <si>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</si>
  <si>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</si>
  <si>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</si>
  <si>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</si>
  <si>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</si>
  <si>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</si>
  <si>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</si>
  <si>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</si>
  <si>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</si>
  <si>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</si>
  <si>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</si>
  <si>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</si>
  <si>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</si>
  <si>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</si>
  <si>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</si>
  <si>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</si>
  <si>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</si>
  <si>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</si>
  <si>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</si>
  <si>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</si>
  <si>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</si>
  <si>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</si>
  <si>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</si>
  <si>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</si>
  <si>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</si>
  <si>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</si>
  <si>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</si>
  <si>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</si>
  <si>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</si>
  <si>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</si>
  <si>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</si>
  <si>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</si>
  <si>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</si>
  <si>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</si>
  <si>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</si>
  <si>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</si>
  <si>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</si>
  <si>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</si>
  <si>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</si>
  <si>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</si>
  <si>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</si>
  <si>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</si>
  <si>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</si>
  <si>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</si>
  <si>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</si>
  <si>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</si>
  <si>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</si>
  <si>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</si>
  <si>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</si>
  <si>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</si>
  <si>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</si>
  <si>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</si>
  <si>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</si>
  <si>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</si>
  <si>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</si>
  <si>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</si>
  <si>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</si>
  <si>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</si>
  <si>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</si>
  <si>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</si>
  <si>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</si>
  <si>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</si>
  <si>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</si>
  <si>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</si>
  <si>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</si>
  <si>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</si>
  <si>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</si>
  <si>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</si>
  <si>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</si>
  <si>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</si>
  <si>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</si>
  <si>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</si>
  <si>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</si>
  <si>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</si>
  <si>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</si>
  <si>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</si>
  <si>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</si>
  <si>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</si>
  <si>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</si>
  <si>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</si>
  <si>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</si>
  <si>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</si>
  <si>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</si>
  <si>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</si>
  <si>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</si>
  <si>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</si>
  <si>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</si>
  <si>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</si>
  <si>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</si>
  <si>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</si>
  <si>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</si>
  <si>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</si>
  <si>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</si>
  <si>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</si>
  <si>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</si>
  <si>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</si>
  <si>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</si>
  <si>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</si>
  <si>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</si>
  <si>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</si>
  <si>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</si>
  <si>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</si>
  <si>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</si>
  <si>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</si>
  <si>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</si>
  <si>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</si>
  <si>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</si>
  <si>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</si>
  <si>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</si>
  <si>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</si>
  <si>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</si>
  <si>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</si>
  <si>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</si>
  <si>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</si>
  <si>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</si>
  <si>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</si>
  <si>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</si>
  <si>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</si>
  <si>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</si>
  <si>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</si>
  <si>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</si>
  <si>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</si>
  <si>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</si>
  <si>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</si>
  <si>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</si>
  <si>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</si>
  <si>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</si>
  <si>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</si>
  <si>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</si>
  <si>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</si>
  <si>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</si>
  <si>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</si>
  <si>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</si>
  <si>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</si>
  <si>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</si>
  <si>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</si>
  <si>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</si>
  <si>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</si>
  <si>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</si>
  <si>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</si>
  <si>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</si>
  <si>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</si>
  <si>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</si>
  <si>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</si>
  <si>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</si>
  <si>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</si>
  <si>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</si>
  <si>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</si>
  <si>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</si>
  <si>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</si>
  <si>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</si>
  <si>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</si>
  <si>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</si>
  <si>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</si>
  <si>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</si>
  <si>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</si>
  <si>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</si>
  <si>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</si>
  <si>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</si>
  <si>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</si>
  <si>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</si>
  <si>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</si>
  <si>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</si>
  <si>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</si>
  <si>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</si>
  <si>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</si>
  <si>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</si>
  <si>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</si>
  <si>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</si>
  <si>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</si>
  <si>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DO_mg.L</t>
  </si>
  <si>
    <t>Cond_uS.cm</t>
  </si>
  <si>
    <t>pH</t>
  </si>
  <si>
    <t>Sechi_cm</t>
  </si>
  <si>
    <t>Vel_m.s</t>
  </si>
  <si>
    <t>Depth_mar_cm</t>
  </si>
  <si>
    <t>Width_m</t>
  </si>
  <si>
    <t>Root_masses</t>
  </si>
  <si>
    <t>n/a</t>
  </si>
  <si>
    <t>I</t>
  </si>
  <si>
    <t>IV</t>
  </si>
  <si>
    <t>III</t>
  </si>
  <si>
    <t>II</t>
  </si>
  <si>
    <t>n.Ammonia_NH3_ug.L</t>
  </si>
  <si>
    <t>n.Nitrite_NO2__ug.L</t>
  </si>
  <si>
    <t>n.Nitrate_NO3__ug.L</t>
  </si>
  <si>
    <t>n.Orthophosphate_SRP__ug.L</t>
  </si>
  <si>
    <t>n.Phosphorus_TP__ug.L</t>
  </si>
  <si>
    <t>n.Chlorophyll_a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</si>
</sst>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8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D9D9E3"/>
      </patternFill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8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66" fontId="2" fillId="2" borderId="2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70" fontId="2" fillId="2" borderId="2" xfId="0" applyNumberFormat="1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6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right" vertical="center"/>
    </xf>
    <xf numFmtId="0" fontId="2" fillId="0" borderId="0" xfId="0" applyFont="1" applyFill="1" applyBorder="1"/>
    <xf numFmtId="0" fontId="2" fillId="0" borderId="0" xfId="0" applyFont="1" applyFill="1" applyBorder="1" applyAlignment="1">
      <alignment horizontal="right"/>
    </xf>
    <xf numFmtId="0" fontId="0" fillId="0" borderId="0" xfId="0" applyFill="1" applyBorder="1"/>
    <xf numFmtId="0" fontId="2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168" fontId="2" fillId="0" borderId="0" xfId="0" applyNumberFormat="1" applyFont="1" applyFill="1" applyBorder="1"/>
    <xf numFmtId="0" fontId="2" fillId="0" borderId="0" xfId="0" applyFont="1" applyFill="1" applyBorder="1" applyAlignment="1">
      <alignment horizontal="center"/>
    </xf>
    <xf numFmtId="168" fontId="2" fillId="0" borderId="0" xfId="0" applyNumberFormat="1" applyFont="1" applyFill="1" applyBorder="1" applyAlignment="1">
      <alignment horizontal="right"/>
    </xf>
    <xf numFmtId="2" fontId="2" fillId="0" borderId="0" xfId="0" applyNumberFormat="1" applyFont="1" applyFill="1" applyBorder="1" applyAlignment="1">
      <alignment horizontal="right"/>
    </xf>
    <xf numFmtId="2" fontId="2" fillId="0" borderId="0" xfId="0" applyNumberFormat="1" applyFont="1" applyFill="1" applyBorder="1"/>
    <xf numFmtId="169" fontId="2" fillId="0" borderId="0" xfId="0" applyNumberFormat="1" applyFont="1" applyFill="1" applyBorder="1"/>
    <xf numFmtId="168" fontId="3" fillId="0" borderId="0" xfId="0" applyNumberFormat="1" applyFont="1" applyFill="1" applyBorder="1"/>
    <xf numFmtId="169" fontId="7" fillId="0" borderId="0" xfId="0" applyNumberFormat="1" applyFont="1" applyFill="1" applyBorder="1"/>
    <xf numFmtId="2" fontId="7" fillId="0" borderId="0" xfId="0" applyNumberFormat="1" applyFont="1" applyFill="1" applyBorder="1"/>
    <xf numFmtId="168" fontId="7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493560</xdr:colOff>
      <xdr:row>62</xdr:row>
      <xdr:rowOff>8640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33480" y="9124920"/>
          <a:ext cx="3522960" cy="210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65" zoomScaleNormal="65" workbookViewId="0"/>
  </sheetViews>
  <sheetFormatPr defaultColWidth="11.5703125" defaultRowHeight="15" customHeight="1" x14ac:dyDescent="0.25"/>
  <cols>
    <col min="1" max="1" width="17" customWidth="1"/>
    <col min="2" max="12" width="15.7109375" customWidth="1"/>
    <col min="13" max="26" width="18.7109375" customWidth="1"/>
    <col min="27" max="1024" width="14.42578125" customWidth="1"/>
  </cols>
  <sheetData>
    <row r="1" spans="1:26" ht="14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22E4-ABC1-45D6-B4F4-438DED631CBB}">
  <dimension ref="A1:AZ1000"/>
  <sheetViews>
    <sheetView zoomScale="55" zoomScaleNormal="55" workbookViewId="0">
      <selection activeCell="AC14" sqref="AC14"/>
    </sheetView>
  </sheetViews>
  <sheetFormatPr defaultColWidth="11.5703125" defaultRowHeight="15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  <col min="15" max="20" width="14" customWidth="1"/>
    <col min="21" max="51" width="11" customWidth="1"/>
    <col min="52" max="1024" width="14.42578125" customWidth="1"/>
  </cols>
  <sheetData>
    <row r="1" spans="1:52" ht="14.2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6" t="s">
        <v>70</v>
      </c>
      <c r="T2" s="16" t="s">
        <v>71</v>
      </c>
      <c r="U2" s="16" t="s">
        <v>72</v>
      </c>
      <c r="V2" s="16" t="s">
        <v>399</v>
      </c>
      <c r="W2" s="16" t="s">
        <v>73</v>
      </c>
      <c r="X2" s="16" t="s">
        <v>400</v>
      </c>
      <c r="Y2" s="16" t="s">
        <v>74</v>
      </c>
      <c r="Z2" s="16" t="s">
        <v>401</v>
      </c>
      <c r="AA2" s="16" t="s">
        <v>402</v>
      </c>
      <c r="AB2" s="16" t="s">
        <v>75</v>
      </c>
      <c r="AC2" s="16" t="s">
        <v>403</v>
      </c>
      <c r="AD2" s="16" t="s">
        <v>76</v>
      </c>
      <c r="AE2" s="16" t="s">
        <v>77</v>
      </c>
      <c r="AF2" s="16" t="s">
        <v>78</v>
      </c>
      <c r="AG2" s="16" t="s">
        <v>404</v>
      </c>
      <c r="AH2" s="16" t="s">
        <v>405</v>
      </c>
      <c r="AI2" s="16" t="s">
        <v>79</v>
      </c>
      <c r="AJ2" s="16" t="s">
        <v>80</v>
      </c>
      <c r="AK2" s="16" t="s">
        <v>81</v>
      </c>
      <c r="AL2" s="16" t="s">
        <v>82</v>
      </c>
      <c r="AM2" s="16" t="s">
        <v>83</v>
      </c>
      <c r="AN2" s="16" t="s">
        <v>84</v>
      </c>
      <c r="AO2" s="16" t="s">
        <v>85</v>
      </c>
      <c r="AP2" s="16" t="s">
        <v>86</v>
      </c>
      <c r="AQ2" s="16" t="s">
        <v>87</v>
      </c>
      <c r="AR2" s="16" t="s">
        <v>88</v>
      </c>
      <c r="AS2" s="16" t="s">
        <v>89</v>
      </c>
      <c r="AT2" s="16" t="s">
        <v>90</v>
      </c>
      <c r="AU2" s="16" t="s">
        <v>91</v>
      </c>
      <c r="AV2" s="16" t="s">
        <v>92</v>
      </c>
      <c r="AW2" s="16" t="s">
        <v>406</v>
      </c>
      <c r="AX2" s="16" t="s">
        <v>93</v>
      </c>
      <c r="AY2" s="16" t="s">
        <v>94</v>
      </c>
      <c r="AZ2" s="16"/>
    </row>
    <row r="3" spans="1:52" ht="14.2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>
        <v>1</v>
      </c>
      <c r="M3" s="17" t="s">
        <v>407</v>
      </c>
      <c r="N3" s="17">
        <v>1</v>
      </c>
      <c r="O3" s="15">
        <v>64.319999999999993</v>
      </c>
      <c r="P3" s="18">
        <v>0</v>
      </c>
      <c r="Q3" s="18">
        <v>0</v>
      </c>
      <c r="R3" s="18">
        <v>0</v>
      </c>
      <c r="S3" s="18">
        <v>0</v>
      </c>
      <c r="T3" s="17" t="s">
        <v>407</v>
      </c>
      <c r="U3" s="15">
        <v>24.9</v>
      </c>
      <c r="V3" s="15">
        <v>8.5</v>
      </c>
      <c r="W3" s="17" t="s">
        <v>407</v>
      </c>
      <c r="X3" s="19">
        <v>134</v>
      </c>
      <c r="Y3" s="10">
        <v>6.85</v>
      </c>
      <c r="Z3" s="10">
        <v>6.33</v>
      </c>
      <c r="AA3" s="17" t="s">
        <v>407</v>
      </c>
      <c r="AB3" s="20">
        <v>107.07</v>
      </c>
      <c r="AC3" s="21">
        <v>0</v>
      </c>
      <c r="AD3" s="15">
        <f>AVERAGE(1,2)</f>
        <v>1.5</v>
      </c>
      <c r="AE3" s="15">
        <v>16</v>
      </c>
      <c r="AF3" s="15">
        <f>AVERAGE(15,16,10)</f>
        <v>13.666666666666666</v>
      </c>
      <c r="AG3" s="15">
        <f>AVERAGE(16,16,16,16)</f>
        <v>16</v>
      </c>
      <c r="AH3" s="20">
        <v>3.64</v>
      </c>
      <c r="AI3" s="15">
        <f t="shared" ref="AI3:AI8" si="0">AVERAGE(100,100,100,100)</f>
        <v>100</v>
      </c>
      <c r="AJ3" s="15">
        <f t="shared" ref="AJ3:AQ18" si="1">AVERAGE(0,0,0,0)</f>
        <v>0</v>
      </c>
      <c r="AK3" s="15">
        <f t="shared" si="1"/>
        <v>0</v>
      </c>
      <c r="AL3" s="15">
        <f t="shared" si="1"/>
        <v>0</v>
      </c>
      <c r="AM3" s="15">
        <f t="shared" si="1"/>
        <v>0</v>
      </c>
      <c r="AN3" s="15">
        <f t="shared" si="1"/>
        <v>0</v>
      </c>
      <c r="AO3" s="15">
        <f t="shared" si="1"/>
        <v>0</v>
      </c>
      <c r="AP3" s="15">
        <f>AVERAGE(5,5,5,5)</f>
        <v>5</v>
      </c>
      <c r="AQ3" s="15">
        <f>AVERAGE(0,0,0,0)</f>
        <v>0</v>
      </c>
      <c r="AR3" s="15">
        <f>AVERAGE(5,5,5,5)</f>
        <v>5</v>
      </c>
      <c r="AS3" s="15">
        <f>AVERAGE(90,90,90,90)</f>
        <v>90</v>
      </c>
      <c r="AT3" s="15">
        <f>AVERAGE(10,10,10,10)</f>
        <v>10</v>
      </c>
      <c r="AU3" s="15">
        <f t="shared" ref="AU3:AU8" si="2">AVERAGE(0,0,0,0)</f>
        <v>0</v>
      </c>
      <c r="AV3" s="15">
        <f>AVERAGE(5,5,5,5)</f>
        <v>5</v>
      </c>
      <c r="AW3" s="15">
        <f>AVERAGE(0,0,0,0)</f>
        <v>0</v>
      </c>
      <c r="AX3" s="15">
        <f>AVERAGE(20,20,20,20)</f>
        <v>20</v>
      </c>
      <c r="AY3" s="15">
        <f>AVERAGE(10,10,10,10)</f>
        <v>10</v>
      </c>
      <c r="AZ3" s="5"/>
    </row>
    <row r="4" spans="1:52" ht="14.2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>
        <v>1</v>
      </c>
      <c r="M4" s="17" t="s">
        <v>407</v>
      </c>
      <c r="N4" s="17">
        <v>2</v>
      </c>
      <c r="O4" s="15">
        <v>39.32</v>
      </c>
      <c r="P4" s="18">
        <v>0</v>
      </c>
      <c r="Q4" s="15">
        <v>8.2899999999999991</v>
      </c>
      <c r="R4" s="18">
        <v>0</v>
      </c>
      <c r="S4" s="18">
        <v>0</v>
      </c>
      <c r="T4" s="17" t="s">
        <v>407</v>
      </c>
      <c r="U4" s="15">
        <v>25.1</v>
      </c>
      <c r="V4" s="15">
        <v>8.1</v>
      </c>
      <c r="W4" s="17" t="s">
        <v>407</v>
      </c>
      <c r="X4" s="19">
        <v>164.4</v>
      </c>
      <c r="Y4" s="10">
        <v>10.7</v>
      </c>
      <c r="Z4" s="10">
        <v>7.46</v>
      </c>
      <c r="AA4" s="17" t="s">
        <v>407</v>
      </c>
      <c r="AB4" s="20">
        <v>107.07</v>
      </c>
      <c r="AC4" s="21">
        <v>0</v>
      </c>
      <c r="AD4" s="15">
        <f>AVERAGE(1,1)</f>
        <v>1</v>
      </c>
      <c r="AE4" s="15">
        <v>16</v>
      </c>
      <c r="AF4" s="15">
        <f>AVERAGE(15,16,10)</f>
        <v>13.666666666666666</v>
      </c>
      <c r="AG4" s="15">
        <f>AVERAGE(16,16,16,16)</f>
        <v>16</v>
      </c>
      <c r="AH4" s="20">
        <v>3.64</v>
      </c>
      <c r="AI4" s="15">
        <f t="shared" si="0"/>
        <v>100</v>
      </c>
      <c r="AJ4" s="15">
        <f t="shared" si="1"/>
        <v>0</v>
      </c>
      <c r="AK4" s="15">
        <f t="shared" si="1"/>
        <v>0</v>
      </c>
      <c r="AL4" s="15">
        <f t="shared" si="1"/>
        <v>0</v>
      </c>
      <c r="AM4" s="15">
        <f t="shared" si="1"/>
        <v>0</v>
      </c>
      <c r="AN4" s="15">
        <f t="shared" si="1"/>
        <v>0</v>
      </c>
      <c r="AO4" s="15">
        <f t="shared" si="1"/>
        <v>0</v>
      </c>
      <c r="AP4" s="15">
        <f>AVERAGE(5,5,5,5)</f>
        <v>5</v>
      </c>
      <c r="AQ4" s="15">
        <f>AVERAGE(0,0,0,0)</f>
        <v>0</v>
      </c>
      <c r="AR4" s="15">
        <f>AVERAGE(5,5,5,5)</f>
        <v>5</v>
      </c>
      <c r="AS4" s="15">
        <f>AVERAGE(90,90,90,90)</f>
        <v>90</v>
      </c>
      <c r="AT4" s="15">
        <f>AVERAGE(10,10,10,10)</f>
        <v>10</v>
      </c>
      <c r="AU4" s="15">
        <f t="shared" si="2"/>
        <v>0</v>
      </c>
      <c r="AV4" s="15">
        <f>AVERAGE(5,5,5,5)</f>
        <v>5</v>
      </c>
      <c r="AW4" s="15">
        <f>AVERAGE(0,0,0,0)</f>
        <v>0</v>
      </c>
      <c r="AX4" s="15">
        <f>AVERAGE(20,20,20,20)</f>
        <v>20</v>
      </c>
      <c r="AY4" s="15">
        <f>AVERAGE(10,10,10,10)</f>
        <v>10</v>
      </c>
      <c r="AZ4" s="5"/>
    </row>
    <row r="5" spans="1:52" ht="14.2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>
        <v>1</v>
      </c>
      <c r="M5" s="17" t="s">
        <v>407</v>
      </c>
      <c r="N5" s="17">
        <v>3</v>
      </c>
      <c r="O5" s="15">
        <v>60.68</v>
      </c>
      <c r="P5" s="18">
        <v>0</v>
      </c>
      <c r="Q5" s="15">
        <v>9.7100000000000009</v>
      </c>
      <c r="R5" s="18">
        <v>0</v>
      </c>
      <c r="S5" s="18">
        <v>0</v>
      </c>
      <c r="T5" s="17" t="s">
        <v>407</v>
      </c>
      <c r="U5" s="15">
        <v>27.3</v>
      </c>
      <c r="V5" s="15">
        <v>7.8</v>
      </c>
      <c r="W5" s="17" t="s">
        <v>407</v>
      </c>
      <c r="X5" s="19">
        <v>140.9</v>
      </c>
      <c r="Y5" s="10">
        <v>4.62</v>
      </c>
      <c r="Z5" s="10">
        <v>7.15</v>
      </c>
      <c r="AA5" s="17" t="s">
        <v>407</v>
      </c>
      <c r="AB5" s="20">
        <v>107.07</v>
      </c>
      <c r="AC5" s="21">
        <v>0</v>
      </c>
      <c r="AD5" s="15">
        <f>AVERAGE(1,1)</f>
        <v>1</v>
      </c>
      <c r="AE5" s="15">
        <v>16</v>
      </c>
      <c r="AF5" s="15">
        <f>AVERAGE(15,16,10)</f>
        <v>13.666666666666666</v>
      </c>
      <c r="AG5" s="15">
        <f>AVERAGE(16,16,16,16)</f>
        <v>16</v>
      </c>
      <c r="AH5" s="20">
        <v>3.64</v>
      </c>
      <c r="AI5" s="15">
        <f t="shared" si="0"/>
        <v>100</v>
      </c>
      <c r="AJ5" s="15">
        <f t="shared" si="1"/>
        <v>0</v>
      </c>
      <c r="AK5" s="15">
        <f t="shared" si="1"/>
        <v>0</v>
      </c>
      <c r="AL5" s="15">
        <f t="shared" si="1"/>
        <v>0</v>
      </c>
      <c r="AM5" s="15">
        <f t="shared" si="1"/>
        <v>0</v>
      </c>
      <c r="AN5" s="15">
        <f t="shared" si="1"/>
        <v>0</v>
      </c>
      <c r="AO5" s="15">
        <f t="shared" si="1"/>
        <v>0</v>
      </c>
      <c r="AP5" s="15">
        <f>AVERAGE(5,5,5,5)</f>
        <v>5</v>
      </c>
      <c r="AQ5" s="15">
        <f>AVERAGE(0,0,0,0)</f>
        <v>0</v>
      </c>
      <c r="AR5" s="15">
        <f>AVERAGE(5,5,5,5)</f>
        <v>5</v>
      </c>
      <c r="AS5" s="15">
        <f>AVERAGE(90,90,90,90)</f>
        <v>90</v>
      </c>
      <c r="AT5" s="15">
        <f>AVERAGE(10,10,10,10)</f>
        <v>10</v>
      </c>
      <c r="AU5" s="15">
        <f t="shared" si="2"/>
        <v>0</v>
      </c>
      <c r="AV5" s="15">
        <f>AVERAGE(5,5,5,5)</f>
        <v>5</v>
      </c>
      <c r="AW5" s="15">
        <f>AVERAGE(0,0,0,0)</f>
        <v>0</v>
      </c>
      <c r="AX5" s="15">
        <f>AVERAGE(20,20,20,20)</f>
        <v>20</v>
      </c>
      <c r="AY5" s="15">
        <f>AVERAGE(10,10,10,10)</f>
        <v>10</v>
      </c>
      <c r="AZ5" s="5"/>
    </row>
    <row r="6" spans="1:52" ht="14.2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>
        <v>1</v>
      </c>
      <c r="M6" s="17" t="s">
        <v>407</v>
      </c>
      <c r="N6" s="17">
        <v>1</v>
      </c>
      <c r="O6" s="15">
        <v>52.05</v>
      </c>
      <c r="P6" s="18">
        <v>0</v>
      </c>
      <c r="Q6" s="15">
        <v>12.57</v>
      </c>
      <c r="R6" s="18">
        <v>0</v>
      </c>
      <c r="S6" s="15">
        <v>3</v>
      </c>
      <c r="T6" s="17" t="s">
        <v>407</v>
      </c>
      <c r="U6" s="15">
        <v>25.3</v>
      </c>
      <c r="V6" s="15">
        <v>7.8</v>
      </c>
      <c r="W6" s="17" t="s">
        <v>407</v>
      </c>
      <c r="X6" s="19">
        <v>154.1</v>
      </c>
      <c r="Y6" s="10">
        <v>2.14</v>
      </c>
      <c r="Z6" s="10">
        <v>6.83</v>
      </c>
      <c r="AA6" s="17" t="s">
        <v>407</v>
      </c>
      <c r="AB6" s="20">
        <v>112.84</v>
      </c>
      <c r="AC6" s="21">
        <f>1/(AVERAGE(36.96,23.3,24.92))</f>
        <v>3.521953510213665E-2</v>
      </c>
      <c r="AD6" s="15">
        <f>AVERAGE(2,3)</f>
        <v>2.5</v>
      </c>
      <c r="AE6" s="15">
        <v>31</v>
      </c>
      <c r="AF6" s="15">
        <f>AVERAGE(15,31,15)</f>
        <v>20.333333333333332</v>
      </c>
      <c r="AG6" s="15">
        <f>AVERAGE(30,30,30,30)</f>
        <v>30</v>
      </c>
      <c r="AH6" s="20">
        <v>4.4000000000000004</v>
      </c>
      <c r="AI6" s="15">
        <f t="shared" si="0"/>
        <v>100</v>
      </c>
      <c r="AJ6" s="15">
        <f t="shared" si="1"/>
        <v>0</v>
      </c>
      <c r="AK6" s="15">
        <f t="shared" si="1"/>
        <v>0</v>
      </c>
      <c r="AL6" s="15">
        <f t="shared" si="1"/>
        <v>0</v>
      </c>
      <c r="AM6" s="15">
        <f t="shared" si="1"/>
        <v>0</v>
      </c>
      <c r="AN6" s="15">
        <f t="shared" si="1"/>
        <v>0</v>
      </c>
      <c r="AO6" s="15">
        <f t="shared" si="1"/>
        <v>0</v>
      </c>
      <c r="AP6" s="15">
        <f>AVERAGE(30,30,30,30)</f>
        <v>30</v>
      </c>
      <c r="AQ6" s="15">
        <f>AVERAGE(5,5,5,5)</f>
        <v>5</v>
      </c>
      <c r="AR6" s="15">
        <f>AVERAGE(5,5,5,5)</f>
        <v>5</v>
      </c>
      <c r="AS6" s="15">
        <f>AVERAGE(80,80,80,80)</f>
        <v>80</v>
      </c>
      <c r="AT6" s="15">
        <f>AVERAGE(5,5,5,5)</f>
        <v>5</v>
      </c>
      <c r="AU6" s="15">
        <f t="shared" si="2"/>
        <v>0</v>
      </c>
      <c r="AV6" s="15">
        <f>AVERAGE(0,0,0,0)</f>
        <v>0</v>
      </c>
      <c r="AW6" s="15">
        <f>AVERAGE(5,5,5,5)</f>
        <v>5</v>
      </c>
      <c r="AX6" s="15">
        <f>AVERAGE(0,0,0,0)</f>
        <v>0</v>
      </c>
      <c r="AY6" s="15">
        <f>AVERAGE(5,5,5,5)</f>
        <v>5</v>
      </c>
      <c r="AZ6" s="5"/>
    </row>
    <row r="7" spans="1:52" ht="14.2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>
        <v>1</v>
      </c>
      <c r="M7" s="17" t="s">
        <v>407</v>
      </c>
      <c r="N7" s="17">
        <v>2</v>
      </c>
      <c r="O7" s="15">
        <v>77.05</v>
      </c>
      <c r="P7" s="18">
        <v>0</v>
      </c>
      <c r="Q7" s="15">
        <v>6.86</v>
      </c>
      <c r="R7" s="18">
        <v>0</v>
      </c>
      <c r="S7" s="15">
        <v>10.33</v>
      </c>
      <c r="T7" s="17" t="s">
        <v>407</v>
      </c>
      <c r="U7" s="15">
        <v>27.5</v>
      </c>
      <c r="V7" s="15">
        <v>7.2</v>
      </c>
      <c r="W7" s="17" t="s">
        <v>407</v>
      </c>
      <c r="X7" s="19">
        <v>156.80000000000001</v>
      </c>
      <c r="Y7" s="10">
        <v>2.12</v>
      </c>
      <c r="Z7" s="10">
        <v>7.73</v>
      </c>
      <c r="AA7" s="17" t="s">
        <v>407</v>
      </c>
      <c r="AB7" s="20">
        <v>112.84</v>
      </c>
      <c r="AC7" s="21">
        <f>1/(AVERAGE(36.96,23.3,24.92))</f>
        <v>3.521953510213665E-2</v>
      </c>
      <c r="AD7" s="15">
        <f>AVERAGE(2,3)</f>
        <v>2.5</v>
      </c>
      <c r="AE7" s="15">
        <v>31</v>
      </c>
      <c r="AF7" s="15">
        <f>AVERAGE(15,31,15)</f>
        <v>20.333333333333332</v>
      </c>
      <c r="AG7" s="15">
        <f>AVERAGE(30,30,30,30)</f>
        <v>30</v>
      </c>
      <c r="AH7" s="20">
        <v>4.4000000000000004</v>
      </c>
      <c r="AI7" s="15">
        <f t="shared" si="0"/>
        <v>100</v>
      </c>
      <c r="AJ7" s="15">
        <f t="shared" si="1"/>
        <v>0</v>
      </c>
      <c r="AK7" s="15">
        <f t="shared" si="1"/>
        <v>0</v>
      </c>
      <c r="AL7" s="15">
        <f t="shared" si="1"/>
        <v>0</v>
      </c>
      <c r="AM7" s="15">
        <f t="shared" si="1"/>
        <v>0</v>
      </c>
      <c r="AN7" s="15">
        <f t="shared" si="1"/>
        <v>0</v>
      </c>
      <c r="AO7" s="15">
        <f t="shared" si="1"/>
        <v>0</v>
      </c>
      <c r="AP7" s="15">
        <f>AVERAGE(30,30,30,30)</f>
        <v>30</v>
      </c>
      <c r="AQ7" s="15">
        <f>AVERAGE(5,5,5,5)</f>
        <v>5</v>
      </c>
      <c r="AR7" s="15">
        <f>AVERAGE(15,15,15,15)</f>
        <v>15</v>
      </c>
      <c r="AS7" s="15">
        <f>AVERAGE(85,85,85,85)</f>
        <v>85</v>
      </c>
      <c r="AT7" s="15">
        <f>AVERAGE(1,1,1,1)</f>
        <v>1</v>
      </c>
      <c r="AU7" s="15">
        <f t="shared" si="2"/>
        <v>0</v>
      </c>
      <c r="AV7" s="15">
        <f>AVERAGE(1,1,1,1)</f>
        <v>1</v>
      </c>
      <c r="AW7" s="15">
        <f>AVERAGE(15,15,15,15)</f>
        <v>15</v>
      </c>
      <c r="AX7" s="15">
        <f>AVERAGE(1,1,1,1)</f>
        <v>1</v>
      </c>
      <c r="AY7" s="15">
        <f>AVERAGE(5,5,5,5)</f>
        <v>5</v>
      </c>
      <c r="AZ7" s="5"/>
    </row>
    <row r="8" spans="1:52" ht="14.2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>
        <v>1</v>
      </c>
      <c r="M8" s="17" t="s">
        <v>407</v>
      </c>
      <c r="N8" s="17">
        <v>3</v>
      </c>
      <c r="O8" s="15">
        <v>47.5</v>
      </c>
      <c r="P8" s="18">
        <v>0</v>
      </c>
      <c r="Q8" s="15">
        <v>6.86</v>
      </c>
      <c r="R8" s="18">
        <v>0</v>
      </c>
      <c r="S8" s="15">
        <v>0.33</v>
      </c>
      <c r="T8" s="17" t="s">
        <v>407</v>
      </c>
      <c r="U8" s="15">
        <v>26.8</v>
      </c>
      <c r="V8" s="15">
        <v>7.6</v>
      </c>
      <c r="W8" s="17" t="s">
        <v>407</v>
      </c>
      <c r="X8" s="19">
        <v>134.1</v>
      </c>
      <c r="Y8" s="10">
        <v>14.1</v>
      </c>
      <c r="Z8" s="10">
        <v>5.87</v>
      </c>
      <c r="AA8" s="17" t="s">
        <v>407</v>
      </c>
      <c r="AB8" s="20">
        <v>112.84</v>
      </c>
      <c r="AC8" s="21">
        <f>1/(AVERAGE(36.96,23.3,24.92))</f>
        <v>3.521953510213665E-2</v>
      </c>
      <c r="AD8" s="15">
        <f>AVERAGE(2,3)</f>
        <v>2.5</v>
      </c>
      <c r="AE8" s="15">
        <v>29</v>
      </c>
      <c r="AF8" s="15">
        <f>AVERAGE(36,29,20)</f>
        <v>28.333333333333332</v>
      </c>
      <c r="AG8" s="15">
        <f>AVERAGE(30,30,30,30)</f>
        <v>30</v>
      </c>
      <c r="AH8" s="20">
        <v>2.2999999999999998</v>
      </c>
      <c r="AI8" s="15">
        <f t="shared" si="0"/>
        <v>100</v>
      </c>
      <c r="AJ8" s="15">
        <f t="shared" si="1"/>
        <v>0</v>
      </c>
      <c r="AK8" s="15">
        <f t="shared" si="1"/>
        <v>0</v>
      </c>
      <c r="AL8" s="15">
        <f t="shared" si="1"/>
        <v>0</v>
      </c>
      <c r="AM8" s="15">
        <f t="shared" si="1"/>
        <v>0</v>
      </c>
      <c r="AN8" s="15">
        <f t="shared" si="1"/>
        <v>0</v>
      </c>
      <c r="AO8" s="15">
        <f t="shared" si="1"/>
        <v>0</v>
      </c>
      <c r="AP8" s="15">
        <f>AVERAGE(0,0,0,0)</f>
        <v>0</v>
      </c>
      <c r="AQ8" s="15">
        <f>AVERAGE(5,5,5,5)</f>
        <v>5</v>
      </c>
      <c r="AR8" s="15">
        <f>AVERAGE(5,5,5,5)</f>
        <v>5</v>
      </c>
      <c r="AS8" s="15">
        <f>AVERAGE(80,80,80,80)</f>
        <v>80</v>
      </c>
      <c r="AT8" s="15">
        <f>AVERAGE(5,5,5,5)</f>
        <v>5</v>
      </c>
      <c r="AU8" s="15">
        <f t="shared" si="2"/>
        <v>0</v>
      </c>
      <c r="AV8" s="15">
        <f>AVERAGE(0,0,0,0)</f>
        <v>0</v>
      </c>
      <c r="AW8" s="15">
        <f>AVERAGE(5,5,5,5)</f>
        <v>5</v>
      </c>
      <c r="AX8" s="15">
        <f>AVERAGE(0,0,0,0)</f>
        <v>0</v>
      </c>
      <c r="AY8" s="15">
        <f>AVERAGE(5,5,5,5)</f>
        <v>5</v>
      </c>
      <c r="AZ8" s="5"/>
    </row>
    <row r="9" spans="1:52" ht="14.2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>
        <v>1</v>
      </c>
      <c r="M9" s="17" t="s">
        <v>407</v>
      </c>
      <c r="N9" s="17">
        <v>1</v>
      </c>
      <c r="O9" s="15">
        <v>33.409999999999997</v>
      </c>
      <c r="P9" s="18">
        <v>0</v>
      </c>
      <c r="Q9" s="18">
        <v>0</v>
      </c>
      <c r="R9" s="18">
        <v>0</v>
      </c>
      <c r="S9" s="18">
        <v>0</v>
      </c>
      <c r="T9" s="17" t="s">
        <v>407</v>
      </c>
      <c r="U9" s="15">
        <v>24.9</v>
      </c>
      <c r="V9" s="15">
        <v>7.7</v>
      </c>
      <c r="W9" s="17" t="s">
        <v>407</v>
      </c>
      <c r="X9" s="19">
        <v>98.28</v>
      </c>
      <c r="Y9" s="10">
        <v>1.51</v>
      </c>
      <c r="Z9" s="10">
        <v>5.76</v>
      </c>
      <c r="AA9" s="17" t="s">
        <v>407</v>
      </c>
      <c r="AB9" s="20">
        <v>89.046999999999997</v>
      </c>
      <c r="AC9" s="21">
        <f>1/(AVERAGE(39.91,50.26))</f>
        <v>2.218032605079295E-2</v>
      </c>
      <c r="AD9" s="15">
        <f>AVERAGE(2,3)</f>
        <v>2.5</v>
      </c>
      <c r="AE9" s="15">
        <v>22</v>
      </c>
      <c r="AF9" s="15">
        <f>AVERAGE(11,22,15)</f>
        <v>16</v>
      </c>
      <c r="AG9" s="15">
        <f>AVERAGE(42,42,42,42)</f>
        <v>42</v>
      </c>
      <c r="AH9" s="20">
        <v>2.1</v>
      </c>
      <c r="AI9" s="15">
        <f>AVERAGE(90,90,90,90)</f>
        <v>90</v>
      </c>
      <c r="AJ9" s="15">
        <f>AVERAGE(10,10,10,10)</f>
        <v>10</v>
      </c>
      <c r="AK9" s="15">
        <f t="shared" si="1"/>
        <v>0</v>
      </c>
      <c r="AL9" s="15">
        <f t="shared" si="1"/>
        <v>0</v>
      </c>
      <c r="AM9" s="15">
        <f t="shared" si="1"/>
        <v>0</v>
      </c>
      <c r="AN9" s="15">
        <f t="shared" si="1"/>
        <v>0</v>
      </c>
      <c r="AO9" s="15">
        <f t="shared" si="1"/>
        <v>0</v>
      </c>
      <c r="AP9" s="15">
        <f>AVERAGE(0,0,0,0)</f>
        <v>0</v>
      </c>
      <c r="AQ9" s="15">
        <f>AVERAGE(5,5,5,5)</f>
        <v>5</v>
      </c>
      <c r="AR9" s="15">
        <f>AVERAGE(0,0,0,0)</f>
        <v>0</v>
      </c>
      <c r="AS9" s="15">
        <f>AVERAGE(90,90,90,90)</f>
        <v>90</v>
      </c>
      <c r="AT9" s="15">
        <f>AVERAGE(30,30,30,30)</f>
        <v>30</v>
      </c>
      <c r="AU9" s="15">
        <f>AVERAGE(1,1,1,1)</f>
        <v>1</v>
      </c>
      <c r="AV9" s="15">
        <f>AVERAGE(1,1,1,1)</f>
        <v>1</v>
      </c>
      <c r="AW9" s="15">
        <f>AVERAGE(15,15,15,15)</f>
        <v>15</v>
      </c>
      <c r="AX9" s="15">
        <f>AVERAGE(5,5,5,5)</f>
        <v>5</v>
      </c>
      <c r="AY9" s="15">
        <f>AVERAGE(10,10,10,10)</f>
        <v>10</v>
      </c>
      <c r="AZ9" s="5"/>
    </row>
    <row r="10" spans="1:52" ht="14.2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>
        <v>1</v>
      </c>
      <c r="M10" s="17" t="s">
        <v>407</v>
      </c>
      <c r="N10" s="17">
        <v>2</v>
      </c>
      <c r="O10" s="15">
        <v>115.68</v>
      </c>
      <c r="P10" s="18">
        <v>0</v>
      </c>
      <c r="Q10" s="15">
        <v>12.57</v>
      </c>
      <c r="R10" s="15">
        <v>3</v>
      </c>
      <c r="S10" s="15">
        <v>150.33000000000001</v>
      </c>
      <c r="T10" s="17" t="s">
        <v>407</v>
      </c>
      <c r="U10" s="15">
        <v>25.3</v>
      </c>
      <c r="V10" s="15">
        <v>7.9</v>
      </c>
      <c r="W10" s="17" t="s">
        <v>407</v>
      </c>
      <c r="X10" s="19">
        <v>160.19999999999999</v>
      </c>
      <c r="Y10" s="10">
        <v>9.25</v>
      </c>
      <c r="Z10" s="10">
        <v>6.05</v>
      </c>
      <c r="AA10" s="17" t="s">
        <v>407</v>
      </c>
      <c r="AB10" s="20">
        <v>89.046999999999997</v>
      </c>
      <c r="AC10" s="21">
        <f>1/(AVERAGE(10.23,10.75,8.77,9.38,8.2,8.77,8.46))</f>
        <v>0.10842627013630732</v>
      </c>
      <c r="AD10" s="15">
        <f>AVERAGE(1,2)</f>
        <v>1.5</v>
      </c>
      <c r="AE10" s="15">
        <v>20</v>
      </c>
      <c r="AF10" s="15">
        <f>AVERAGE(25,20,16)</f>
        <v>20.333333333333332</v>
      </c>
      <c r="AG10" s="15">
        <f>AVERAGE(29,29,29,29)</f>
        <v>29</v>
      </c>
      <c r="AH10" s="20">
        <v>1.1399999999999999</v>
      </c>
      <c r="AI10" s="15">
        <f>AVERAGE(90,90,90,90)</f>
        <v>90</v>
      </c>
      <c r="AJ10" s="15">
        <f>AVERAGE(10,10,10,10)</f>
        <v>10</v>
      </c>
      <c r="AK10" s="15">
        <f t="shared" si="1"/>
        <v>0</v>
      </c>
      <c r="AL10" s="15">
        <f t="shared" si="1"/>
        <v>0</v>
      </c>
      <c r="AM10" s="15">
        <f t="shared" si="1"/>
        <v>0</v>
      </c>
      <c r="AN10" s="15">
        <f t="shared" si="1"/>
        <v>0</v>
      </c>
      <c r="AO10" s="15">
        <f t="shared" si="1"/>
        <v>0</v>
      </c>
      <c r="AP10" s="15">
        <f>AVERAGE(0,0,0,0)</f>
        <v>0</v>
      </c>
      <c r="AQ10" s="15">
        <f>AVERAGE(0,0,0,0)</f>
        <v>0</v>
      </c>
      <c r="AR10" s="15">
        <f>AVERAGE(0,0,0,0)</f>
        <v>0</v>
      </c>
      <c r="AS10" s="15">
        <f>AVERAGE(85,85,85,85)</f>
        <v>85</v>
      </c>
      <c r="AT10" s="15">
        <f>AVERAGE(5,5,5,5)</f>
        <v>5</v>
      </c>
      <c r="AU10" s="15">
        <f>AVERAGE(20,20,20,20)</f>
        <v>20</v>
      </c>
      <c r="AV10" s="15">
        <f>AVERAGE(1,1,1,1)</f>
        <v>1</v>
      </c>
      <c r="AW10" s="15">
        <f>AVERAGE(10,10,10,10)</f>
        <v>10</v>
      </c>
      <c r="AX10" s="15">
        <f>AVERAGE(10,10,10,10)</f>
        <v>10</v>
      </c>
      <c r="AY10" s="15">
        <f>AVERAGE(1,1,1,1)</f>
        <v>1</v>
      </c>
      <c r="AZ10" s="5"/>
    </row>
    <row r="11" spans="1:52" ht="14.2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>
        <v>1</v>
      </c>
      <c r="M11" s="17" t="s">
        <v>407</v>
      </c>
      <c r="N11" s="17">
        <v>3</v>
      </c>
      <c r="O11" s="15">
        <v>67.05</v>
      </c>
      <c r="P11" s="18">
        <v>0</v>
      </c>
      <c r="Q11" s="15">
        <v>4</v>
      </c>
      <c r="R11" s="18">
        <v>0</v>
      </c>
      <c r="S11" s="18">
        <v>0</v>
      </c>
      <c r="T11" s="17" t="s">
        <v>407</v>
      </c>
      <c r="U11" s="15">
        <v>25.5</v>
      </c>
      <c r="V11" s="15">
        <v>8</v>
      </c>
      <c r="W11" s="17" t="s">
        <v>407</v>
      </c>
      <c r="X11" s="19">
        <v>128.5</v>
      </c>
      <c r="Y11" s="10">
        <v>2.52</v>
      </c>
      <c r="Z11" s="10">
        <v>4.55</v>
      </c>
      <c r="AA11" s="17" t="s">
        <v>407</v>
      </c>
      <c r="AB11" s="20">
        <v>89.046999999999997</v>
      </c>
      <c r="AC11" s="21">
        <f>1/(AVERAGE(10.59,13,13.52,13.42,10.82,7.62,11.28))</f>
        <v>8.7227414330218078E-2</v>
      </c>
      <c r="AD11" s="15">
        <f>AVERAGE(2,3)</f>
        <v>2.5</v>
      </c>
      <c r="AE11" s="15">
        <v>26</v>
      </c>
      <c r="AF11" s="15">
        <f>AVERAGE(21,26,21)</f>
        <v>22.666666666666668</v>
      </c>
      <c r="AG11" s="15">
        <f>AVERAGE(15,15,15,15)</f>
        <v>15</v>
      </c>
      <c r="AH11" s="20">
        <v>1.8</v>
      </c>
      <c r="AI11" s="15">
        <f>AVERAGE(90,90,90,90)</f>
        <v>90</v>
      </c>
      <c r="AJ11" s="15">
        <f>AVERAGE(10,10,10,10)</f>
        <v>10</v>
      </c>
      <c r="AK11" s="15">
        <f t="shared" si="1"/>
        <v>0</v>
      </c>
      <c r="AL11" s="15">
        <f t="shared" si="1"/>
        <v>0</v>
      </c>
      <c r="AM11" s="15">
        <f t="shared" si="1"/>
        <v>0</v>
      </c>
      <c r="AN11" s="15">
        <f t="shared" si="1"/>
        <v>0</v>
      </c>
      <c r="AO11" s="15">
        <f t="shared" si="1"/>
        <v>0</v>
      </c>
      <c r="AP11" s="15">
        <f>AVERAGE(0,0,0,0)</f>
        <v>0</v>
      </c>
      <c r="AQ11" s="15">
        <f>AVERAGE(1,1,1,1)</f>
        <v>1</v>
      </c>
      <c r="AR11" s="15">
        <f>AVERAGE(10,10,10,10)</f>
        <v>10</v>
      </c>
      <c r="AS11" s="15">
        <f>AVERAGE(80,80,80,80)</f>
        <v>80</v>
      </c>
      <c r="AT11" s="15">
        <f>AVERAGE(25,25,25,25)</f>
        <v>25</v>
      </c>
      <c r="AU11" s="15">
        <f>AVERAGE(5,5,5,5)</f>
        <v>5</v>
      </c>
      <c r="AV11" s="15">
        <f>AVERAGE(5,5,5,5)</f>
        <v>5</v>
      </c>
      <c r="AW11" s="15">
        <f>AVERAGE(5,5,5,5)</f>
        <v>5</v>
      </c>
      <c r="AX11" s="15">
        <f>AVERAGE(5,5,5,5)</f>
        <v>5</v>
      </c>
      <c r="AY11" s="15">
        <f>AVERAGE(0,0,0,0)</f>
        <v>0</v>
      </c>
      <c r="AZ11" s="5"/>
    </row>
    <row r="12" spans="1:52" ht="14.2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>
        <v>4</v>
      </c>
      <c r="M12" s="17" t="s">
        <v>407</v>
      </c>
      <c r="N12" s="17">
        <v>1</v>
      </c>
      <c r="O12" s="15">
        <v>92.95</v>
      </c>
      <c r="P12" s="18">
        <v>0</v>
      </c>
      <c r="Q12" s="15">
        <v>14</v>
      </c>
      <c r="R12" s="18">
        <v>0</v>
      </c>
      <c r="S12" s="15">
        <v>27</v>
      </c>
      <c r="T12" s="17" t="s">
        <v>407</v>
      </c>
      <c r="U12" s="15">
        <v>28.5</v>
      </c>
      <c r="V12" s="15">
        <v>8.4</v>
      </c>
      <c r="W12" s="17" t="s">
        <v>407</v>
      </c>
      <c r="X12" s="19">
        <v>161.30000000000001</v>
      </c>
      <c r="Y12" s="10">
        <v>6.26</v>
      </c>
      <c r="Z12" s="10">
        <v>6</v>
      </c>
      <c r="AA12" s="17" t="s">
        <v>407</v>
      </c>
      <c r="AB12" s="20">
        <v>89.058999999999997</v>
      </c>
      <c r="AC12" s="21">
        <v>0</v>
      </c>
      <c r="AD12" s="15">
        <f>AVERAGE(2,2)</f>
        <v>2</v>
      </c>
      <c r="AE12" s="19">
        <v>56</v>
      </c>
      <c r="AF12" s="15">
        <f>AVERAGE(49,56,49)</f>
        <v>51.333333333333336</v>
      </c>
      <c r="AG12" s="15">
        <f>AVERAGE(49,49,49,49)</f>
        <v>49</v>
      </c>
      <c r="AH12" s="20">
        <v>14.6</v>
      </c>
      <c r="AI12" s="15">
        <f>AVERAGE(80,80,80,80)</f>
        <v>80</v>
      </c>
      <c r="AJ12" s="15">
        <f>AVERAGE(20,20,20,20)</f>
        <v>20</v>
      </c>
      <c r="AK12" s="15">
        <f t="shared" si="1"/>
        <v>0</v>
      </c>
      <c r="AL12" s="15">
        <f t="shared" si="1"/>
        <v>0</v>
      </c>
      <c r="AM12" s="15">
        <f t="shared" si="1"/>
        <v>0</v>
      </c>
      <c r="AN12" s="15">
        <f t="shared" si="1"/>
        <v>0</v>
      </c>
      <c r="AO12" s="15">
        <f t="shared" si="1"/>
        <v>0</v>
      </c>
      <c r="AP12" s="15">
        <f>AVERAGE(60,60,60,60)</f>
        <v>60</v>
      </c>
      <c r="AQ12" s="15">
        <f>AVERAGE(50,50,50,50)</f>
        <v>50</v>
      </c>
      <c r="AR12" s="15">
        <f>AVERAGE(0,0,0,0)</f>
        <v>0</v>
      </c>
      <c r="AS12" s="15">
        <f>AVERAGE(30,30,30,30)</f>
        <v>30</v>
      </c>
      <c r="AT12" s="15">
        <f>AVERAGE(30,30,30,30)</f>
        <v>30</v>
      </c>
      <c r="AU12" s="15">
        <f>AVERAGE(0,0,0,0)</f>
        <v>0</v>
      </c>
      <c r="AV12" s="15">
        <f>AVERAGE(15,15,15,15)</f>
        <v>15</v>
      </c>
      <c r="AW12" s="15">
        <f>AVERAGE(0,0,0,0)</f>
        <v>0</v>
      </c>
      <c r="AX12" s="15">
        <f>AVERAGE(10,10,10,10)</f>
        <v>10</v>
      </c>
      <c r="AY12" s="15">
        <f>AVERAGE(20,20,20,20)</f>
        <v>20</v>
      </c>
      <c r="AZ12" s="15"/>
    </row>
    <row r="13" spans="1:52" ht="14.2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>
        <v>4</v>
      </c>
      <c r="M13" s="17" t="s">
        <v>407</v>
      </c>
      <c r="N13" s="17">
        <v>2</v>
      </c>
      <c r="O13" s="15">
        <v>68.86</v>
      </c>
      <c r="P13" s="18">
        <v>0</v>
      </c>
      <c r="Q13" s="15">
        <v>11.14</v>
      </c>
      <c r="R13" s="18">
        <v>0</v>
      </c>
      <c r="S13" s="18">
        <v>0</v>
      </c>
      <c r="T13" s="17" t="s">
        <v>407</v>
      </c>
      <c r="U13" s="15">
        <v>27.8</v>
      </c>
      <c r="V13" s="15">
        <v>7.7</v>
      </c>
      <c r="W13" s="17" t="s">
        <v>407</v>
      </c>
      <c r="X13" s="2">
        <v>161.80000000000001</v>
      </c>
      <c r="Y13" s="10">
        <v>6.8</v>
      </c>
      <c r="Z13" s="10">
        <v>5.93</v>
      </c>
      <c r="AA13" s="17" t="s">
        <v>407</v>
      </c>
      <c r="AB13" s="20">
        <v>89.058999999999997</v>
      </c>
      <c r="AC13" s="21">
        <v>0</v>
      </c>
      <c r="AD13" s="15">
        <f>AVERAGE(2,2)</f>
        <v>2</v>
      </c>
      <c r="AE13" s="15">
        <v>56</v>
      </c>
      <c r="AF13" s="15">
        <f>AVERAGE(49,56,49)</f>
        <v>51.333333333333336</v>
      </c>
      <c r="AG13" s="15">
        <f>AVERAGE(87,87,87,87)</f>
        <v>87</v>
      </c>
      <c r="AH13" s="20">
        <v>14.6</v>
      </c>
      <c r="AI13" s="15">
        <f>AVERAGE(80,80,80,80)</f>
        <v>80</v>
      </c>
      <c r="AJ13" s="15">
        <f>AVERAGE(20,20,20,20)</f>
        <v>20</v>
      </c>
      <c r="AK13" s="15">
        <f t="shared" si="1"/>
        <v>0</v>
      </c>
      <c r="AL13" s="15">
        <f t="shared" si="1"/>
        <v>0</v>
      </c>
      <c r="AM13" s="15">
        <f t="shared" si="1"/>
        <v>0</v>
      </c>
      <c r="AN13" s="19">
        <f t="shared" si="1"/>
        <v>0</v>
      </c>
      <c r="AO13" s="15">
        <f t="shared" si="1"/>
        <v>0</v>
      </c>
      <c r="AP13" s="15">
        <f>AVERAGE(25,25,25,25)</f>
        <v>25</v>
      </c>
      <c r="AQ13" s="15">
        <f>AVERAGE(20,20,20,20)</f>
        <v>20</v>
      </c>
      <c r="AR13" s="15">
        <f>AVERAGE(5,5,5,5)</f>
        <v>5</v>
      </c>
      <c r="AS13" s="15">
        <f>AVERAGE(30,30,30,30)</f>
        <v>30</v>
      </c>
      <c r="AT13" s="15">
        <f>AVERAGE(20,20,20,20)</f>
        <v>20</v>
      </c>
      <c r="AU13" s="15">
        <f>AVERAGE(0,0,0,0)</f>
        <v>0</v>
      </c>
      <c r="AV13" s="15">
        <f>AVERAGE(20,20,20,20)</f>
        <v>20</v>
      </c>
      <c r="AW13" s="15">
        <f>AVERAGE(0,0,0,0)</f>
        <v>0</v>
      </c>
      <c r="AX13" s="15">
        <f>AVERAGE(15,15,15,15)</f>
        <v>15</v>
      </c>
      <c r="AY13" s="15">
        <f>AVERAGE(20,20,20,20)</f>
        <v>20</v>
      </c>
      <c r="AZ13" s="5"/>
    </row>
    <row r="14" spans="1:52" ht="14.2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>
        <v>4</v>
      </c>
      <c r="M14" s="17" t="s">
        <v>407</v>
      </c>
      <c r="N14" s="17">
        <v>3</v>
      </c>
      <c r="O14" s="15">
        <v>82.95</v>
      </c>
      <c r="P14" s="18">
        <v>0</v>
      </c>
      <c r="Q14" s="15">
        <v>31.14</v>
      </c>
      <c r="R14" s="18">
        <v>0</v>
      </c>
      <c r="S14" s="18">
        <v>0</v>
      </c>
      <c r="T14" s="17" t="s">
        <v>407</v>
      </c>
      <c r="U14" s="19">
        <v>27</v>
      </c>
      <c r="V14" s="15">
        <v>6.5</v>
      </c>
      <c r="W14" s="17" t="s">
        <v>407</v>
      </c>
      <c r="X14" s="2">
        <v>158.80000000000001</v>
      </c>
      <c r="Y14" s="10">
        <v>6.13</v>
      </c>
      <c r="Z14" s="10">
        <v>5.87</v>
      </c>
      <c r="AA14" s="17" t="s">
        <v>407</v>
      </c>
      <c r="AB14" s="20">
        <v>89.058999999999997</v>
      </c>
      <c r="AC14" s="21">
        <f>1/(AVERAGE(9,9,10,8,9,8,8))</f>
        <v>0.11475409836065575</v>
      </c>
      <c r="AD14" s="15">
        <f>AVERAGE(2,2)</f>
        <v>2</v>
      </c>
      <c r="AE14" s="15">
        <v>38</v>
      </c>
      <c r="AF14" s="15">
        <f>AVERAGE(26,38,26)</f>
        <v>30</v>
      </c>
      <c r="AG14" s="15">
        <f>AVERAGE(24,24,20,20)</f>
        <v>22</v>
      </c>
      <c r="AH14" s="20">
        <v>2.0499999999999998</v>
      </c>
      <c r="AI14" s="15">
        <f>AVERAGE(20,20,20,20)</f>
        <v>20</v>
      </c>
      <c r="AJ14" s="15">
        <f>AVERAGE(80,80,80,80)</f>
        <v>80</v>
      </c>
      <c r="AK14" s="15">
        <f t="shared" si="1"/>
        <v>0</v>
      </c>
      <c r="AL14" s="15">
        <f t="shared" si="1"/>
        <v>0</v>
      </c>
      <c r="AM14" s="15">
        <f t="shared" si="1"/>
        <v>0</v>
      </c>
      <c r="AN14" s="15">
        <f t="shared" si="1"/>
        <v>0</v>
      </c>
      <c r="AO14" s="15">
        <f t="shared" si="1"/>
        <v>0</v>
      </c>
      <c r="AP14" s="15">
        <f>AVERAGE(15,15,30,30)</f>
        <v>22.5</v>
      </c>
      <c r="AQ14" s="15">
        <f>AVERAGE(15,15,80,80)</f>
        <v>47.5</v>
      </c>
      <c r="AR14" s="15">
        <f>AVERAGE(5,5,5,5)</f>
        <v>5</v>
      </c>
      <c r="AS14" s="15">
        <f>AVERAGE(30,30,30,30)</f>
        <v>30</v>
      </c>
      <c r="AT14" s="15">
        <f>AVERAGE(30,30,30,30)</f>
        <v>30</v>
      </c>
      <c r="AU14" s="15">
        <f>AVERAGE(50,50,50,50)</f>
        <v>50</v>
      </c>
      <c r="AV14" s="15">
        <f t="shared" ref="AV14:AV20" si="3">AVERAGE(0,0,0,0)</f>
        <v>0</v>
      </c>
      <c r="AW14" s="15">
        <f>AVERAGE(0,0,0,0)</f>
        <v>0</v>
      </c>
      <c r="AX14" s="15">
        <f>AVERAGE(10,10,10,10)</f>
        <v>10</v>
      </c>
      <c r="AY14" s="15">
        <f>AVERAGE(5,5,5,5)</f>
        <v>5</v>
      </c>
      <c r="AZ14" s="5"/>
    </row>
    <row r="15" spans="1:52" ht="14.2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>
        <v>3</v>
      </c>
      <c r="M15" s="17" t="s">
        <v>407</v>
      </c>
      <c r="N15" s="17">
        <v>1</v>
      </c>
      <c r="O15" s="15">
        <v>77.95</v>
      </c>
      <c r="P15" s="18">
        <v>0</v>
      </c>
      <c r="Q15" s="15">
        <v>18.29</v>
      </c>
      <c r="R15" s="18">
        <v>0</v>
      </c>
      <c r="S15" s="15">
        <v>22</v>
      </c>
      <c r="T15" s="17" t="s">
        <v>407</v>
      </c>
      <c r="U15" s="15">
        <v>27.3</v>
      </c>
      <c r="V15" s="15">
        <v>7.9</v>
      </c>
      <c r="W15" s="17" t="s">
        <v>407</v>
      </c>
      <c r="X15" s="2">
        <v>165.5</v>
      </c>
      <c r="Y15" s="10">
        <v>17.2</v>
      </c>
      <c r="Z15" s="10">
        <v>6.59</v>
      </c>
      <c r="AA15" s="17" t="s">
        <v>407</v>
      </c>
      <c r="AB15" s="20">
        <v>71.022999999999996</v>
      </c>
      <c r="AC15" s="21">
        <f>1/(AVERAGE(4,4,3,3,3,4,4))</f>
        <v>0.27999999999999997</v>
      </c>
      <c r="AD15" s="15">
        <f>AVERAGE(3,3)</f>
        <v>3</v>
      </c>
      <c r="AE15" s="15">
        <v>21</v>
      </c>
      <c r="AF15" s="19">
        <f>AVERAGE(16,21,10)</f>
        <v>15.666666666666666</v>
      </c>
      <c r="AG15" s="15">
        <f>AVERAGE(20,20,20,20)</f>
        <v>20</v>
      </c>
      <c r="AH15" s="10">
        <v>0.81</v>
      </c>
      <c r="AI15" s="15">
        <f>AVERAGE(80,80,80,80)</f>
        <v>80</v>
      </c>
      <c r="AJ15" s="15">
        <f>AVERAGE(20,20,20,20)</f>
        <v>20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>AVERAGE(10,10,10,10)</f>
        <v>10</v>
      </c>
      <c r="AS15" s="15">
        <f>AVERAGE(80,80,80,80)</f>
        <v>80</v>
      </c>
      <c r="AT15" s="15">
        <f>AVERAGE(30,30,30,30)</f>
        <v>30</v>
      </c>
      <c r="AU15" s="15">
        <f t="shared" ref="AU15:AU20" si="4">AVERAGE(0,0,0,0)</f>
        <v>0</v>
      </c>
      <c r="AV15" s="15">
        <f t="shared" si="3"/>
        <v>0</v>
      </c>
      <c r="AW15" s="15">
        <f>AVERAGE(50,50,50,50)</f>
        <v>50</v>
      </c>
      <c r="AX15" s="15">
        <f>AVERAGE(0,0,0,0)</f>
        <v>0</v>
      </c>
      <c r="AY15" s="15">
        <f>AVERAGE(1,1,1,1)</f>
        <v>1</v>
      </c>
      <c r="AZ15" s="5"/>
    </row>
    <row r="16" spans="1:52" ht="14.2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>
        <v>3</v>
      </c>
      <c r="M16" s="17" t="s">
        <v>407</v>
      </c>
      <c r="N16" s="17">
        <v>2</v>
      </c>
      <c r="O16" s="15">
        <v>99.32</v>
      </c>
      <c r="P16" s="18">
        <v>0</v>
      </c>
      <c r="Q16" s="15">
        <v>16.86</v>
      </c>
      <c r="R16" s="18">
        <v>0</v>
      </c>
      <c r="S16" s="15">
        <v>20.329999999999998</v>
      </c>
      <c r="T16" s="17" t="s">
        <v>407</v>
      </c>
      <c r="U16" s="15">
        <v>26.9</v>
      </c>
      <c r="V16" s="15">
        <v>7.8</v>
      </c>
      <c r="W16" s="17" t="s">
        <v>407</v>
      </c>
      <c r="X16" s="2">
        <v>163.19999999999999</v>
      </c>
      <c r="Y16" s="10">
        <v>17.7</v>
      </c>
      <c r="Z16" s="10">
        <v>6.59</v>
      </c>
      <c r="AA16" s="17" t="s">
        <v>407</v>
      </c>
      <c r="AB16" s="20">
        <v>71.022999999999996</v>
      </c>
      <c r="AC16" s="21">
        <f>1/(AVERAGE(7,4,3,3,3,3,5))</f>
        <v>0.25</v>
      </c>
      <c r="AD16" s="15">
        <f>AVERAGE(3,3)</f>
        <v>3</v>
      </c>
      <c r="AE16" s="15">
        <v>22</v>
      </c>
      <c r="AF16" s="19">
        <f>AVERAGE(11,22,12)</f>
        <v>15</v>
      </c>
      <c r="AG16" s="15">
        <f>AVERAGE(20,20,20,20)</f>
        <v>20</v>
      </c>
      <c r="AH16" s="10">
        <v>1.6</v>
      </c>
      <c r="AI16" s="15">
        <f>AVERAGE(60,60,60,60)</f>
        <v>60</v>
      </c>
      <c r="AJ16" s="15">
        <f>AVERAGE(40,40,40,40)</f>
        <v>40</v>
      </c>
      <c r="AK16" s="15">
        <f t="shared" si="1"/>
        <v>0</v>
      </c>
      <c r="AL16" s="15">
        <f t="shared" si="1"/>
        <v>0</v>
      </c>
      <c r="AM16" s="15">
        <f t="shared" si="1"/>
        <v>0</v>
      </c>
      <c r="AN16" s="15">
        <f t="shared" si="1"/>
        <v>0</v>
      </c>
      <c r="AO16" s="15">
        <f t="shared" si="1"/>
        <v>0</v>
      </c>
      <c r="AP16" s="15">
        <f t="shared" si="1"/>
        <v>0</v>
      </c>
      <c r="AQ16" s="15">
        <f t="shared" si="1"/>
        <v>0</v>
      </c>
      <c r="AR16" s="15">
        <f>AVERAGE(20,20,20,20)</f>
        <v>20</v>
      </c>
      <c r="AS16" s="15">
        <f>AVERAGE(70,70,70,70)</f>
        <v>70</v>
      </c>
      <c r="AT16" s="15">
        <f>AVERAGE(1,1,1,1)</f>
        <v>1</v>
      </c>
      <c r="AU16" s="15">
        <f t="shared" si="4"/>
        <v>0</v>
      </c>
      <c r="AV16" s="15">
        <f t="shared" si="3"/>
        <v>0</v>
      </c>
      <c r="AW16" s="15">
        <f>AVERAGE(90,90,90,90)</f>
        <v>90</v>
      </c>
      <c r="AX16" s="15">
        <f>AVERAGE(0,0,0,0)</f>
        <v>0</v>
      </c>
      <c r="AY16" s="15">
        <f>AVERAGE(10,10,10,10)</f>
        <v>10</v>
      </c>
      <c r="AZ16" s="15"/>
    </row>
    <row r="17" spans="1:52" ht="14.2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>
        <v>3</v>
      </c>
      <c r="M17" s="17" t="s">
        <v>407</v>
      </c>
      <c r="N17" s="17">
        <v>3</v>
      </c>
      <c r="O17" s="15">
        <v>65.23</v>
      </c>
      <c r="P17" s="18">
        <v>0</v>
      </c>
      <c r="Q17" s="15">
        <v>19.71</v>
      </c>
      <c r="R17" s="18">
        <v>0</v>
      </c>
      <c r="S17" s="15">
        <v>15.33</v>
      </c>
      <c r="T17" s="17" t="s">
        <v>407</v>
      </c>
      <c r="U17" s="15">
        <v>26.6</v>
      </c>
      <c r="V17" s="15">
        <v>7.9</v>
      </c>
      <c r="W17" s="17" t="s">
        <v>407</v>
      </c>
      <c r="X17" s="2">
        <v>161.19999999999999</v>
      </c>
      <c r="Y17" s="10">
        <v>17.5</v>
      </c>
      <c r="Z17" s="10">
        <v>6.59</v>
      </c>
      <c r="AA17" s="17" t="s">
        <v>407</v>
      </c>
      <c r="AB17" s="20">
        <v>71.022999999999996</v>
      </c>
      <c r="AC17" s="21">
        <f>1/(AVERAGE(9,2,2,2,2,2,2,2))</f>
        <v>0.34782608695652173</v>
      </c>
      <c r="AD17" s="15">
        <f>AVERAGE(2,2)</f>
        <v>2</v>
      </c>
      <c r="AE17" s="15">
        <v>20</v>
      </c>
      <c r="AF17" s="19">
        <f>AVERAGE(20,20,19)</f>
        <v>19.666666666666668</v>
      </c>
      <c r="AG17" s="15">
        <f>AVERAGE(20,20,20,20)</f>
        <v>20</v>
      </c>
      <c r="AH17" s="10">
        <v>1.33</v>
      </c>
      <c r="AI17" s="15">
        <f>AVERAGE(70,70,70,70)</f>
        <v>70</v>
      </c>
      <c r="AJ17" s="15">
        <f>AVERAGE(30,30,30,30)</f>
        <v>30</v>
      </c>
      <c r="AK17" s="15">
        <f t="shared" si="1"/>
        <v>0</v>
      </c>
      <c r="AL17" s="15">
        <f t="shared" si="1"/>
        <v>0</v>
      </c>
      <c r="AM17" s="15">
        <f t="shared" si="1"/>
        <v>0</v>
      </c>
      <c r="AN17" s="15">
        <f t="shared" si="1"/>
        <v>0</v>
      </c>
      <c r="AO17" s="15">
        <f t="shared" si="1"/>
        <v>0</v>
      </c>
      <c r="AP17" s="15">
        <f t="shared" si="1"/>
        <v>0</v>
      </c>
      <c r="AQ17" s="15">
        <f t="shared" si="1"/>
        <v>0</v>
      </c>
      <c r="AR17" s="15">
        <f>AVERAGE(20,20,20,20)</f>
        <v>20</v>
      </c>
      <c r="AS17" s="15">
        <f>AVERAGE(60,60,60,60)</f>
        <v>60</v>
      </c>
      <c r="AT17" s="15">
        <f>AVERAGE(10,10,10,10)</f>
        <v>10</v>
      </c>
      <c r="AU17" s="15">
        <f t="shared" si="4"/>
        <v>0</v>
      </c>
      <c r="AV17" s="15">
        <f t="shared" si="3"/>
        <v>0</v>
      </c>
      <c r="AW17" s="15">
        <f>AVERAGE(90,90,90,90)</f>
        <v>90</v>
      </c>
      <c r="AX17" s="15">
        <f>AVERAGE(10,10,10,10)</f>
        <v>10</v>
      </c>
      <c r="AY17" s="15">
        <f>AVERAGE(30,30,30,30)</f>
        <v>30</v>
      </c>
      <c r="AZ17" s="5"/>
    </row>
    <row r="18" spans="1:52" ht="14.2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>
        <v>4</v>
      </c>
      <c r="M18" s="17" t="s">
        <v>407</v>
      </c>
      <c r="N18" s="17">
        <v>1</v>
      </c>
      <c r="O18" s="15">
        <v>203.86</v>
      </c>
      <c r="P18" s="18">
        <v>0</v>
      </c>
      <c r="Q18" s="15">
        <v>8.2899999999999991</v>
      </c>
      <c r="R18" s="18">
        <v>0</v>
      </c>
      <c r="S18" s="15">
        <v>47</v>
      </c>
      <c r="T18" s="17" t="s">
        <v>407</v>
      </c>
      <c r="U18" s="15">
        <v>26.5</v>
      </c>
      <c r="V18" s="15">
        <v>5.0999999999999996</v>
      </c>
      <c r="W18" s="17" t="s">
        <v>407</v>
      </c>
      <c r="X18" s="2">
        <v>155.19999999999999</v>
      </c>
      <c r="Y18" s="10">
        <v>24.2</v>
      </c>
      <c r="Z18" s="10">
        <v>7.26</v>
      </c>
      <c r="AA18" s="17" t="s">
        <v>407</v>
      </c>
      <c r="AB18" s="20">
        <v>41.473999999999997</v>
      </c>
      <c r="AC18" s="21">
        <f>1/(AVERAGE(51,40))</f>
        <v>2.197802197802198E-2</v>
      </c>
      <c r="AD18" s="15">
        <f>AVERAGE(1,2)</f>
        <v>1.5</v>
      </c>
      <c r="AE18" s="15">
        <v>47</v>
      </c>
      <c r="AF18" s="19">
        <f>AVERAGE(40,47,35)</f>
        <v>40.666666666666664</v>
      </c>
      <c r="AG18" s="15">
        <f>AVERAGE(52,52,52,52)</f>
        <v>52</v>
      </c>
      <c r="AH18" s="10">
        <v>7.2</v>
      </c>
      <c r="AI18" s="15">
        <f>AVERAGE(20,20,20,20)</f>
        <v>20</v>
      </c>
      <c r="AJ18" s="15">
        <f>AVERAGE(80,80,80,80)</f>
        <v>80</v>
      </c>
      <c r="AK18" s="15">
        <f t="shared" si="1"/>
        <v>0</v>
      </c>
      <c r="AL18" s="15">
        <f t="shared" si="1"/>
        <v>0</v>
      </c>
      <c r="AM18" s="15">
        <f t="shared" si="1"/>
        <v>0</v>
      </c>
      <c r="AN18" s="15">
        <f t="shared" si="1"/>
        <v>0</v>
      </c>
      <c r="AO18" s="15">
        <f t="shared" si="1"/>
        <v>0</v>
      </c>
      <c r="AP18" s="15">
        <f>AVERAGE(5,5,5,5)</f>
        <v>5</v>
      </c>
      <c r="AQ18" s="15">
        <f>AVERAGE(10,10,10,10)</f>
        <v>10</v>
      </c>
      <c r="AR18" s="15">
        <f>AVERAGE(5,5,5,5)</f>
        <v>5</v>
      </c>
      <c r="AS18" s="15">
        <f>AVERAGE(5,5,5,5)</f>
        <v>5</v>
      </c>
      <c r="AT18" s="15">
        <f>AVERAGE(10,10,10,10)</f>
        <v>10</v>
      </c>
      <c r="AU18" s="15">
        <f t="shared" si="4"/>
        <v>0</v>
      </c>
      <c r="AV18" s="15">
        <f t="shared" si="3"/>
        <v>0</v>
      </c>
      <c r="AW18" s="15">
        <v>0</v>
      </c>
      <c r="AX18" s="15">
        <f>AVERAGE(5,5,5,5)</f>
        <v>5</v>
      </c>
      <c r="AY18" s="15">
        <f>AVERAGE(10,10,10,10)</f>
        <v>10</v>
      </c>
      <c r="AZ18" s="5"/>
    </row>
    <row r="19" spans="1:52" ht="14.2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>
        <v>4</v>
      </c>
      <c r="M19" s="17" t="s">
        <v>407</v>
      </c>
      <c r="N19" s="17">
        <v>2</v>
      </c>
      <c r="O19" s="15">
        <v>277.5</v>
      </c>
      <c r="P19" s="18">
        <v>0</v>
      </c>
      <c r="Q19" s="15">
        <v>5.43</v>
      </c>
      <c r="R19" s="18">
        <v>0</v>
      </c>
      <c r="S19" s="15">
        <v>55.33</v>
      </c>
      <c r="T19" s="17" t="s">
        <v>407</v>
      </c>
      <c r="U19" s="15">
        <v>26.3</v>
      </c>
      <c r="V19" s="15">
        <v>6.1</v>
      </c>
      <c r="W19" s="17" t="s">
        <v>407</v>
      </c>
      <c r="X19" s="2">
        <v>157.9</v>
      </c>
      <c r="Y19" s="10">
        <v>34.799999999999997</v>
      </c>
      <c r="Z19" s="10">
        <v>6.71</v>
      </c>
      <c r="AA19" s="17" t="s">
        <v>407</v>
      </c>
      <c r="AB19" s="20">
        <v>41.473999999999997</v>
      </c>
      <c r="AC19" s="21">
        <f>1/(AVERAGE(51,40))</f>
        <v>2.197802197802198E-2</v>
      </c>
      <c r="AD19" s="15">
        <f>AVERAGE(2,2)</f>
        <v>2</v>
      </c>
      <c r="AE19" s="15">
        <v>47</v>
      </c>
      <c r="AF19" s="19">
        <f>AVERAGE(40,47,35)</f>
        <v>40.666666666666664</v>
      </c>
      <c r="AG19" s="15">
        <f>AVERAGE(38,38,38,38)</f>
        <v>38</v>
      </c>
      <c r="AH19" s="10">
        <v>7.2</v>
      </c>
      <c r="AI19" s="15">
        <f>AVERAGE(20,20,20,20)</f>
        <v>20</v>
      </c>
      <c r="AJ19" s="15">
        <f>AVERAGE(80,80,80,80)</f>
        <v>80</v>
      </c>
      <c r="AK19" s="15">
        <f t="shared" ref="AK19:AO20" si="5">AVERAGE(0,0,0,0)</f>
        <v>0</v>
      </c>
      <c r="AL19" s="15">
        <f t="shared" si="5"/>
        <v>0</v>
      </c>
      <c r="AM19" s="15">
        <f t="shared" si="5"/>
        <v>0</v>
      </c>
      <c r="AN19" s="15">
        <f t="shared" si="5"/>
        <v>0</v>
      </c>
      <c r="AO19" s="15">
        <f t="shared" si="5"/>
        <v>0</v>
      </c>
      <c r="AP19" s="15">
        <f>AVERAGE(0,0,0,0)</f>
        <v>0</v>
      </c>
      <c r="AQ19" s="15">
        <f>AVERAGE(1,1,1,1)</f>
        <v>1</v>
      </c>
      <c r="AR19" s="15">
        <f>AVERAGE(10,10,10,10)</f>
        <v>10</v>
      </c>
      <c r="AS19" s="15">
        <f>AVERAGE(20,20,20,20)</f>
        <v>20</v>
      </c>
      <c r="AT19" s="15">
        <f>AVERAGE(5,5,5,5)</f>
        <v>5</v>
      </c>
      <c r="AU19" s="15">
        <f t="shared" si="4"/>
        <v>0</v>
      </c>
      <c r="AV19" s="15">
        <f t="shared" si="3"/>
        <v>0</v>
      </c>
      <c r="AW19" s="15">
        <f>AVERAGE(10,10,10,10)</f>
        <v>10</v>
      </c>
      <c r="AX19" s="15">
        <f>AVERAGE(5,5,5,5)</f>
        <v>5</v>
      </c>
      <c r="AY19" s="15">
        <f>AVERAGE(15,15,15,15)</f>
        <v>15</v>
      </c>
      <c r="AZ19" s="5"/>
    </row>
    <row r="20" spans="1:52" ht="14.2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>
        <v>4</v>
      </c>
      <c r="M20" s="17" t="s">
        <v>407</v>
      </c>
      <c r="N20" s="17">
        <v>3</v>
      </c>
      <c r="O20" s="15">
        <v>249.77</v>
      </c>
      <c r="P20" s="18">
        <v>0</v>
      </c>
      <c r="Q20" s="15">
        <v>16.86</v>
      </c>
      <c r="R20" s="18">
        <v>0</v>
      </c>
      <c r="S20" s="15">
        <v>13.67</v>
      </c>
      <c r="T20" s="17" t="s">
        <v>407</v>
      </c>
      <c r="U20" s="15">
        <v>26.2</v>
      </c>
      <c r="V20" s="15">
        <v>4.9000000000000004</v>
      </c>
      <c r="W20" s="17" t="s">
        <v>407</v>
      </c>
      <c r="X20" s="2">
        <v>149.69999999999999</v>
      </c>
      <c r="Y20" s="10">
        <v>29.9</v>
      </c>
      <c r="Z20" s="10">
        <v>6.61</v>
      </c>
      <c r="AA20" s="17" t="s">
        <v>407</v>
      </c>
      <c r="AB20" s="20">
        <v>41.473999999999997</v>
      </c>
      <c r="AC20" s="21">
        <f>1/(AVERAGE(51,40))</f>
        <v>2.197802197802198E-2</v>
      </c>
      <c r="AD20" s="15">
        <f>AVERAGE(1,1)</f>
        <v>1</v>
      </c>
      <c r="AE20" s="15">
        <v>47</v>
      </c>
      <c r="AF20" s="19">
        <f>AVERAGE(40,47,35)</f>
        <v>40.666666666666664</v>
      </c>
      <c r="AG20" s="15">
        <f>AVERAGE(46,46,46,46)</f>
        <v>46</v>
      </c>
      <c r="AH20" s="10">
        <v>7.2</v>
      </c>
      <c r="AI20" s="15">
        <f>AVERAGE(50,50,50,50)</f>
        <v>50</v>
      </c>
      <c r="AJ20" s="15">
        <f>AVERAGE(50,50,50,50)</f>
        <v>50</v>
      </c>
      <c r="AK20" s="15">
        <f t="shared" si="5"/>
        <v>0</v>
      </c>
      <c r="AL20" s="15">
        <f t="shared" si="5"/>
        <v>0</v>
      </c>
      <c r="AM20" s="15">
        <f t="shared" si="5"/>
        <v>0</v>
      </c>
      <c r="AN20" s="15">
        <f t="shared" si="5"/>
        <v>0</v>
      </c>
      <c r="AO20" s="15">
        <f t="shared" si="5"/>
        <v>0</v>
      </c>
      <c r="AP20" s="15">
        <f>AVERAGE(0,0,0,0)</f>
        <v>0</v>
      </c>
      <c r="AQ20" s="15">
        <f>AVERAGE(30,30,30,30)</f>
        <v>30</v>
      </c>
      <c r="AR20" s="15">
        <f>AVERAGE(0,0,0,0)</f>
        <v>0</v>
      </c>
      <c r="AS20" s="15">
        <f>AVERAGE(0,0,0,0)</f>
        <v>0</v>
      </c>
      <c r="AT20" s="15">
        <f>AVERAGE(1,1,1,1)</f>
        <v>1</v>
      </c>
      <c r="AU20" s="15">
        <f t="shared" si="4"/>
        <v>0</v>
      </c>
      <c r="AV20" s="15">
        <f t="shared" si="3"/>
        <v>0</v>
      </c>
      <c r="AW20" s="15">
        <f>AVERAGE(0,0,0,0)</f>
        <v>0</v>
      </c>
      <c r="AX20" s="15">
        <f>AVERAGE(5,5,5,5)</f>
        <v>5</v>
      </c>
      <c r="AY20" s="15">
        <f>AVERAGE(5,5,5,5)</f>
        <v>5</v>
      </c>
      <c r="AZ20" s="5"/>
    </row>
    <row r="21" spans="1:52" ht="14.25" customHeight="1" x14ac:dyDescent="0.25">
      <c r="A21" s="6" t="s">
        <v>120</v>
      </c>
      <c r="B21" s="16" t="s">
        <v>96</v>
      </c>
      <c r="C21" s="16" t="s">
        <v>121</v>
      </c>
      <c r="D21" s="17" t="s">
        <v>407</v>
      </c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>
        <v>4</v>
      </c>
      <c r="M21" s="17" t="s">
        <v>407</v>
      </c>
      <c r="N21" s="17">
        <v>1</v>
      </c>
      <c r="O21" s="17" t="s">
        <v>407</v>
      </c>
      <c r="P21" s="17" t="s">
        <v>407</v>
      </c>
      <c r="Q21" s="17" t="s">
        <v>407</v>
      </c>
      <c r="R21" s="17" t="s">
        <v>407</v>
      </c>
      <c r="S21" s="17" t="s">
        <v>407</v>
      </c>
      <c r="T21" s="17" t="s">
        <v>407</v>
      </c>
      <c r="U21" s="17" t="s">
        <v>407</v>
      </c>
      <c r="V21" s="17" t="s">
        <v>407</v>
      </c>
      <c r="W21" s="17" t="s">
        <v>407</v>
      </c>
      <c r="X21" s="17" t="s">
        <v>407</v>
      </c>
      <c r="Y21" s="17" t="s">
        <v>407</v>
      </c>
      <c r="Z21" s="17" t="s">
        <v>407</v>
      </c>
      <c r="AA21" s="17" t="s">
        <v>407</v>
      </c>
      <c r="AB21" s="20">
        <v>96</v>
      </c>
      <c r="AC21" s="17" t="s">
        <v>407</v>
      </c>
      <c r="AD21" s="15">
        <f>AVERAGE(2,3)</f>
        <v>2.5</v>
      </c>
      <c r="AE21" s="17" t="s">
        <v>407</v>
      </c>
      <c r="AF21" s="17" t="s">
        <v>407</v>
      </c>
      <c r="AG21" s="17" t="s">
        <v>407</v>
      </c>
      <c r="AH21" s="20">
        <v>18.3</v>
      </c>
      <c r="AI21" s="15">
        <v>0</v>
      </c>
      <c r="AJ21" s="15">
        <v>100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/>
    </row>
    <row r="22" spans="1:52" ht="14.25" customHeight="1" x14ac:dyDescent="0.25">
      <c r="A22" s="6" t="s">
        <v>125</v>
      </c>
      <c r="B22" s="16" t="s">
        <v>96</v>
      </c>
      <c r="C22" s="16" t="s">
        <v>121</v>
      </c>
      <c r="D22" s="17" t="s">
        <v>407</v>
      </c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>
        <v>4</v>
      </c>
      <c r="M22" s="17" t="s">
        <v>407</v>
      </c>
      <c r="N22" s="17">
        <v>2</v>
      </c>
      <c r="O22" s="17" t="s">
        <v>407</v>
      </c>
      <c r="P22" s="17" t="s">
        <v>407</v>
      </c>
      <c r="Q22" s="17" t="s">
        <v>407</v>
      </c>
      <c r="R22" s="17" t="s">
        <v>407</v>
      </c>
      <c r="S22" s="17" t="s">
        <v>407</v>
      </c>
      <c r="T22" s="17" t="s">
        <v>407</v>
      </c>
      <c r="U22" s="17" t="s">
        <v>407</v>
      </c>
      <c r="V22" s="17" t="s">
        <v>407</v>
      </c>
      <c r="W22" s="17" t="s">
        <v>407</v>
      </c>
      <c r="X22" s="17" t="s">
        <v>407</v>
      </c>
      <c r="Y22" s="17" t="s">
        <v>407</v>
      </c>
      <c r="Z22" s="17" t="s">
        <v>407</v>
      </c>
      <c r="AA22" s="17" t="s">
        <v>407</v>
      </c>
      <c r="AB22" s="20">
        <v>96</v>
      </c>
      <c r="AC22" s="17" t="s">
        <v>407</v>
      </c>
      <c r="AD22" s="15">
        <f>AVERAGE(2,3)</f>
        <v>2.5</v>
      </c>
      <c r="AE22" s="17" t="s">
        <v>407</v>
      </c>
      <c r="AF22" s="17" t="s">
        <v>407</v>
      </c>
      <c r="AG22" s="17" t="s">
        <v>407</v>
      </c>
      <c r="AH22" s="5">
        <v>14.69</v>
      </c>
      <c r="AI22" s="15">
        <v>0</v>
      </c>
      <c r="AJ22" s="15">
        <v>100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/>
    </row>
    <row r="23" spans="1:52" ht="14.25" customHeight="1" x14ac:dyDescent="0.25">
      <c r="A23" s="6" t="s">
        <v>126</v>
      </c>
      <c r="B23" s="16" t="s">
        <v>96</v>
      </c>
      <c r="C23" s="16" t="s">
        <v>121</v>
      </c>
      <c r="D23" s="17" t="s">
        <v>407</v>
      </c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>
        <v>4</v>
      </c>
      <c r="M23" s="17" t="s">
        <v>407</v>
      </c>
      <c r="N23" s="17">
        <v>3</v>
      </c>
      <c r="O23" s="17" t="s">
        <v>407</v>
      </c>
      <c r="P23" s="17" t="s">
        <v>407</v>
      </c>
      <c r="Q23" s="17" t="s">
        <v>407</v>
      </c>
      <c r="R23" s="17" t="s">
        <v>407</v>
      </c>
      <c r="S23" s="17" t="s">
        <v>407</v>
      </c>
      <c r="T23" s="17" t="s">
        <v>407</v>
      </c>
      <c r="U23" s="17" t="s">
        <v>407</v>
      </c>
      <c r="V23" s="17" t="s">
        <v>407</v>
      </c>
      <c r="W23" s="17" t="s">
        <v>407</v>
      </c>
      <c r="X23" s="17" t="s">
        <v>407</v>
      </c>
      <c r="Y23" s="17" t="s">
        <v>407</v>
      </c>
      <c r="Z23" s="17" t="s">
        <v>407</v>
      </c>
      <c r="AA23" s="17" t="s">
        <v>407</v>
      </c>
      <c r="AB23" s="20">
        <v>96</v>
      </c>
      <c r="AC23" s="17" t="s">
        <v>407</v>
      </c>
      <c r="AD23" s="15">
        <f>AVERAGE(2,3)</f>
        <v>2.5</v>
      </c>
      <c r="AE23" s="17" t="s">
        <v>407</v>
      </c>
      <c r="AF23" s="17" t="s">
        <v>407</v>
      </c>
      <c r="AG23" s="17" t="s">
        <v>407</v>
      </c>
      <c r="AH23" s="5">
        <v>14.69</v>
      </c>
      <c r="AI23" s="15">
        <v>0</v>
      </c>
      <c r="AJ23" s="15">
        <v>100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/>
    </row>
    <row r="24" spans="1:52" ht="14.2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>
        <v>3</v>
      </c>
      <c r="M24" s="17" t="s">
        <v>407</v>
      </c>
      <c r="N24" s="17">
        <v>1</v>
      </c>
      <c r="O24" s="15">
        <v>64.318181818181799</v>
      </c>
      <c r="P24" s="15">
        <v>1.79411764705882</v>
      </c>
      <c r="Q24" s="15">
        <v>1379.7142857142901</v>
      </c>
      <c r="R24" s="15">
        <v>7.28571428571429</v>
      </c>
      <c r="S24" s="15">
        <v>8.6666666666666696</v>
      </c>
      <c r="T24" s="17" t="s">
        <v>407</v>
      </c>
      <c r="U24" s="5">
        <v>26.5</v>
      </c>
      <c r="V24" s="5">
        <v>6.8</v>
      </c>
      <c r="W24" s="17" t="s">
        <v>407</v>
      </c>
      <c r="X24" s="2">
        <v>120.2</v>
      </c>
      <c r="Y24" s="19">
        <v>8</v>
      </c>
      <c r="Z24" s="10">
        <v>6.44</v>
      </c>
      <c r="AA24" s="17" t="s">
        <v>407</v>
      </c>
      <c r="AB24" s="20">
        <v>80</v>
      </c>
      <c r="AC24" s="21">
        <f>1/(AVERAGE(8.64,6.68,4.63,6.03,4.33,4.77,4.56,4.44,4.77,4.41))</f>
        <v>0.18775816748028543</v>
      </c>
      <c r="AD24" s="19">
        <f>AVERAGE(1,1)</f>
        <v>1</v>
      </c>
      <c r="AE24" s="15">
        <v>6</v>
      </c>
      <c r="AF24" s="19">
        <f>AVERAGE(5,6,5)</f>
        <v>5.333333333333333</v>
      </c>
      <c r="AG24" s="15">
        <f>AVERAGE(6,6,6,6)</f>
        <v>6</v>
      </c>
      <c r="AH24" s="10">
        <v>0.19</v>
      </c>
      <c r="AI24" s="15">
        <f>AVERAGE(90,90,90,90)</f>
        <v>90</v>
      </c>
      <c r="AJ24" s="15">
        <f>AVERAGE(10,10,10,10)</f>
        <v>10</v>
      </c>
      <c r="AK24" s="15">
        <f t="shared" ref="AK24:AR39" si="6">AVERAGE(0,0,0,0)</f>
        <v>0</v>
      </c>
      <c r="AL24" s="15">
        <f t="shared" si="6"/>
        <v>0</v>
      </c>
      <c r="AM24" s="15">
        <f t="shared" si="6"/>
        <v>0</v>
      </c>
      <c r="AN24" s="15">
        <f t="shared" si="6"/>
        <v>0</v>
      </c>
      <c r="AO24" s="15">
        <f t="shared" si="6"/>
        <v>0</v>
      </c>
      <c r="AP24" s="15">
        <f t="shared" si="6"/>
        <v>0</v>
      </c>
      <c r="AQ24" s="15">
        <f t="shared" si="6"/>
        <v>0</v>
      </c>
      <c r="AR24" s="15">
        <f t="shared" si="6"/>
        <v>0</v>
      </c>
      <c r="AS24" s="15">
        <f>AVERAGE(90,90,90,90)</f>
        <v>90</v>
      </c>
      <c r="AT24" s="15">
        <f>AVERAGE(5,5,5,5)</f>
        <v>5</v>
      </c>
      <c r="AU24" s="15">
        <f>AVERAGE(0,0,0,0)</f>
        <v>0</v>
      </c>
      <c r="AV24" s="15">
        <f>AVERAGE(0,0,0,0)</f>
        <v>0</v>
      </c>
      <c r="AW24" s="15">
        <f>AVERAGE(5,5,5,5)</f>
        <v>5</v>
      </c>
      <c r="AX24" s="15">
        <f>AVERAGE(5,5,5,5)</f>
        <v>5</v>
      </c>
      <c r="AY24" s="15">
        <f>AVERAGE(3,3,3,3)</f>
        <v>3</v>
      </c>
      <c r="AZ24" s="5"/>
    </row>
    <row r="25" spans="1:52" ht="14.2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>
        <v>3</v>
      </c>
      <c r="M25" s="17" t="s">
        <v>407</v>
      </c>
      <c r="N25" s="17">
        <v>2</v>
      </c>
      <c r="O25" s="15">
        <v>101.59090909090899</v>
      </c>
      <c r="P25" s="15">
        <v>2.3823529411764701</v>
      </c>
      <c r="Q25" s="15">
        <v>922.57142857142901</v>
      </c>
      <c r="R25" s="15">
        <v>7.28571428571429</v>
      </c>
      <c r="S25" s="15">
        <v>8.6666666666666696</v>
      </c>
      <c r="T25" s="17" t="s">
        <v>407</v>
      </c>
      <c r="U25" s="5">
        <v>26.7</v>
      </c>
      <c r="V25" s="5">
        <v>8.1</v>
      </c>
      <c r="W25" s="17" t="s">
        <v>407</v>
      </c>
      <c r="X25" s="2">
        <v>122.8</v>
      </c>
      <c r="Y25" s="19">
        <v>2</v>
      </c>
      <c r="Z25" s="10">
        <v>6.07</v>
      </c>
      <c r="AA25" s="17" t="s">
        <v>407</v>
      </c>
      <c r="AB25" s="20">
        <v>80</v>
      </c>
      <c r="AC25" s="21">
        <f>1/(AVERAGE(8.13,7.7,5.41,7.9,7.59,5.3,5,98))</f>
        <v>5.5161001172171271E-2</v>
      </c>
      <c r="AD25" s="2">
        <f>AVERAGE(1,2)</f>
        <v>1.5</v>
      </c>
      <c r="AE25" s="15">
        <v>10</v>
      </c>
      <c r="AF25" s="19">
        <f>AVERAGE(6,10,5)</f>
        <v>7</v>
      </c>
      <c r="AG25" s="15">
        <f>AVERAGE(9,9,9,9)</f>
        <v>9</v>
      </c>
      <c r="AH25" s="2">
        <v>0.53</v>
      </c>
      <c r="AI25" s="15">
        <f>AVERAGE(90,90,90,90)</f>
        <v>90</v>
      </c>
      <c r="AJ25" s="15">
        <f>AVERAGE(10,10,10,10)</f>
        <v>10</v>
      </c>
      <c r="AK25" s="15">
        <f t="shared" si="6"/>
        <v>0</v>
      </c>
      <c r="AL25" s="15">
        <f t="shared" si="6"/>
        <v>0</v>
      </c>
      <c r="AM25" s="15">
        <f t="shared" si="6"/>
        <v>0</v>
      </c>
      <c r="AN25" s="15">
        <f t="shared" si="6"/>
        <v>0</v>
      </c>
      <c r="AO25" s="15">
        <f t="shared" si="6"/>
        <v>0</v>
      </c>
      <c r="AP25" s="15">
        <f t="shared" si="6"/>
        <v>0</v>
      </c>
      <c r="AQ25" s="15">
        <f t="shared" si="6"/>
        <v>0</v>
      </c>
      <c r="AR25" s="15">
        <f t="shared" si="6"/>
        <v>0</v>
      </c>
      <c r="AS25" s="15">
        <f>AVERAGE(85,85,85,85)</f>
        <v>85</v>
      </c>
      <c r="AT25" s="15">
        <f>AVERAGE(15,15,15,15)</f>
        <v>15</v>
      </c>
      <c r="AU25" s="15">
        <f>AVERAGE(0,0,0,0)</f>
        <v>0</v>
      </c>
      <c r="AV25" s="15">
        <f>AVERAGE(0,0,0,0)</f>
        <v>0</v>
      </c>
      <c r="AW25" s="15">
        <f>AVERAGE(5,5,5,5)</f>
        <v>5</v>
      </c>
      <c r="AX25" s="15">
        <f>AVERAGE(10,10,10,10)</f>
        <v>10</v>
      </c>
      <c r="AY25" s="15">
        <f>AVERAGE(10,10,10,10)</f>
        <v>10</v>
      </c>
      <c r="AZ25" s="5"/>
    </row>
    <row r="26" spans="1:52" ht="14.2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>
        <v>3</v>
      </c>
      <c r="M26" s="17" t="s">
        <v>407</v>
      </c>
      <c r="N26" s="17">
        <v>3</v>
      </c>
      <c r="O26" s="15">
        <v>82.5</v>
      </c>
      <c r="P26" s="15">
        <v>1.5</v>
      </c>
      <c r="Q26" s="15">
        <v>94</v>
      </c>
      <c r="R26" s="15">
        <v>8.7142857142857206</v>
      </c>
      <c r="S26" s="15">
        <v>12</v>
      </c>
      <c r="T26" s="17" t="s">
        <v>407</v>
      </c>
      <c r="U26" s="5">
        <v>27.4</v>
      </c>
      <c r="V26" s="5">
        <v>8.1</v>
      </c>
      <c r="W26" s="17" t="s">
        <v>407</v>
      </c>
      <c r="X26" s="2">
        <v>129.80000000000001</v>
      </c>
      <c r="Y26" s="19">
        <v>10</v>
      </c>
      <c r="Z26" s="10">
        <v>5.8</v>
      </c>
      <c r="AA26" s="17" t="s">
        <v>407</v>
      </c>
      <c r="AB26" s="20">
        <v>80</v>
      </c>
      <c r="AC26" s="21">
        <f>1/(AVERAGE(9.62,9.97,7.65,8.9,8.14,9.27,9.76))</f>
        <v>0.11056705101879641</v>
      </c>
      <c r="AD26" s="2">
        <f>AVERAGE(1,2)</f>
        <v>1.5</v>
      </c>
      <c r="AE26" s="15">
        <v>20</v>
      </c>
      <c r="AF26" s="19">
        <f>AVERAGE(16,20,15)</f>
        <v>17</v>
      </c>
      <c r="AG26" s="15">
        <f>AVERAGE(15,15,15,15)</f>
        <v>15</v>
      </c>
      <c r="AH26" s="2">
        <v>1.0900000000000001</v>
      </c>
      <c r="AI26" s="15">
        <f>AVERAGE(90,90,90,90)</f>
        <v>90</v>
      </c>
      <c r="AJ26" s="15">
        <f>AVERAGE(10,10,10,10)</f>
        <v>10</v>
      </c>
      <c r="AK26" s="15">
        <f t="shared" si="6"/>
        <v>0</v>
      </c>
      <c r="AL26" s="15">
        <f t="shared" si="6"/>
        <v>0</v>
      </c>
      <c r="AM26" s="15">
        <f t="shared" si="6"/>
        <v>0</v>
      </c>
      <c r="AN26" s="15">
        <f t="shared" si="6"/>
        <v>0</v>
      </c>
      <c r="AO26" s="15">
        <f t="shared" si="6"/>
        <v>0</v>
      </c>
      <c r="AP26" s="15">
        <f t="shared" si="6"/>
        <v>0</v>
      </c>
      <c r="AQ26" s="15">
        <f t="shared" si="6"/>
        <v>0</v>
      </c>
      <c r="AR26" s="15">
        <f t="shared" si="6"/>
        <v>0</v>
      </c>
      <c r="AS26" s="15">
        <f>AVERAGE(90,90,90,90)</f>
        <v>90</v>
      </c>
      <c r="AT26" s="15">
        <f>AVERAGE(10,10,10,10)</f>
        <v>10</v>
      </c>
      <c r="AU26" s="15">
        <f t="shared" ref="AU26:AY59" si="7">AVERAGE(0,0,0,0)</f>
        <v>0</v>
      </c>
      <c r="AV26" s="15">
        <f>AVERAGE(5,5,5,5)</f>
        <v>5</v>
      </c>
      <c r="AW26" s="15">
        <f>AVERAGE(0,0,0,0)</f>
        <v>0</v>
      </c>
      <c r="AX26" s="15">
        <f>AVERAGE(5,5,5,5)</f>
        <v>5</v>
      </c>
      <c r="AY26" s="15">
        <f>AVERAGE(10,10,10,10)</f>
        <v>10</v>
      </c>
      <c r="AZ26" s="5"/>
    </row>
    <row r="27" spans="1:52" ht="14.2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>
        <v>3</v>
      </c>
      <c r="M27" s="17" t="s">
        <v>407</v>
      </c>
      <c r="N27" s="17">
        <v>1</v>
      </c>
      <c r="O27" s="15">
        <v>73.409090909090907</v>
      </c>
      <c r="P27" s="15">
        <v>1.20588235294118</v>
      </c>
      <c r="Q27" s="15">
        <v>144</v>
      </c>
      <c r="R27" s="15">
        <v>0.14285714285714299</v>
      </c>
      <c r="S27" s="15">
        <v>0.33333333333333398</v>
      </c>
      <c r="T27" s="17" t="s">
        <v>407</v>
      </c>
      <c r="U27" s="5">
        <v>27.2</v>
      </c>
      <c r="V27" s="5">
        <v>6.8</v>
      </c>
      <c r="W27" s="17" t="s">
        <v>407</v>
      </c>
      <c r="X27" s="2">
        <v>115.2</v>
      </c>
      <c r="Y27" s="19">
        <v>10</v>
      </c>
      <c r="Z27" s="10">
        <v>6.01</v>
      </c>
      <c r="AA27" s="17" t="s">
        <v>407</v>
      </c>
      <c r="AB27" s="20">
        <v>87</v>
      </c>
      <c r="AC27" s="21">
        <f>1/(AVERAGE(3.91,4.53,3.65,3.27,3.84,5.16,3.44))</f>
        <v>0.25179856115107913</v>
      </c>
      <c r="AD27" s="19">
        <f>AVERAGE(1,1)</f>
        <v>1</v>
      </c>
      <c r="AE27" s="15">
        <v>18</v>
      </c>
      <c r="AF27" s="19">
        <f>AVERAGE(10,18,10)</f>
        <v>12.666666666666666</v>
      </c>
      <c r="AG27" s="15">
        <f>AVERAGE(11,11,11,11)</f>
        <v>11</v>
      </c>
      <c r="AH27" s="10">
        <v>0.9</v>
      </c>
      <c r="AI27" s="15">
        <f>AVERAGE(10,10,10,10)</f>
        <v>10</v>
      </c>
      <c r="AJ27" s="15">
        <f>AVERAGE(90,90,90,90)</f>
        <v>90</v>
      </c>
      <c r="AK27" s="15">
        <f t="shared" si="6"/>
        <v>0</v>
      </c>
      <c r="AL27" s="15">
        <f t="shared" si="6"/>
        <v>0</v>
      </c>
      <c r="AM27" s="15">
        <f t="shared" si="6"/>
        <v>0</v>
      </c>
      <c r="AN27" s="15">
        <f t="shared" si="6"/>
        <v>0</v>
      </c>
      <c r="AO27" s="15">
        <f t="shared" si="6"/>
        <v>0</v>
      </c>
      <c r="AP27" s="15">
        <f t="shared" si="6"/>
        <v>0</v>
      </c>
      <c r="AQ27" s="15">
        <f t="shared" si="6"/>
        <v>0</v>
      </c>
      <c r="AR27" s="15">
        <f>AVERAGE(5,5,5,5)</f>
        <v>5</v>
      </c>
      <c r="AS27" s="15">
        <f>AVERAGE(80,80,80,80)</f>
        <v>80</v>
      </c>
      <c r="AT27" s="15">
        <f>AVERAGE(5,5,5,5)</f>
        <v>5</v>
      </c>
      <c r="AU27" s="15">
        <f t="shared" si="7"/>
        <v>0</v>
      </c>
      <c r="AV27" s="15">
        <f t="shared" si="7"/>
        <v>0</v>
      </c>
      <c r="AW27" s="15">
        <f>AVERAGE(10,10,10,10)</f>
        <v>10</v>
      </c>
      <c r="AX27" s="15">
        <f>AVERAGE(10,10,10,10)</f>
        <v>10</v>
      </c>
      <c r="AY27" s="15">
        <f>AVERAGE(5,5,5,5)</f>
        <v>5</v>
      </c>
      <c r="AZ27" s="5"/>
    </row>
    <row r="28" spans="1:52" ht="14.2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>
        <v>3</v>
      </c>
      <c r="M28" s="17" t="s">
        <v>407</v>
      </c>
      <c r="N28" s="17">
        <v>2</v>
      </c>
      <c r="O28" s="15">
        <v>52.954545454545503</v>
      </c>
      <c r="P28" s="15">
        <v>23.264705882352899</v>
      </c>
      <c r="Q28" s="15">
        <v>165.42857142857099</v>
      </c>
      <c r="R28" s="15">
        <v>5.8571428571428603</v>
      </c>
      <c r="S28" s="15">
        <v>7</v>
      </c>
      <c r="T28" s="17" t="s">
        <v>407</v>
      </c>
      <c r="U28" s="5">
        <v>27.1</v>
      </c>
      <c r="V28" s="5">
        <v>7.5</v>
      </c>
      <c r="W28" s="17" t="s">
        <v>407</v>
      </c>
      <c r="X28" s="2">
        <v>122.4</v>
      </c>
      <c r="Y28" s="19">
        <v>8</v>
      </c>
      <c r="Z28" s="10">
        <v>6</v>
      </c>
      <c r="AA28" s="17" t="s">
        <v>407</v>
      </c>
      <c r="AB28" s="20">
        <v>87</v>
      </c>
      <c r="AC28" s="21">
        <f>1/(AVERAGE(4.61,4.47,5.16))</f>
        <v>0.21067415730337077</v>
      </c>
      <c r="AD28" s="19">
        <f>AVERAGE(2,2)</f>
        <v>2</v>
      </c>
      <c r="AE28" s="15">
        <v>13</v>
      </c>
      <c r="AF28" s="19">
        <f>AVERAGE(11,13,7)</f>
        <v>10.333333333333334</v>
      </c>
      <c r="AG28" s="15">
        <f>AVERAGE(14,14,14,14)</f>
        <v>14</v>
      </c>
      <c r="AH28" s="2">
        <v>1.08</v>
      </c>
      <c r="AI28" s="15">
        <f>AVERAGE(10,10,10,10)</f>
        <v>10</v>
      </c>
      <c r="AJ28" s="15">
        <f>AVERAGE(90,90,90,90)</f>
        <v>90</v>
      </c>
      <c r="AK28" s="15">
        <f t="shared" si="6"/>
        <v>0</v>
      </c>
      <c r="AL28" s="15">
        <f t="shared" si="6"/>
        <v>0</v>
      </c>
      <c r="AM28" s="15">
        <f t="shared" si="6"/>
        <v>0</v>
      </c>
      <c r="AN28" s="15">
        <f t="shared" si="6"/>
        <v>0</v>
      </c>
      <c r="AO28" s="15">
        <f t="shared" si="6"/>
        <v>0</v>
      </c>
      <c r="AP28" s="15">
        <f>AVERAGE(5,5,5,5)</f>
        <v>5</v>
      </c>
      <c r="AQ28" s="15">
        <f t="shared" si="6"/>
        <v>0</v>
      </c>
      <c r="AR28" s="15">
        <f t="shared" si="6"/>
        <v>0</v>
      </c>
      <c r="AS28" s="15">
        <f>AVERAGE(30,30,30,30)</f>
        <v>30</v>
      </c>
      <c r="AT28" s="15">
        <f>AVERAGE(10,10,10,10)</f>
        <v>10</v>
      </c>
      <c r="AU28" s="15">
        <f t="shared" si="7"/>
        <v>0</v>
      </c>
      <c r="AV28" s="15">
        <f t="shared" si="7"/>
        <v>0</v>
      </c>
      <c r="AW28" s="15">
        <f>AVERAGE(5,5,5,5)</f>
        <v>5</v>
      </c>
      <c r="AX28" s="15">
        <f>AVERAGE(0,0,0,0)</f>
        <v>0</v>
      </c>
      <c r="AY28" s="15">
        <f>AVERAGE(10,10,10,10)</f>
        <v>10</v>
      </c>
      <c r="AZ28" s="5"/>
    </row>
    <row r="29" spans="1:52" ht="14.2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>
        <v>3</v>
      </c>
      <c r="M29" s="17" t="s">
        <v>407</v>
      </c>
      <c r="N29" s="17">
        <v>3</v>
      </c>
      <c r="O29" s="15">
        <v>55.227272727272698</v>
      </c>
      <c r="P29" s="15">
        <v>20.323529411764699</v>
      </c>
      <c r="Q29" s="15">
        <v>189.71428571428601</v>
      </c>
      <c r="R29" s="15">
        <v>5.8571428571428603</v>
      </c>
      <c r="S29" s="15">
        <v>7</v>
      </c>
      <c r="T29" s="17" t="s">
        <v>407</v>
      </c>
      <c r="U29" s="15">
        <v>27</v>
      </c>
      <c r="V29" s="5">
        <v>6.6</v>
      </c>
      <c r="W29" s="17" t="s">
        <v>407</v>
      </c>
      <c r="X29" s="2">
        <v>111.4</v>
      </c>
      <c r="Y29" s="19">
        <v>2</v>
      </c>
      <c r="Z29" s="10">
        <v>6.19</v>
      </c>
      <c r="AA29" s="17" t="s">
        <v>407</v>
      </c>
      <c r="AB29" s="20">
        <v>87</v>
      </c>
      <c r="AC29" s="21">
        <f>1/(AVERAGE(28.6/0.5,17.42/0.5,20.88/0.5,26.9/0.5))</f>
        <v>2.1321961620469079E-2</v>
      </c>
      <c r="AD29" s="19">
        <f>AVERAGE(2,2)</f>
        <v>2</v>
      </c>
      <c r="AE29" s="15">
        <v>42</v>
      </c>
      <c r="AF29" s="19">
        <f>AVERAGE(7,42,26)</f>
        <v>25</v>
      </c>
      <c r="AG29" s="15">
        <f>AVERAGE(38,38,38,38)</f>
        <v>38</v>
      </c>
      <c r="AH29" s="10">
        <v>1.5</v>
      </c>
      <c r="AI29" s="15">
        <f>AVERAGE(80,80,80,80)</f>
        <v>80</v>
      </c>
      <c r="AJ29" s="15">
        <f>AVERAGE(20,20,20,20)</f>
        <v>20</v>
      </c>
      <c r="AK29" s="15">
        <f t="shared" si="6"/>
        <v>0</v>
      </c>
      <c r="AL29" s="15">
        <f t="shared" si="6"/>
        <v>0</v>
      </c>
      <c r="AM29" s="15">
        <f t="shared" si="6"/>
        <v>0</v>
      </c>
      <c r="AN29" s="15">
        <f t="shared" si="6"/>
        <v>0</v>
      </c>
      <c r="AO29" s="15">
        <f t="shared" si="6"/>
        <v>0</v>
      </c>
      <c r="AP29" s="15">
        <f t="shared" si="6"/>
        <v>0</v>
      </c>
      <c r="AQ29" s="15">
        <f t="shared" si="6"/>
        <v>0</v>
      </c>
      <c r="AR29" s="15">
        <f t="shared" si="6"/>
        <v>0</v>
      </c>
      <c r="AS29" s="15">
        <f>AVERAGE(40,40,40,40)</f>
        <v>40</v>
      </c>
      <c r="AT29" s="15">
        <f>AVERAGE(10,10,10,10)</f>
        <v>10</v>
      </c>
      <c r="AU29" s="15">
        <f t="shared" si="7"/>
        <v>0</v>
      </c>
      <c r="AV29" s="15">
        <f t="shared" si="7"/>
        <v>0</v>
      </c>
      <c r="AW29" s="15">
        <f>AVERAGE(15,15,15,15)</f>
        <v>15</v>
      </c>
      <c r="AX29" s="15">
        <f>AVERAGE(25,25,25,25)</f>
        <v>25</v>
      </c>
      <c r="AY29" s="15">
        <f>AVERAGE(15,15,15,15)</f>
        <v>15</v>
      </c>
      <c r="AZ29" s="5"/>
    </row>
    <row r="30" spans="1:52" ht="14.2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>
        <v>3</v>
      </c>
      <c r="M30" s="17" t="s">
        <v>407</v>
      </c>
      <c r="N30" s="17">
        <v>1</v>
      </c>
      <c r="O30" s="15">
        <v>53.409090909090899</v>
      </c>
      <c r="P30" s="15">
        <v>4.1470588235294104</v>
      </c>
      <c r="Q30" s="15">
        <v>1652.57142857143</v>
      </c>
      <c r="R30" s="15">
        <v>4.4285714285714297</v>
      </c>
      <c r="S30" s="15">
        <v>5.3333333333333401</v>
      </c>
      <c r="T30" s="17" t="s">
        <v>407</v>
      </c>
      <c r="U30" s="5">
        <v>27.5</v>
      </c>
      <c r="V30" s="5">
        <v>5.0999999999999996</v>
      </c>
      <c r="W30" s="17" t="s">
        <v>407</v>
      </c>
      <c r="X30" s="19">
        <v>145.69999999999999</v>
      </c>
      <c r="Y30" s="19">
        <v>7</v>
      </c>
      <c r="Z30" s="2">
        <v>5.99</v>
      </c>
      <c r="AA30" s="17" t="s">
        <v>407</v>
      </c>
      <c r="AB30" s="20">
        <v>76</v>
      </c>
      <c r="AC30" s="21">
        <f>1/(AVERAGE(14.98,22.13,26.78))</f>
        <v>4.6955705118171855E-2</v>
      </c>
      <c r="AD30" s="19">
        <f>AVERAGE(3,4)</f>
        <v>3.5</v>
      </c>
      <c r="AE30" s="15">
        <v>20</v>
      </c>
      <c r="AF30" s="19">
        <f>AVERAGE(10,20,19)</f>
        <v>16.333333333333332</v>
      </c>
      <c r="AG30" s="15">
        <f>AVERAGE(13,13,13,13)</f>
        <v>13</v>
      </c>
      <c r="AH30" s="2">
        <v>2.2400000000000002</v>
      </c>
      <c r="AI30" s="15">
        <f>AVERAGE(5,5,5,5)</f>
        <v>5</v>
      </c>
      <c r="AJ30" s="15">
        <f>AVERAGE(95,95,95,95)</f>
        <v>95</v>
      </c>
      <c r="AK30" s="15">
        <f t="shared" si="6"/>
        <v>0</v>
      </c>
      <c r="AL30" s="15">
        <f t="shared" si="6"/>
        <v>0</v>
      </c>
      <c r="AM30" s="15">
        <f t="shared" si="6"/>
        <v>0</v>
      </c>
      <c r="AN30" s="15">
        <f t="shared" si="6"/>
        <v>0</v>
      </c>
      <c r="AO30" s="15">
        <f t="shared" si="6"/>
        <v>0</v>
      </c>
      <c r="AP30" s="15">
        <f t="shared" si="6"/>
        <v>0</v>
      </c>
      <c r="AQ30" s="15">
        <f t="shared" si="6"/>
        <v>0</v>
      </c>
      <c r="AR30" s="15">
        <f t="shared" si="6"/>
        <v>0</v>
      </c>
      <c r="AS30" s="15">
        <f>AVERAGE(60,60,60,60)</f>
        <v>60</v>
      </c>
      <c r="AT30" s="15">
        <f>AVERAGE(5,5,5,5)</f>
        <v>5</v>
      </c>
      <c r="AU30" s="15">
        <f t="shared" si="7"/>
        <v>0</v>
      </c>
      <c r="AV30" s="15">
        <f t="shared" si="7"/>
        <v>0</v>
      </c>
      <c r="AW30" s="15">
        <f>AVERAGE(20,20,20,20)</f>
        <v>20</v>
      </c>
      <c r="AX30" s="15">
        <f>AVERAGE(15,15,15,15)</f>
        <v>15</v>
      </c>
      <c r="AY30" s="15">
        <f>AVERAGE(10,10,10,10)</f>
        <v>10</v>
      </c>
      <c r="AZ30" s="5"/>
    </row>
    <row r="31" spans="1:52" ht="14.2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>
        <v>3</v>
      </c>
      <c r="M31" s="17" t="s">
        <v>407</v>
      </c>
      <c r="N31" s="17">
        <v>2</v>
      </c>
      <c r="O31" s="15">
        <v>125.681818181818</v>
      </c>
      <c r="P31" s="15">
        <v>6.2058823529411802</v>
      </c>
      <c r="Q31" s="15">
        <v>2046.8571428571399</v>
      </c>
      <c r="R31" s="15">
        <v>7.28571428571429</v>
      </c>
      <c r="S31" s="15">
        <v>12</v>
      </c>
      <c r="T31" s="17" t="s">
        <v>407</v>
      </c>
      <c r="U31" s="5">
        <v>27.9</v>
      </c>
      <c r="V31" s="5">
        <v>6.5</v>
      </c>
      <c r="W31" s="17" t="s">
        <v>407</v>
      </c>
      <c r="X31" s="19">
        <v>117</v>
      </c>
      <c r="Y31" s="19">
        <v>28</v>
      </c>
      <c r="Z31" s="2">
        <v>6.46</v>
      </c>
      <c r="AA31" s="17" t="s">
        <v>407</v>
      </c>
      <c r="AB31" s="20">
        <v>76</v>
      </c>
      <c r="AC31" s="21">
        <f>1/(AVERAGE(2.77,1.84,2.08,2.24,2.1,1.88,2.29))</f>
        <v>0.46052631578947373</v>
      </c>
      <c r="AD31" s="19">
        <f>AVERAGE(3,3)</f>
        <v>3</v>
      </c>
      <c r="AE31" s="15">
        <v>17</v>
      </c>
      <c r="AF31" s="19">
        <f>AVERAGE(10,17,15)</f>
        <v>14</v>
      </c>
      <c r="AG31" s="15">
        <f>AVERAGE(11,11,11,11)</f>
        <v>11</v>
      </c>
      <c r="AH31" s="10">
        <v>1.4</v>
      </c>
      <c r="AI31" s="15">
        <f>AVERAGE(5,5,5,5)</f>
        <v>5</v>
      </c>
      <c r="AJ31" s="15">
        <f>AVERAGE(95,95,95,95)</f>
        <v>95</v>
      </c>
      <c r="AK31" s="15">
        <f t="shared" si="6"/>
        <v>0</v>
      </c>
      <c r="AL31" s="15">
        <f t="shared" si="6"/>
        <v>0</v>
      </c>
      <c r="AM31" s="15">
        <f t="shared" si="6"/>
        <v>0</v>
      </c>
      <c r="AN31" s="15">
        <f t="shared" si="6"/>
        <v>0</v>
      </c>
      <c r="AO31" s="15">
        <f t="shared" si="6"/>
        <v>0</v>
      </c>
      <c r="AP31" s="15">
        <f t="shared" si="6"/>
        <v>0</v>
      </c>
      <c r="AQ31" s="15">
        <f t="shared" si="6"/>
        <v>0</v>
      </c>
      <c r="AR31" s="15">
        <f t="shared" si="6"/>
        <v>0</v>
      </c>
      <c r="AS31" s="15">
        <f>AVERAGE(50,50,50,50)</f>
        <v>50</v>
      </c>
      <c r="AT31" s="15">
        <f>AVERAGE(5,5,5,5)</f>
        <v>5</v>
      </c>
      <c r="AU31" s="15">
        <f t="shared" si="7"/>
        <v>0</v>
      </c>
      <c r="AV31" s="15">
        <f t="shared" si="7"/>
        <v>0</v>
      </c>
      <c r="AW31" s="15">
        <f>AVERAGE(15,15,15,15)</f>
        <v>15</v>
      </c>
      <c r="AX31" s="15">
        <f>AVERAGE(15,15,15,15)</f>
        <v>15</v>
      </c>
      <c r="AY31" s="15">
        <f>AVERAGE(15,15,15,15)</f>
        <v>15</v>
      </c>
      <c r="AZ31" s="5"/>
    </row>
    <row r="32" spans="1:52" ht="14.2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>
        <v>3</v>
      </c>
      <c r="M32" s="17" t="s">
        <v>407</v>
      </c>
      <c r="N32" s="17">
        <v>3</v>
      </c>
      <c r="O32" s="15">
        <v>103.40909090909101</v>
      </c>
      <c r="P32" s="15">
        <v>4.7352941176470598</v>
      </c>
      <c r="Q32" s="15">
        <v>2309.7142857142899</v>
      </c>
      <c r="R32" s="15">
        <v>5.8571428571428603</v>
      </c>
      <c r="S32" s="15">
        <v>7</v>
      </c>
      <c r="T32" s="17" t="s">
        <v>407</v>
      </c>
      <c r="U32" s="15">
        <v>28</v>
      </c>
      <c r="V32" s="5">
        <v>6.8</v>
      </c>
      <c r="W32" s="17" t="s">
        <v>407</v>
      </c>
      <c r="X32" s="19">
        <v>184.2</v>
      </c>
      <c r="Y32" s="19">
        <v>14</v>
      </c>
      <c r="Z32" s="2">
        <v>6.31</v>
      </c>
      <c r="AA32" s="17" t="s">
        <v>407</v>
      </c>
      <c r="AB32" s="20">
        <v>76</v>
      </c>
      <c r="AC32" s="21">
        <f>1/(AVERAGE(5.15,5.18,5.89,6.33,8.85,6.79,7))</f>
        <v>0.15490152688647932</v>
      </c>
      <c r="AD32" s="19">
        <f>AVERAGE(3,3)</f>
        <v>3</v>
      </c>
      <c r="AE32" s="15">
        <v>19</v>
      </c>
      <c r="AF32" s="19">
        <f>AVERAGE(4,9,19)</f>
        <v>10.666666666666666</v>
      </c>
      <c r="AG32" s="15">
        <f>AVERAGE(10,10,10,10)</f>
        <v>10</v>
      </c>
      <c r="AH32" s="2">
        <v>0.96</v>
      </c>
      <c r="AI32" s="15">
        <f>AVERAGE(5,5,5,5)</f>
        <v>5</v>
      </c>
      <c r="AJ32" s="15">
        <f>AVERAGE(90,90,90,90)</f>
        <v>90</v>
      </c>
      <c r="AK32" s="15">
        <f>AVERAGE(5,5,5,5)</f>
        <v>5</v>
      </c>
      <c r="AL32" s="15">
        <f t="shared" si="6"/>
        <v>0</v>
      </c>
      <c r="AM32" s="15">
        <f t="shared" si="6"/>
        <v>0</v>
      </c>
      <c r="AN32" s="15">
        <f t="shared" si="6"/>
        <v>0</v>
      </c>
      <c r="AO32" s="15">
        <f t="shared" si="6"/>
        <v>0</v>
      </c>
      <c r="AP32" s="15">
        <f t="shared" si="6"/>
        <v>0</v>
      </c>
      <c r="AQ32" s="15">
        <f t="shared" si="6"/>
        <v>0</v>
      </c>
      <c r="AR32" s="15">
        <f t="shared" si="6"/>
        <v>0</v>
      </c>
      <c r="AS32" s="15">
        <f>AVERAGE(60,60,60,60)</f>
        <v>60</v>
      </c>
      <c r="AT32" s="15">
        <f>AVERAGE(5,5,5,5)</f>
        <v>5</v>
      </c>
      <c r="AU32" s="15">
        <f t="shared" si="7"/>
        <v>0</v>
      </c>
      <c r="AV32" s="15">
        <f t="shared" si="7"/>
        <v>0</v>
      </c>
      <c r="AW32" s="15">
        <f>AVERAGE(10,10,10,10)</f>
        <v>10</v>
      </c>
      <c r="AX32" s="15">
        <f>AVERAGE(15,15,15,15)</f>
        <v>15</v>
      </c>
      <c r="AY32" s="15">
        <f>AVERAGE(15,15,15,15)</f>
        <v>15</v>
      </c>
      <c r="AZ32" s="5"/>
    </row>
    <row r="33" spans="1:52" ht="14.2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>
        <v>4</v>
      </c>
      <c r="M33" s="17" t="s">
        <v>407</v>
      </c>
      <c r="N33" s="17">
        <v>1</v>
      </c>
      <c r="O33" s="15">
        <v>173.863636363636</v>
      </c>
      <c r="P33" s="15">
        <v>1.20588235294118</v>
      </c>
      <c r="Q33" s="15">
        <v>352.57142857142901</v>
      </c>
      <c r="R33" s="15">
        <v>5.8571428571428603</v>
      </c>
      <c r="S33" s="15">
        <v>7</v>
      </c>
      <c r="T33" s="17" t="s">
        <v>407</v>
      </c>
      <c r="U33" s="5">
        <v>29.3</v>
      </c>
      <c r="V33" s="5">
        <v>5.4</v>
      </c>
      <c r="W33" s="17" t="s">
        <v>407</v>
      </c>
      <c r="X33" s="19">
        <v>250.8</v>
      </c>
      <c r="Y33" s="19">
        <v>11</v>
      </c>
      <c r="Z33" s="2">
        <v>6.37</v>
      </c>
      <c r="AA33" s="17" t="s">
        <v>407</v>
      </c>
      <c r="AB33" s="20">
        <v>86</v>
      </c>
      <c r="AC33" s="21">
        <f>1/(AVERAGE(6.79,6.23,6.76,5.91,6.23,5.73,6.35))</f>
        <v>0.15909090909090906</v>
      </c>
      <c r="AD33" s="2">
        <f>AVERAGE(2,3)</f>
        <v>2.5</v>
      </c>
      <c r="AE33" s="15">
        <v>30</v>
      </c>
      <c r="AF33" s="19">
        <f>AVERAGE(21,30,27)</f>
        <v>26</v>
      </c>
      <c r="AG33" s="15">
        <f>AVERAGE(14,14,14,14)</f>
        <v>14</v>
      </c>
      <c r="AH33" s="2">
        <v>1.08</v>
      </c>
      <c r="AI33" s="15">
        <f>AVERAGE(10,10,10,10)</f>
        <v>10</v>
      </c>
      <c r="AJ33" s="15">
        <f>AVERAGE(90,90,90,90)</f>
        <v>90</v>
      </c>
      <c r="AK33" s="15">
        <f>AVERAGE(0,0,0,0)</f>
        <v>0</v>
      </c>
      <c r="AL33" s="15">
        <f t="shared" si="6"/>
        <v>0</v>
      </c>
      <c r="AM33" s="15">
        <f t="shared" si="6"/>
        <v>0</v>
      </c>
      <c r="AN33" s="15">
        <f t="shared" si="6"/>
        <v>0</v>
      </c>
      <c r="AO33" s="15">
        <f t="shared" si="6"/>
        <v>0</v>
      </c>
      <c r="AP33" s="15">
        <f t="shared" si="6"/>
        <v>0</v>
      </c>
      <c r="AQ33" s="15">
        <f t="shared" si="6"/>
        <v>0</v>
      </c>
      <c r="AR33" s="15">
        <f t="shared" si="6"/>
        <v>0</v>
      </c>
      <c r="AS33" s="15">
        <f>AVERAGE(40,40,40,40)</f>
        <v>40</v>
      </c>
      <c r="AT33" s="19">
        <f>AVERAGE(10,10,10,10)</f>
        <v>10</v>
      </c>
      <c r="AU33" s="15">
        <f t="shared" si="7"/>
        <v>0</v>
      </c>
      <c r="AV33" s="15">
        <f t="shared" si="7"/>
        <v>0</v>
      </c>
      <c r="AW33" s="15">
        <f>AVERAGE(5,5,5,5)</f>
        <v>5</v>
      </c>
      <c r="AX33" s="15">
        <f>AVERAGE(10,10,10,10)</f>
        <v>10</v>
      </c>
      <c r="AY33" s="15">
        <f>AVERAGE(10,10,10,10)</f>
        <v>10</v>
      </c>
      <c r="AZ33" s="5"/>
    </row>
    <row r="34" spans="1:52" ht="14.2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>
        <v>4</v>
      </c>
      <c r="M34" s="17" t="s">
        <v>407</v>
      </c>
      <c r="N34" s="17">
        <v>2</v>
      </c>
      <c r="O34" s="15">
        <v>141.136363636364</v>
      </c>
      <c r="P34" s="15">
        <v>2.6764705882352899</v>
      </c>
      <c r="Q34" s="15">
        <v>908.28571428571399</v>
      </c>
      <c r="R34" s="15">
        <v>8.7142857142857206</v>
      </c>
      <c r="S34" s="15">
        <v>15.3333333333333</v>
      </c>
      <c r="T34" s="17" t="s">
        <v>407</v>
      </c>
      <c r="U34" s="5">
        <v>29.1</v>
      </c>
      <c r="V34" s="15">
        <v>5</v>
      </c>
      <c r="W34" s="17" t="s">
        <v>407</v>
      </c>
      <c r="X34" s="19">
        <v>232.3</v>
      </c>
      <c r="Y34" s="19">
        <v>8</v>
      </c>
      <c r="Z34" s="2">
        <v>6.27</v>
      </c>
      <c r="AA34" s="17" t="s">
        <v>407</v>
      </c>
      <c r="AB34" s="20">
        <v>86</v>
      </c>
      <c r="AC34" s="21">
        <f>1/(AVERAGE(9.25,8.36,10.74,8.45,9.79,10.12,8.1))</f>
        <v>0.10800802345317083</v>
      </c>
      <c r="AD34" s="2">
        <f>AVERAGE(2,3)</f>
        <v>2.5</v>
      </c>
      <c r="AE34" s="15">
        <v>22</v>
      </c>
      <c r="AF34" s="19">
        <f>AVERAGE(22,20,21)</f>
        <v>21</v>
      </c>
      <c r="AG34" s="15">
        <f>AVERAGE(19,19,19,19)</f>
        <v>19</v>
      </c>
      <c r="AH34" s="2">
        <v>0.56000000000000005</v>
      </c>
      <c r="AI34" s="15">
        <f>AVERAGE(10,10,10,10)</f>
        <v>10</v>
      </c>
      <c r="AJ34" s="15">
        <f>AVERAGE(90,90,90,90)</f>
        <v>90</v>
      </c>
      <c r="AK34" s="15">
        <f>AVERAGE(0,0,0,0)</f>
        <v>0</v>
      </c>
      <c r="AL34" s="15">
        <f t="shared" si="6"/>
        <v>0</v>
      </c>
      <c r="AM34" s="15">
        <f t="shared" si="6"/>
        <v>0</v>
      </c>
      <c r="AN34" s="15">
        <f t="shared" si="6"/>
        <v>0</v>
      </c>
      <c r="AO34" s="15">
        <f t="shared" si="6"/>
        <v>0</v>
      </c>
      <c r="AP34" s="15">
        <f t="shared" si="6"/>
        <v>0</v>
      </c>
      <c r="AQ34" s="15">
        <f t="shared" si="6"/>
        <v>0</v>
      </c>
      <c r="AR34" s="15">
        <f t="shared" si="6"/>
        <v>0</v>
      </c>
      <c r="AS34" s="19">
        <f>AVERAGE(40,40,40,40)</f>
        <v>40</v>
      </c>
      <c r="AT34" s="19">
        <f>AVERAGE(5,5,5,5)</f>
        <v>5</v>
      </c>
      <c r="AU34" s="15">
        <f t="shared" si="7"/>
        <v>0</v>
      </c>
      <c r="AV34" s="15">
        <f t="shared" si="7"/>
        <v>0</v>
      </c>
      <c r="AW34" s="15">
        <f>AVERAGE(0,0,0,0)</f>
        <v>0</v>
      </c>
      <c r="AX34" s="15">
        <f>AVERAGE(5,5,5,5)</f>
        <v>5</v>
      </c>
      <c r="AY34" s="15">
        <f>AVERAGE(5,5,5,5)</f>
        <v>5</v>
      </c>
      <c r="AZ34" s="5"/>
    </row>
    <row r="35" spans="1:52" ht="14.2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>
        <v>4</v>
      </c>
      <c r="M35" s="17" t="s">
        <v>407</v>
      </c>
      <c r="N35" s="17">
        <v>3</v>
      </c>
      <c r="O35" s="15">
        <v>191.59090909090901</v>
      </c>
      <c r="P35" s="15">
        <v>2.6764705882352899</v>
      </c>
      <c r="Q35" s="15">
        <v>1044</v>
      </c>
      <c r="R35" s="15">
        <v>7.28571428571429</v>
      </c>
      <c r="S35" s="15">
        <v>33.6666666666667</v>
      </c>
      <c r="T35" s="17" t="s">
        <v>407</v>
      </c>
      <c r="U35" s="15">
        <v>29</v>
      </c>
      <c r="V35" s="5">
        <v>5.4</v>
      </c>
      <c r="W35" s="17" t="s">
        <v>407</v>
      </c>
      <c r="X35" s="19">
        <v>243</v>
      </c>
      <c r="Y35" s="19">
        <v>21</v>
      </c>
      <c r="Z35" s="2">
        <v>6.57</v>
      </c>
      <c r="AA35" s="17" t="s">
        <v>407</v>
      </c>
      <c r="AB35" s="20">
        <v>86</v>
      </c>
      <c r="AC35" s="21">
        <f>1/(AVERAGE(10.79,9.69,10.11,12.72,11.58,10.95,11.72))</f>
        <v>9.0252707581227457E-2</v>
      </c>
      <c r="AD35" s="2">
        <f>AVERAGE(1,2)</f>
        <v>1.5</v>
      </c>
      <c r="AE35" s="15">
        <v>14</v>
      </c>
      <c r="AF35" s="19">
        <f>AVERAGE(12,14,6)</f>
        <v>10.666666666666666</v>
      </c>
      <c r="AG35" s="15">
        <f>AVERAGE(23,23,23,23)</f>
        <v>23</v>
      </c>
      <c r="AH35" s="2">
        <v>1.1499999999999999</v>
      </c>
      <c r="AI35" s="15">
        <f>AVERAGE(10,10,10,10)</f>
        <v>10</v>
      </c>
      <c r="AJ35" s="15">
        <f>AVERAGE(80,80,80,80)</f>
        <v>80</v>
      </c>
      <c r="AK35" s="15">
        <f>AVERAGE(10,10,10,10)</f>
        <v>10</v>
      </c>
      <c r="AL35" s="15">
        <f t="shared" si="6"/>
        <v>0</v>
      </c>
      <c r="AM35" s="15">
        <f t="shared" si="6"/>
        <v>0</v>
      </c>
      <c r="AN35" s="15">
        <f t="shared" si="6"/>
        <v>0</v>
      </c>
      <c r="AO35" s="15">
        <f t="shared" si="6"/>
        <v>0</v>
      </c>
      <c r="AP35" s="15">
        <f t="shared" si="6"/>
        <v>0</v>
      </c>
      <c r="AQ35" s="15">
        <f t="shared" si="6"/>
        <v>0</v>
      </c>
      <c r="AR35" s="15">
        <f t="shared" si="6"/>
        <v>0</v>
      </c>
      <c r="AS35" s="19">
        <f>AVERAGE(40,40,40,40)</f>
        <v>40</v>
      </c>
      <c r="AT35" s="19">
        <f>AVERAGE(5,5,5,5)</f>
        <v>5</v>
      </c>
      <c r="AU35" s="15">
        <f t="shared" si="7"/>
        <v>0</v>
      </c>
      <c r="AV35" s="15">
        <f t="shared" si="7"/>
        <v>0</v>
      </c>
      <c r="AW35" s="15">
        <f>AVERAGE(10,10,10,10)</f>
        <v>10</v>
      </c>
      <c r="AX35" s="15">
        <f>AVERAGE(15,15,15,15)</f>
        <v>15</v>
      </c>
      <c r="AY35" s="15">
        <f>AVERAGE(25,25,25,25)</f>
        <v>25</v>
      </c>
      <c r="AZ35" s="5"/>
    </row>
    <row r="36" spans="1:52" ht="14.2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>
        <v>4</v>
      </c>
      <c r="M36" s="17" t="s">
        <v>407</v>
      </c>
      <c r="N36" s="17">
        <v>1</v>
      </c>
      <c r="O36" s="15">
        <v>61.590909090909101</v>
      </c>
      <c r="P36" s="15">
        <v>10.323529411764699</v>
      </c>
      <c r="Q36" s="15">
        <v>4106.8571428571404</v>
      </c>
      <c r="R36" s="15">
        <v>7.28571428571429</v>
      </c>
      <c r="S36" s="15">
        <v>10.3333333333333</v>
      </c>
      <c r="T36" s="17" t="s">
        <v>407</v>
      </c>
      <c r="U36" s="5">
        <v>31.4</v>
      </c>
      <c r="V36" s="5">
        <v>7.1</v>
      </c>
      <c r="W36" s="17" t="s">
        <v>407</v>
      </c>
      <c r="X36" s="2">
        <v>139.1</v>
      </c>
      <c r="Y36" s="19">
        <v>8</v>
      </c>
      <c r="Z36" s="2">
        <v>6.5</v>
      </c>
      <c r="AA36" s="17" t="s">
        <v>407</v>
      </c>
      <c r="AB36" s="20">
        <v>76</v>
      </c>
      <c r="AC36" s="21">
        <v>0</v>
      </c>
      <c r="AD36" s="19">
        <f>AVERAGE(1,1)</f>
        <v>1</v>
      </c>
      <c r="AE36" s="15">
        <v>200</v>
      </c>
      <c r="AF36" s="19">
        <f>AVERAGE(40,40,40,40)</f>
        <v>40</v>
      </c>
      <c r="AG36" s="15">
        <f>AVERAGE(18,18,18,18)</f>
        <v>18</v>
      </c>
      <c r="AH36" s="2">
        <v>12.22</v>
      </c>
      <c r="AI36" s="15">
        <f>AVERAGE(100,100,100,100)</f>
        <v>100</v>
      </c>
      <c r="AJ36" s="15">
        <f t="shared" ref="AJ36:AK38" si="8">AVERAGE(0,0,0,0)</f>
        <v>0</v>
      </c>
      <c r="AK36" s="15">
        <f t="shared" si="8"/>
        <v>0</v>
      </c>
      <c r="AL36" s="15">
        <f t="shared" si="6"/>
        <v>0</v>
      </c>
      <c r="AM36" s="15">
        <f t="shared" si="6"/>
        <v>0</v>
      </c>
      <c r="AN36" s="15">
        <f t="shared" si="6"/>
        <v>0</v>
      </c>
      <c r="AO36" s="15">
        <f t="shared" si="6"/>
        <v>0</v>
      </c>
      <c r="AP36" s="15">
        <f>AVERAGE(0+25,0+25,0+25,0+25)</f>
        <v>25</v>
      </c>
      <c r="AQ36" s="15">
        <f>AVERAGE(50,50,50,50)</f>
        <v>50</v>
      </c>
      <c r="AR36" s="15">
        <f>AVERAGE(20,20,20,20)</f>
        <v>20</v>
      </c>
      <c r="AS36" s="15">
        <f>AVERAGE(5,5,5,5)</f>
        <v>5</v>
      </c>
      <c r="AT36" s="15">
        <f>AVERAGE(5,5,5,5)</f>
        <v>5</v>
      </c>
      <c r="AU36" s="15">
        <f t="shared" si="7"/>
        <v>0</v>
      </c>
      <c r="AV36" s="15">
        <f t="shared" si="7"/>
        <v>0</v>
      </c>
      <c r="AW36" s="15">
        <f>AVERAGE(5,5,5,5)</f>
        <v>5</v>
      </c>
      <c r="AX36" s="15">
        <f>AVERAGE(5,5,5,5)</f>
        <v>5</v>
      </c>
      <c r="AY36" s="15">
        <f>AVERAGE(5,5,5,5)</f>
        <v>5</v>
      </c>
      <c r="AZ36" s="5"/>
    </row>
    <row r="37" spans="1:52" ht="14.2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>
        <v>4</v>
      </c>
      <c r="M37" s="17" t="s">
        <v>407</v>
      </c>
      <c r="N37" s="17">
        <v>2</v>
      </c>
      <c r="O37" s="15">
        <v>73.863636363636402</v>
      </c>
      <c r="P37" s="15">
        <v>5.0294117647058796</v>
      </c>
      <c r="Q37" s="15">
        <v>322.57142857142901</v>
      </c>
      <c r="R37" s="15">
        <v>13</v>
      </c>
      <c r="S37" s="15">
        <v>15.3333333333333</v>
      </c>
      <c r="T37" s="17" t="s">
        <v>407</v>
      </c>
      <c r="U37" s="5">
        <v>32.700000000000003</v>
      </c>
      <c r="V37" s="5">
        <v>6.4</v>
      </c>
      <c r="W37" s="17" t="s">
        <v>407</v>
      </c>
      <c r="X37" s="2">
        <v>162.19999999999999</v>
      </c>
      <c r="Y37" s="19">
        <v>5</v>
      </c>
      <c r="Z37" s="2">
        <v>6.3</v>
      </c>
      <c r="AA37" s="17" t="s">
        <v>407</v>
      </c>
      <c r="AB37" s="20">
        <v>76</v>
      </c>
      <c r="AC37" s="21">
        <v>0</v>
      </c>
      <c r="AD37" s="19">
        <f>AVERAGE(1,1)</f>
        <v>1</v>
      </c>
      <c r="AE37" s="15">
        <v>200</v>
      </c>
      <c r="AF37" s="19">
        <f>AVERAGE(41,41,41,41)</f>
        <v>41</v>
      </c>
      <c r="AG37" s="15">
        <f>AVERAGE(27,27,27,27)</f>
        <v>27</v>
      </c>
      <c r="AH37" s="2">
        <v>8.4600000000000009</v>
      </c>
      <c r="AI37" s="15">
        <f>AVERAGE(100,100,100,100)</f>
        <v>100</v>
      </c>
      <c r="AJ37" s="15">
        <f t="shared" si="8"/>
        <v>0</v>
      </c>
      <c r="AK37" s="15">
        <f t="shared" si="8"/>
        <v>0</v>
      </c>
      <c r="AL37" s="15">
        <f t="shared" si="6"/>
        <v>0</v>
      </c>
      <c r="AM37" s="15">
        <f t="shared" si="6"/>
        <v>0</v>
      </c>
      <c r="AN37" s="15">
        <f t="shared" si="6"/>
        <v>0</v>
      </c>
      <c r="AO37" s="15">
        <f t="shared" si="6"/>
        <v>0</v>
      </c>
      <c r="AP37" s="15">
        <f>AVERAGE(25+25,25+25,25+25,25+25)</f>
        <v>50</v>
      </c>
      <c r="AQ37" s="15">
        <f>AVERAGE(50,50,50,50)</f>
        <v>50</v>
      </c>
      <c r="AR37" s="15">
        <f>AVERAGE(20,20,20,20)</f>
        <v>20</v>
      </c>
      <c r="AS37" s="15">
        <f>AVERAGE(0,0,0,0)</f>
        <v>0</v>
      </c>
      <c r="AT37" s="15">
        <f>AVERAGE(0,0,0,0)</f>
        <v>0</v>
      </c>
      <c r="AU37" s="15">
        <f t="shared" si="7"/>
        <v>0</v>
      </c>
      <c r="AV37" s="15">
        <f t="shared" si="7"/>
        <v>0</v>
      </c>
      <c r="AW37" s="15">
        <f t="shared" si="7"/>
        <v>0</v>
      </c>
      <c r="AX37" s="15">
        <f t="shared" si="7"/>
        <v>0</v>
      </c>
      <c r="AY37" s="15">
        <f t="shared" si="7"/>
        <v>0</v>
      </c>
      <c r="AZ37" s="5"/>
    </row>
    <row r="38" spans="1:52" ht="14.2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>
        <v>4</v>
      </c>
      <c r="M38" s="17" t="s">
        <v>407</v>
      </c>
      <c r="N38" s="17">
        <v>3</v>
      </c>
      <c r="O38" s="15">
        <v>67.954545454545496</v>
      </c>
      <c r="P38" s="15">
        <v>4.7352941176470598</v>
      </c>
      <c r="Q38" s="15">
        <v>442.57142857142901</v>
      </c>
      <c r="R38" s="15">
        <v>75.857142857142904</v>
      </c>
      <c r="S38" s="15">
        <v>170.333333333333</v>
      </c>
      <c r="T38" s="17" t="s">
        <v>407</v>
      </c>
      <c r="U38" s="5">
        <v>33.4</v>
      </c>
      <c r="V38" s="5">
        <v>7.3</v>
      </c>
      <c r="W38" s="17" t="s">
        <v>407</v>
      </c>
      <c r="X38" s="2">
        <v>156.4</v>
      </c>
      <c r="Y38" s="19">
        <v>12</v>
      </c>
      <c r="Z38" s="2">
        <v>6.8</v>
      </c>
      <c r="AA38" s="17" t="s">
        <v>407</v>
      </c>
      <c r="AB38" s="20">
        <v>76</v>
      </c>
      <c r="AC38" s="21">
        <v>0</v>
      </c>
      <c r="AD38" s="19">
        <f>AVERAGE(1,1)</f>
        <v>1</v>
      </c>
      <c r="AE38" s="15">
        <v>200</v>
      </c>
      <c r="AF38" s="19">
        <f>AVERAGE(42,42,42,42)</f>
        <v>42</v>
      </c>
      <c r="AG38" s="15">
        <f>AVERAGE(33,33,33,33)</f>
        <v>33</v>
      </c>
      <c r="AH38" s="2">
        <v>18.760000000000002</v>
      </c>
      <c r="AI38" s="15">
        <f>AVERAGE(100,100,100,100)</f>
        <v>100</v>
      </c>
      <c r="AJ38" s="15">
        <f t="shared" si="8"/>
        <v>0</v>
      </c>
      <c r="AK38" s="15">
        <f t="shared" si="8"/>
        <v>0</v>
      </c>
      <c r="AL38" s="15">
        <f t="shared" si="6"/>
        <v>0</v>
      </c>
      <c r="AM38" s="15">
        <f t="shared" si="6"/>
        <v>0</v>
      </c>
      <c r="AN38" s="15">
        <f t="shared" si="6"/>
        <v>0</v>
      </c>
      <c r="AO38" s="15">
        <f t="shared" si="6"/>
        <v>0</v>
      </c>
      <c r="AP38" s="15">
        <f>AVERAGE(30+20,30+20,30+20,30+20)</f>
        <v>50</v>
      </c>
      <c r="AQ38" s="15">
        <f>AVERAGE(40,40,40,40)</f>
        <v>40</v>
      </c>
      <c r="AR38" s="15">
        <f>AVERAGE(20,20,20,20)</f>
        <v>20</v>
      </c>
      <c r="AS38" s="15">
        <f>AVERAGE(0,0,0,0)</f>
        <v>0</v>
      </c>
      <c r="AT38" s="15">
        <f>AVERAGE(0,0,0,0)</f>
        <v>0</v>
      </c>
      <c r="AU38" s="15">
        <f t="shared" si="7"/>
        <v>0</v>
      </c>
      <c r="AV38" s="15">
        <f t="shared" si="7"/>
        <v>0</v>
      </c>
      <c r="AW38" s="15">
        <f t="shared" si="7"/>
        <v>0</v>
      </c>
      <c r="AX38" s="15">
        <f t="shared" si="7"/>
        <v>0</v>
      </c>
      <c r="AY38" s="15">
        <f t="shared" si="7"/>
        <v>0</v>
      </c>
      <c r="AZ38" s="5"/>
    </row>
    <row r="39" spans="1:52" ht="14.2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>
        <v>4</v>
      </c>
      <c r="M39" s="17" t="s">
        <v>407</v>
      </c>
      <c r="N39" s="17">
        <v>1</v>
      </c>
      <c r="O39" s="15">
        <v>80.227272727272705</v>
      </c>
      <c r="P39" s="15">
        <v>2.6764705882352899</v>
      </c>
      <c r="Q39" s="15">
        <v>461.142857142857</v>
      </c>
      <c r="R39" s="15">
        <v>8.7142857142857206</v>
      </c>
      <c r="S39" s="15">
        <v>12</v>
      </c>
      <c r="T39" s="17" t="s">
        <v>407</v>
      </c>
      <c r="U39" s="5">
        <v>28.8</v>
      </c>
      <c r="V39" s="5">
        <v>6.1</v>
      </c>
      <c r="W39" s="17" t="s">
        <v>407</v>
      </c>
      <c r="X39" s="2">
        <v>127.9</v>
      </c>
      <c r="Y39" s="2">
        <v>13.5</v>
      </c>
      <c r="Z39" s="2">
        <v>6.6</v>
      </c>
      <c r="AA39" s="17" t="s">
        <v>407</v>
      </c>
      <c r="AB39" s="20">
        <v>49</v>
      </c>
      <c r="AC39" s="21">
        <f>1/(AVERAGE(11.08,8.98,10.67,10.97,13.85,11.08,11.04,13.94,16.38,11.31))</f>
        <v>8.3822296730930418E-2</v>
      </c>
      <c r="AD39" s="19">
        <f>AVERAGE(2,1)</f>
        <v>1.5</v>
      </c>
      <c r="AE39" s="15">
        <v>100</v>
      </c>
      <c r="AF39" s="19">
        <f>AVERAGE(100,98,98)</f>
        <v>98.666666666666671</v>
      </c>
      <c r="AG39" s="15">
        <f>AVERAGE(100,100,100,100)</f>
        <v>100</v>
      </c>
      <c r="AH39" s="10">
        <v>5.5</v>
      </c>
      <c r="AI39" s="15">
        <f>AVERAGE(95,95,95,95)</f>
        <v>95</v>
      </c>
      <c r="AJ39" s="15">
        <f>AVERAGE(5,5,5,5)</f>
        <v>5</v>
      </c>
      <c r="AK39" s="15">
        <f>AVERAGE(0,0,0,0)</f>
        <v>0</v>
      </c>
      <c r="AL39" s="15">
        <f t="shared" si="6"/>
        <v>0</v>
      </c>
      <c r="AM39" s="15">
        <f t="shared" si="6"/>
        <v>0</v>
      </c>
      <c r="AN39" s="15">
        <f t="shared" si="6"/>
        <v>0</v>
      </c>
      <c r="AO39" s="15">
        <f t="shared" si="6"/>
        <v>0</v>
      </c>
      <c r="AP39" s="15">
        <f>AVERAGE(0,0,0,0)</f>
        <v>0</v>
      </c>
      <c r="AQ39" s="15">
        <f>AVERAGE(5,5,5,5)</f>
        <v>5</v>
      </c>
      <c r="AR39" s="15">
        <f>AVERAGE(15,15,15,15)</f>
        <v>15</v>
      </c>
      <c r="AS39" s="15">
        <f>AVERAGE(10,10,10,10)</f>
        <v>10</v>
      </c>
      <c r="AT39" s="15">
        <f>AVERAGE(5,5,5,5)</f>
        <v>5</v>
      </c>
      <c r="AU39" s="15">
        <f t="shared" si="7"/>
        <v>0</v>
      </c>
      <c r="AV39" s="15">
        <f t="shared" si="7"/>
        <v>0</v>
      </c>
      <c r="AW39" s="15">
        <f>AVERAGE(15,15,15,15)</f>
        <v>15</v>
      </c>
      <c r="AX39" s="15">
        <f>AVERAGE(25,25,25,25)</f>
        <v>25</v>
      </c>
      <c r="AY39" s="15">
        <f>AVERAGE(20,20,20,20)</f>
        <v>20</v>
      </c>
      <c r="AZ39" s="17"/>
    </row>
    <row r="40" spans="1:52" ht="14.2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>
        <v>4</v>
      </c>
      <c r="M40" s="17" t="s">
        <v>407</v>
      </c>
      <c r="N40" s="17">
        <v>2</v>
      </c>
      <c r="O40" s="15">
        <v>79.318181818181799</v>
      </c>
      <c r="P40" s="15">
        <v>3.8529411764705901</v>
      </c>
      <c r="Q40" s="15">
        <v>566.857142857143</v>
      </c>
      <c r="R40" s="15">
        <v>7.28571428571429</v>
      </c>
      <c r="S40" s="15">
        <v>22</v>
      </c>
      <c r="T40" s="17" t="s">
        <v>407</v>
      </c>
      <c r="U40" s="5">
        <v>29.1</v>
      </c>
      <c r="V40" s="5">
        <v>7.6</v>
      </c>
      <c r="W40" s="17" t="s">
        <v>407</v>
      </c>
      <c r="X40" s="2">
        <v>129.4</v>
      </c>
      <c r="Y40" s="2">
        <v>14.6</v>
      </c>
      <c r="Z40" s="2">
        <v>6.51</v>
      </c>
      <c r="AA40" s="17" t="s">
        <v>407</v>
      </c>
      <c r="AB40" s="20">
        <v>49</v>
      </c>
      <c r="AC40" s="21">
        <f>1/(AVERAGE(9.43,9.44,7.99,11.27,10.08,10.25,10.15,8.25,9.99,8.74))</f>
        <v>0.10461345329009311</v>
      </c>
      <c r="AD40" s="19">
        <f>AVERAGE(1,1)</f>
        <v>1</v>
      </c>
      <c r="AE40" s="15">
        <v>82</v>
      </c>
      <c r="AF40" s="19">
        <f>AVERAGE(64,82,64)</f>
        <v>70</v>
      </c>
      <c r="AG40" s="15">
        <f>AVERAGE(74,74,74,74)</f>
        <v>74</v>
      </c>
      <c r="AH40" s="10">
        <v>3.4</v>
      </c>
      <c r="AI40" s="15">
        <f>AVERAGE(100,100,100,100)</f>
        <v>100</v>
      </c>
      <c r="AJ40" s="15">
        <f>AVERAGE(0,0,0,0)</f>
        <v>0</v>
      </c>
      <c r="AK40" s="15">
        <f>AVERAGE(0,0,0,0)</f>
        <v>0</v>
      </c>
      <c r="AL40" s="15">
        <f t="shared" ref="AL40:AQ55" si="9">AVERAGE(0,0,0,0)</f>
        <v>0</v>
      </c>
      <c r="AM40" s="15">
        <f t="shared" si="9"/>
        <v>0</v>
      </c>
      <c r="AN40" s="15">
        <f t="shared" si="9"/>
        <v>0</v>
      </c>
      <c r="AO40" s="15">
        <f t="shared" si="9"/>
        <v>0</v>
      </c>
      <c r="AP40" s="15">
        <f>AVERAGE(0,0,0,0)</f>
        <v>0</v>
      </c>
      <c r="AQ40" s="15">
        <f>AVERAGE(5,5,5,5)</f>
        <v>5</v>
      </c>
      <c r="AR40" s="15">
        <f>AVERAGE(5,5,5,5)</f>
        <v>5</v>
      </c>
      <c r="AS40" s="15">
        <f>AVERAGE(30,30,30,30)</f>
        <v>30</v>
      </c>
      <c r="AT40" s="15">
        <f>AVERAGE(5,5,5,5)</f>
        <v>5</v>
      </c>
      <c r="AU40" s="15">
        <f t="shared" si="7"/>
        <v>0</v>
      </c>
      <c r="AV40" s="15">
        <f t="shared" si="7"/>
        <v>0</v>
      </c>
      <c r="AW40" s="15">
        <f>AVERAGE(5,5,5,5)</f>
        <v>5</v>
      </c>
      <c r="AX40" s="15">
        <f>AVERAGE(25,25,25,25)</f>
        <v>25</v>
      </c>
      <c r="AY40" s="15">
        <f>AVERAGE(20,20,20,20)</f>
        <v>20</v>
      </c>
      <c r="AZ40" s="5"/>
    </row>
    <row r="41" spans="1:52" ht="14.2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>
        <v>4</v>
      </c>
      <c r="M41" s="17" t="s">
        <v>407</v>
      </c>
      <c r="N41" s="17">
        <v>3</v>
      </c>
      <c r="O41" s="15">
        <v>87.045454545454604</v>
      </c>
      <c r="P41" s="15">
        <v>4.1470588235294104</v>
      </c>
      <c r="Q41" s="15">
        <v>1004</v>
      </c>
      <c r="R41" s="15">
        <v>10.1428571428571</v>
      </c>
      <c r="S41" s="15">
        <v>25.3333333333333</v>
      </c>
      <c r="T41" s="17" t="s">
        <v>407</v>
      </c>
      <c r="U41" s="15">
        <v>28</v>
      </c>
      <c r="V41" s="5">
        <v>7.8</v>
      </c>
      <c r="W41" s="17" t="s">
        <v>407</v>
      </c>
      <c r="X41" s="2">
        <v>130.6</v>
      </c>
      <c r="Y41" s="2">
        <v>11.9</v>
      </c>
      <c r="Z41" s="2">
        <v>6.52</v>
      </c>
      <c r="AA41" s="17" t="s">
        <v>407</v>
      </c>
      <c r="AB41" s="20">
        <v>49</v>
      </c>
      <c r="AC41" s="21">
        <f>1/(AVERAGE(16.49,7.08,9.79,10.18,6.29,6.64,7.97,7.72,8.71,6.09))</f>
        <v>0.11499540018399262</v>
      </c>
      <c r="AD41" s="19">
        <f>AVERAGE(1,1)</f>
        <v>1</v>
      </c>
      <c r="AE41" s="15">
        <v>70</v>
      </c>
      <c r="AF41" s="19">
        <f>AVERAGE(66,70,45)</f>
        <v>60.333333333333336</v>
      </c>
      <c r="AG41" s="15">
        <f>AVERAGE(5,5,5,5)</f>
        <v>5</v>
      </c>
      <c r="AH41" s="10">
        <v>4.03</v>
      </c>
      <c r="AI41" s="15">
        <f>AVERAGE(90,90,90,90)</f>
        <v>90</v>
      </c>
      <c r="AJ41" s="15">
        <f>AVERAGE(0,0,0,0)</f>
        <v>0</v>
      </c>
      <c r="AK41" s="15">
        <f>AVERAGE(0,0,0,0)</f>
        <v>0</v>
      </c>
      <c r="AL41" s="15">
        <f t="shared" si="9"/>
        <v>0</v>
      </c>
      <c r="AM41" s="15">
        <f t="shared" si="9"/>
        <v>0</v>
      </c>
      <c r="AN41" s="15">
        <f>AVERAGE(10,10,10,10)</f>
        <v>10</v>
      </c>
      <c r="AO41" s="15">
        <f t="shared" si="9"/>
        <v>0</v>
      </c>
      <c r="AP41" s="15">
        <f>AVERAGE(0,0,0,0)</f>
        <v>0</v>
      </c>
      <c r="AQ41" s="15">
        <f>AVERAGE(5,5,5,5)</f>
        <v>5</v>
      </c>
      <c r="AR41" s="15">
        <f>AVERAGE(5,5,5,5)</f>
        <v>5</v>
      </c>
      <c r="AS41" s="15">
        <f>AVERAGE(15,15,15,15)</f>
        <v>15</v>
      </c>
      <c r="AT41" s="15">
        <f>AVERAGE(5,5,5,5)</f>
        <v>5</v>
      </c>
      <c r="AU41" s="15">
        <f t="shared" si="7"/>
        <v>0</v>
      </c>
      <c r="AV41" s="15">
        <f t="shared" si="7"/>
        <v>0</v>
      </c>
      <c r="AW41" s="15">
        <f>AVERAGE(5,5,5,5)</f>
        <v>5</v>
      </c>
      <c r="AX41" s="15">
        <f>AVERAGE(0,0,0,0)</f>
        <v>0</v>
      </c>
      <c r="AY41" s="15">
        <f>AVERAGE(0,0,0,0)</f>
        <v>0</v>
      </c>
      <c r="AZ41" s="5"/>
    </row>
    <row r="42" spans="1:52" ht="14.2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>
        <v>4</v>
      </c>
      <c r="M42" s="17" t="s">
        <v>407</v>
      </c>
      <c r="N42" s="17">
        <v>1</v>
      </c>
      <c r="O42" s="15">
        <v>43.863636363636402</v>
      </c>
      <c r="P42" s="15">
        <v>3.2647058823529398</v>
      </c>
      <c r="Q42" s="15">
        <v>626.857142857143</v>
      </c>
      <c r="R42" s="15">
        <v>7.28571428571429</v>
      </c>
      <c r="S42" s="15">
        <v>8.6666666666666696</v>
      </c>
      <c r="T42" s="17" t="s">
        <v>407</v>
      </c>
      <c r="U42" s="5">
        <v>28.7</v>
      </c>
      <c r="V42" s="5">
        <v>5.4</v>
      </c>
      <c r="W42" s="17" t="s">
        <v>407</v>
      </c>
      <c r="X42" s="2">
        <v>130.69999999999999</v>
      </c>
      <c r="Y42" s="2">
        <v>11.7</v>
      </c>
      <c r="Z42" s="2">
        <v>6.84</v>
      </c>
      <c r="AA42" s="17" t="s">
        <v>407</v>
      </c>
      <c r="AB42" s="20">
        <v>47</v>
      </c>
      <c r="AC42" s="21">
        <f>1/(AVERAGE(12.77,13.58,11.74,10.54,8.53,,7.06,6.63,11.02,7.64,8.99))</f>
        <v>0.11167512690355332</v>
      </c>
      <c r="AD42" s="19">
        <f>AVERAGE(1,1)</f>
        <v>1</v>
      </c>
      <c r="AE42" s="15">
        <v>72</v>
      </c>
      <c r="AF42" s="19">
        <f>AVERAGE(72,60,58)</f>
        <v>63.333333333333336</v>
      </c>
      <c r="AG42" s="15">
        <f>AVERAGE(50,50,50,50)</f>
        <v>50</v>
      </c>
      <c r="AH42" s="10">
        <v>11.5</v>
      </c>
      <c r="AI42" s="15">
        <f>AVERAGE(100,100,100,100)</f>
        <v>100</v>
      </c>
      <c r="AJ42" s="15">
        <f>AVERAGE(0,0,0,0)</f>
        <v>0</v>
      </c>
      <c r="AK42" s="15">
        <f>AVERAGE(0,0,0,0)</f>
        <v>0</v>
      </c>
      <c r="AL42" s="15">
        <f t="shared" si="9"/>
        <v>0</v>
      </c>
      <c r="AM42" s="15">
        <f t="shared" si="9"/>
        <v>0</v>
      </c>
      <c r="AN42" s="15">
        <f t="shared" si="9"/>
        <v>0</v>
      </c>
      <c r="AO42" s="15">
        <f t="shared" si="9"/>
        <v>0</v>
      </c>
      <c r="AP42" s="15">
        <f>AVERAGE(15,15,15,15)</f>
        <v>15</v>
      </c>
      <c r="AQ42" s="15">
        <f>AVERAGE(5,5,5,5)</f>
        <v>5</v>
      </c>
      <c r="AR42" s="15">
        <f>AVERAGE(15,15,15,15)</f>
        <v>15</v>
      </c>
      <c r="AS42" s="15">
        <f>AVERAGE(0,0,0,0)</f>
        <v>0</v>
      </c>
      <c r="AT42" s="15">
        <f>AVERAGE(5,5,5,5)</f>
        <v>5</v>
      </c>
      <c r="AU42" s="15">
        <f t="shared" si="7"/>
        <v>0</v>
      </c>
      <c r="AV42" s="15">
        <f t="shared" si="7"/>
        <v>0</v>
      </c>
      <c r="AW42" s="15">
        <f>AVERAGE(0,0,0,0)</f>
        <v>0</v>
      </c>
      <c r="AX42" s="15">
        <f>AVERAGE(0,0,0,0)</f>
        <v>0</v>
      </c>
      <c r="AY42" s="15">
        <f>AVERAGE(0,0,0,0)</f>
        <v>0</v>
      </c>
      <c r="AZ42" s="5"/>
    </row>
    <row r="43" spans="1:52" ht="14.2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>
        <v>4</v>
      </c>
      <c r="M43" s="17" t="s">
        <v>407</v>
      </c>
      <c r="N43" s="17">
        <v>2</v>
      </c>
      <c r="O43" s="15">
        <v>48.863636363636402</v>
      </c>
      <c r="P43" s="15">
        <v>3.8529411764705901</v>
      </c>
      <c r="Q43" s="15">
        <v>486.857142857143</v>
      </c>
      <c r="R43" s="15">
        <v>8.7142857142857206</v>
      </c>
      <c r="S43" s="15">
        <v>17</v>
      </c>
      <c r="T43" s="17" t="s">
        <v>407</v>
      </c>
      <c r="U43" s="5">
        <v>28.9</v>
      </c>
      <c r="V43" s="15">
        <v>7</v>
      </c>
      <c r="W43" s="17" t="s">
        <v>407</v>
      </c>
      <c r="X43" s="2">
        <v>136.6</v>
      </c>
      <c r="Y43" s="2">
        <v>9.32</v>
      </c>
      <c r="Z43" s="2">
        <v>6.7</v>
      </c>
      <c r="AA43" s="17" t="s">
        <v>407</v>
      </c>
      <c r="AB43" s="20">
        <v>47</v>
      </c>
      <c r="AC43" s="21">
        <f>1/(AVERAGE(7.95,5.65,5.83,8.71,5.02,6.75,4.77,3.86,3.36,3.01))</f>
        <v>0.18211619012930252</v>
      </c>
      <c r="AD43" s="19">
        <f>AVERAGE(1,1)</f>
        <v>1</v>
      </c>
      <c r="AE43" s="15">
        <v>85</v>
      </c>
      <c r="AF43" s="19">
        <f>AVERAGE(50,85,60)</f>
        <v>65</v>
      </c>
      <c r="AG43" s="15">
        <f>AVERAGE(40,40,40,40)</f>
        <v>40</v>
      </c>
      <c r="AH43" s="2">
        <v>10.68</v>
      </c>
      <c r="AI43" s="15">
        <f>AVERAGE(5,5,5,5)</f>
        <v>5</v>
      </c>
      <c r="AJ43" s="15">
        <f>AVERAGE(85,85,85,85)</f>
        <v>85</v>
      </c>
      <c r="AK43" s="15">
        <f>AVERAGE(10,10,10,10)</f>
        <v>10</v>
      </c>
      <c r="AL43" s="15">
        <f t="shared" si="9"/>
        <v>0</v>
      </c>
      <c r="AM43" s="15">
        <f t="shared" si="9"/>
        <v>0</v>
      </c>
      <c r="AN43" s="15">
        <f t="shared" si="9"/>
        <v>0</v>
      </c>
      <c r="AO43" s="15">
        <f t="shared" si="9"/>
        <v>0</v>
      </c>
      <c r="AP43" s="15">
        <f t="shared" si="9"/>
        <v>0</v>
      </c>
      <c r="AQ43" s="15">
        <f t="shared" si="9"/>
        <v>0</v>
      </c>
      <c r="AR43" s="15">
        <f>AVERAGE(5,5,5,5)</f>
        <v>5</v>
      </c>
      <c r="AS43" s="15">
        <f>AVERAGE(30,30,30,30)</f>
        <v>30</v>
      </c>
      <c r="AT43" s="15">
        <f>AVERAGE(5,5,5,5)</f>
        <v>5</v>
      </c>
      <c r="AU43" s="15">
        <f t="shared" si="7"/>
        <v>0</v>
      </c>
      <c r="AV43" s="15">
        <f t="shared" si="7"/>
        <v>0</v>
      </c>
      <c r="AW43" s="15">
        <f>AVERAGE(15,15,15,15)</f>
        <v>15</v>
      </c>
      <c r="AX43" s="15">
        <f>AVERAGE(15,15,15,15)</f>
        <v>15</v>
      </c>
      <c r="AY43" s="15">
        <f>AVERAGE(20,20,20,20)</f>
        <v>20</v>
      </c>
      <c r="AZ43" s="5"/>
    </row>
    <row r="44" spans="1:52" ht="14.2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>
        <v>4</v>
      </c>
      <c r="M44" s="17" t="s">
        <v>407</v>
      </c>
      <c r="N44" s="17">
        <v>3</v>
      </c>
      <c r="O44" s="15">
        <v>54.772727272727302</v>
      </c>
      <c r="P44" s="15">
        <v>3.2647058823529398</v>
      </c>
      <c r="Q44" s="15">
        <v>754</v>
      </c>
      <c r="R44" s="15">
        <v>10.1428571428571</v>
      </c>
      <c r="S44" s="15">
        <v>12</v>
      </c>
      <c r="T44" s="17" t="s">
        <v>407</v>
      </c>
      <c r="U44" s="5">
        <v>28.5</v>
      </c>
      <c r="V44" s="5">
        <v>5.8</v>
      </c>
      <c r="W44" s="17" t="s">
        <v>407</v>
      </c>
      <c r="X44" s="2">
        <v>134</v>
      </c>
      <c r="Y44" s="2">
        <v>12.5</v>
      </c>
      <c r="Z44" s="2">
        <v>6.6</v>
      </c>
      <c r="AA44" s="17" t="s">
        <v>407</v>
      </c>
      <c r="AB44" s="20">
        <v>47</v>
      </c>
      <c r="AC44" s="21">
        <f>1/(AVERAGE(9.13,6.19,5.45,7.14,5.11,4.91,5.44,5.08,4.9,5.37))</f>
        <v>0.17029972752043598</v>
      </c>
      <c r="AD44" s="19">
        <f>AVERAGE(1,1)</f>
        <v>1</v>
      </c>
      <c r="AE44" s="15">
        <v>93</v>
      </c>
      <c r="AF44" s="19">
        <f>AVERAGE(93,62,35)</f>
        <v>63.333333333333336</v>
      </c>
      <c r="AG44" s="15">
        <f>AVERAGE(39,39,39,39)</f>
        <v>39</v>
      </c>
      <c r="AH44" s="10">
        <v>5.3</v>
      </c>
      <c r="AI44" s="15">
        <f>AVERAGE(5,5,5,5)</f>
        <v>5</v>
      </c>
      <c r="AJ44" s="15">
        <f>AVERAGE(95,95,95,95)</f>
        <v>95</v>
      </c>
      <c r="AK44" s="15">
        <f t="shared" ref="AK44:AP68" si="10">AVERAGE(0,0,0,0)</f>
        <v>0</v>
      </c>
      <c r="AL44" s="15">
        <f t="shared" si="9"/>
        <v>0</v>
      </c>
      <c r="AM44" s="15">
        <f t="shared" si="9"/>
        <v>0</v>
      </c>
      <c r="AN44" s="15">
        <f t="shared" si="9"/>
        <v>0</v>
      </c>
      <c r="AO44" s="15">
        <f t="shared" si="9"/>
        <v>0</v>
      </c>
      <c r="AP44" s="15">
        <f t="shared" si="9"/>
        <v>0</v>
      </c>
      <c r="AQ44" s="15">
        <f t="shared" si="9"/>
        <v>0</v>
      </c>
      <c r="AR44" s="15">
        <f>AVERAGE(0,0,0,0)</f>
        <v>0</v>
      </c>
      <c r="AS44" s="15">
        <f>AVERAGE(50,50,50,50)</f>
        <v>50</v>
      </c>
      <c r="AT44" s="15">
        <f>AVERAGE(0,0,0,0)</f>
        <v>0</v>
      </c>
      <c r="AU44" s="15">
        <f t="shared" si="7"/>
        <v>0</v>
      </c>
      <c r="AV44" s="15">
        <f t="shared" si="7"/>
        <v>0</v>
      </c>
      <c r="AW44" s="15">
        <f>AVERAGE(10,10,10,10)</f>
        <v>10</v>
      </c>
      <c r="AX44" s="15">
        <f>AVERAGE(15,15,15,15)</f>
        <v>15</v>
      </c>
      <c r="AY44" s="15">
        <f>AVERAGE(10,10,10,10)</f>
        <v>10</v>
      </c>
      <c r="AZ44" s="5"/>
    </row>
    <row r="45" spans="1:52" ht="14.2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>
        <v>3</v>
      </c>
      <c r="M45" s="17" t="s">
        <v>407</v>
      </c>
      <c r="N45" s="17">
        <v>1</v>
      </c>
      <c r="O45" s="15">
        <v>54.318181818181799</v>
      </c>
      <c r="P45" s="15">
        <v>2.6764705882352899</v>
      </c>
      <c r="Q45" s="15">
        <v>655.42857142857099</v>
      </c>
      <c r="R45" s="15">
        <v>10.1428571428571</v>
      </c>
      <c r="S45" s="15">
        <v>12</v>
      </c>
      <c r="T45" s="17" t="s">
        <v>407</v>
      </c>
      <c r="U45" s="5">
        <v>28.6</v>
      </c>
      <c r="V45" s="5">
        <v>7.7</v>
      </c>
      <c r="W45" s="17" t="s">
        <v>407</v>
      </c>
      <c r="X45" s="2">
        <v>139.69999999999999</v>
      </c>
      <c r="Y45" s="2">
        <v>11.1</v>
      </c>
      <c r="Z45" s="2">
        <v>6.7</v>
      </c>
      <c r="AA45" s="17" t="s">
        <v>407</v>
      </c>
      <c r="AB45" s="20">
        <v>54</v>
      </c>
      <c r="AC45" s="21">
        <f>1/(AVERAGE(3.23,3.38,3.34,2.7,2.94,2.78,3.02,3.28,2.78,2.83))</f>
        <v>0.33025099075297226</v>
      </c>
      <c r="AD45" s="19">
        <f>AVERAGE(3,1)</f>
        <v>2</v>
      </c>
      <c r="AE45" s="15">
        <v>36</v>
      </c>
      <c r="AF45" s="19">
        <f>AVERAGE(36,32,36)</f>
        <v>34.666666666666664</v>
      </c>
      <c r="AG45" s="15">
        <f>AVERAGE(28,28,28,28)</f>
        <v>28</v>
      </c>
      <c r="AH45" s="10">
        <v>2.1</v>
      </c>
      <c r="AI45" s="15">
        <f>AVERAGE(0,0,0,0)</f>
        <v>0</v>
      </c>
      <c r="AJ45" s="15">
        <f>AVERAGE(100,100,100,100)</f>
        <v>100</v>
      </c>
      <c r="AK45" s="15">
        <f t="shared" si="10"/>
        <v>0</v>
      </c>
      <c r="AL45" s="15">
        <f t="shared" si="9"/>
        <v>0</v>
      </c>
      <c r="AM45" s="15">
        <f t="shared" si="9"/>
        <v>0</v>
      </c>
      <c r="AN45" s="15">
        <f t="shared" si="9"/>
        <v>0</v>
      </c>
      <c r="AO45" s="15">
        <f t="shared" si="9"/>
        <v>0</v>
      </c>
      <c r="AP45" s="15">
        <f t="shared" si="9"/>
        <v>0</v>
      </c>
      <c r="AQ45" s="15">
        <f t="shared" si="9"/>
        <v>0</v>
      </c>
      <c r="AR45" s="15">
        <f>AVERAGE(5,5,5,5)</f>
        <v>5</v>
      </c>
      <c r="AS45" s="15">
        <f>AVERAGE(60,60,60,60)</f>
        <v>60</v>
      </c>
      <c r="AT45" s="15">
        <f>AVERAGE(5,5,5,5)</f>
        <v>5</v>
      </c>
      <c r="AU45" s="15">
        <f t="shared" si="7"/>
        <v>0</v>
      </c>
      <c r="AV45" s="15">
        <f t="shared" si="7"/>
        <v>0</v>
      </c>
      <c r="AW45" s="15">
        <f>AVERAGE(5,5,5,5)</f>
        <v>5</v>
      </c>
      <c r="AX45" s="15">
        <f>AVERAGE(0,0,0,0)</f>
        <v>0</v>
      </c>
      <c r="AY45" s="15">
        <f>AVERAGE(5,5,5,5)</f>
        <v>5</v>
      </c>
      <c r="AZ45" s="5"/>
    </row>
    <row r="46" spans="1:52" ht="14.2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>
        <v>3</v>
      </c>
      <c r="M46" s="17" t="s">
        <v>407</v>
      </c>
      <c r="N46" s="17">
        <v>2</v>
      </c>
      <c r="O46" s="15">
        <v>50.227272727272698</v>
      </c>
      <c r="P46" s="15">
        <v>3.8529411764705901</v>
      </c>
      <c r="Q46" s="15">
        <v>695.42857142857099</v>
      </c>
      <c r="R46" s="15">
        <v>13</v>
      </c>
      <c r="S46" s="15">
        <v>18.6666666666667</v>
      </c>
      <c r="T46" s="17" t="s">
        <v>407</v>
      </c>
      <c r="U46" s="5">
        <v>28.5</v>
      </c>
      <c r="V46" s="5">
        <v>6.2</v>
      </c>
      <c r="W46" s="17" t="s">
        <v>407</v>
      </c>
      <c r="X46" s="2">
        <v>134</v>
      </c>
      <c r="Y46" s="2">
        <v>4.2699999999999996</v>
      </c>
      <c r="Z46" s="2">
        <v>6.54</v>
      </c>
      <c r="AA46" s="17" t="s">
        <v>407</v>
      </c>
      <c r="AB46" s="20">
        <v>54</v>
      </c>
      <c r="AC46" s="21">
        <f>1/(AVERAGE(3.74,3.37,2.7,2.87,2.61,3.37,2.94,2.17,2.57,3.34))</f>
        <v>0.33692722371967648</v>
      </c>
      <c r="AD46" s="19">
        <f>AVERAGE(3,1)</f>
        <v>2</v>
      </c>
      <c r="AE46" s="15">
        <v>56</v>
      </c>
      <c r="AF46" s="19">
        <f>AVERAGE(43,56,43)</f>
        <v>47.333333333333336</v>
      </c>
      <c r="AG46" s="15">
        <f>AVERAGE(41,41,41,41)</f>
        <v>41</v>
      </c>
      <c r="AH46" s="10">
        <v>2.59</v>
      </c>
      <c r="AI46" s="15">
        <f>AVERAGE(0,0,0,0)</f>
        <v>0</v>
      </c>
      <c r="AJ46" s="15">
        <f>AVERAGE(100,100,100,100)</f>
        <v>100</v>
      </c>
      <c r="AK46" s="15">
        <f t="shared" si="10"/>
        <v>0</v>
      </c>
      <c r="AL46" s="15">
        <f t="shared" si="9"/>
        <v>0</v>
      </c>
      <c r="AM46" s="15">
        <f t="shared" si="9"/>
        <v>0</v>
      </c>
      <c r="AN46" s="15">
        <f t="shared" si="9"/>
        <v>0</v>
      </c>
      <c r="AO46" s="15">
        <f t="shared" si="9"/>
        <v>0</v>
      </c>
      <c r="AP46" s="15">
        <f t="shared" si="9"/>
        <v>0</v>
      </c>
      <c r="AQ46" s="15">
        <f t="shared" si="9"/>
        <v>0</v>
      </c>
      <c r="AR46" s="15">
        <f>AVERAGE(0,0,0,0)</f>
        <v>0</v>
      </c>
      <c r="AS46" s="15">
        <f>AVERAGE(60,60,60,60)</f>
        <v>60</v>
      </c>
      <c r="AT46" s="15">
        <f>AVERAGE(5,5,5,5)</f>
        <v>5</v>
      </c>
      <c r="AU46" s="15">
        <f t="shared" si="7"/>
        <v>0</v>
      </c>
      <c r="AV46" s="15">
        <f t="shared" si="7"/>
        <v>0</v>
      </c>
      <c r="AW46" s="15">
        <f>AVERAGE(15,15,15,15)</f>
        <v>15</v>
      </c>
      <c r="AX46" s="15">
        <f>AVERAGE(0,0,0,0)</f>
        <v>0</v>
      </c>
      <c r="AY46" s="15">
        <f>AVERAGE(5,5,5,5)</f>
        <v>5</v>
      </c>
      <c r="AZ46" s="5"/>
    </row>
    <row r="47" spans="1:52" ht="14.2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>
        <v>3</v>
      </c>
      <c r="M47" s="17" t="s">
        <v>407</v>
      </c>
      <c r="N47" s="17">
        <v>3</v>
      </c>
      <c r="O47" s="15">
        <v>46.136363636363598</v>
      </c>
      <c r="P47" s="15">
        <v>2.6764705882352899</v>
      </c>
      <c r="Q47" s="15">
        <v>581.142857142857</v>
      </c>
      <c r="R47" s="15">
        <v>11.5714285714286</v>
      </c>
      <c r="S47" s="15">
        <v>13.6666666666667</v>
      </c>
      <c r="T47" s="17" t="s">
        <v>407</v>
      </c>
      <c r="U47" s="5">
        <v>28.6</v>
      </c>
      <c r="V47" s="5">
        <v>6.2</v>
      </c>
      <c r="W47" s="17" t="s">
        <v>407</v>
      </c>
      <c r="X47" s="2">
        <v>123.7</v>
      </c>
      <c r="Y47" s="2">
        <v>8.8699999999999992</v>
      </c>
      <c r="Z47" s="2">
        <v>6.64</v>
      </c>
      <c r="AA47" s="17" t="s">
        <v>407</v>
      </c>
      <c r="AB47" s="20">
        <v>54</v>
      </c>
      <c r="AC47" s="21">
        <f>1/(AVERAGE(2.16,2.1,3.29,2.3,2.47,1.98,2.33,1.98,2.54,2.43))</f>
        <v>0.42408821034775229</v>
      </c>
      <c r="AD47" s="19">
        <f>AVERAGE(3,1)</f>
        <v>2</v>
      </c>
      <c r="AE47" s="15">
        <v>42</v>
      </c>
      <c r="AF47" s="19">
        <f>AVERAGE(33,42,33)</f>
        <v>36</v>
      </c>
      <c r="AG47" s="15">
        <f>AVERAGE(40,40,40,40)</f>
        <v>40</v>
      </c>
      <c r="AH47" s="10">
        <v>2.67</v>
      </c>
      <c r="AI47" s="15">
        <f>AVERAGE(0,0,0,0)</f>
        <v>0</v>
      </c>
      <c r="AJ47" s="15">
        <f>AVERAGE(100,100,100,100)</f>
        <v>100</v>
      </c>
      <c r="AK47" s="15">
        <f t="shared" si="10"/>
        <v>0</v>
      </c>
      <c r="AL47" s="15">
        <f t="shared" si="9"/>
        <v>0</v>
      </c>
      <c r="AM47" s="15">
        <f t="shared" si="9"/>
        <v>0</v>
      </c>
      <c r="AN47" s="15">
        <f t="shared" si="9"/>
        <v>0</v>
      </c>
      <c r="AO47" s="15">
        <f t="shared" si="9"/>
        <v>0</v>
      </c>
      <c r="AP47" s="15">
        <f t="shared" si="9"/>
        <v>0</v>
      </c>
      <c r="AQ47" s="15">
        <f t="shared" si="9"/>
        <v>0</v>
      </c>
      <c r="AR47" s="15">
        <f>AVERAGE(0,0,0,0)</f>
        <v>0</v>
      </c>
      <c r="AS47" s="15">
        <f>AVERAGE(60,60,60,60)</f>
        <v>60</v>
      </c>
      <c r="AT47" s="15">
        <f>AVERAGE(5,5,5,5)</f>
        <v>5</v>
      </c>
      <c r="AU47" s="15">
        <f t="shared" si="7"/>
        <v>0</v>
      </c>
      <c r="AV47" s="15">
        <f t="shared" si="7"/>
        <v>0</v>
      </c>
      <c r="AW47" s="15">
        <f>AVERAGE(5,5,5,5)</f>
        <v>5</v>
      </c>
      <c r="AX47" s="15">
        <f>AVERAGE(0,0,0,0)</f>
        <v>0</v>
      </c>
      <c r="AY47" s="15">
        <f>AVERAGE(15,15,15,15)</f>
        <v>15</v>
      </c>
      <c r="AZ47" s="5"/>
    </row>
    <row r="48" spans="1:52" ht="14.2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>
        <v>4</v>
      </c>
      <c r="M48" s="17" t="s">
        <v>407</v>
      </c>
      <c r="N48" s="17">
        <v>1</v>
      </c>
      <c r="O48" s="15">
        <v>81.136363636363598</v>
      </c>
      <c r="P48" s="15">
        <v>2.97058823529412</v>
      </c>
      <c r="Q48" s="15">
        <v>702.57142857142901</v>
      </c>
      <c r="R48" s="15">
        <v>7.28571428571429</v>
      </c>
      <c r="S48" s="15">
        <v>8.6666666666666696</v>
      </c>
      <c r="T48" s="17" t="s">
        <v>407</v>
      </c>
      <c r="U48" s="5">
        <v>28.2</v>
      </c>
      <c r="V48" s="5">
        <v>7.7</v>
      </c>
      <c r="W48" s="17" t="s">
        <v>407</v>
      </c>
      <c r="X48" s="2">
        <v>138.69999999999999</v>
      </c>
      <c r="Y48" s="2">
        <v>14.2</v>
      </c>
      <c r="Z48" s="2">
        <v>6.71</v>
      </c>
      <c r="AA48" s="17" t="s">
        <v>407</v>
      </c>
      <c r="AB48" s="20">
        <v>49</v>
      </c>
      <c r="AC48" s="21">
        <f>1/(AVERAGE(9.54,8.97,6.81,7.71,8.87,10.2,8.54,8.37,10.83,7.26))</f>
        <v>0.11481056257175662</v>
      </c>
      <c r="AD48" s="19">
        <f>AVERAGE(2,1)</f>
        <v>1.5</v>
      </c>
      <c r="AE48" s="15">
        <v>70</v>
      </c>
      <c r="AF48" s="19">
        <f>AVERAGE(94,70,94)</f>
        <v>86</v>
      </c>
      <c r="AG48" s="15">
        <f>AVERAGE(94,94,94,94)</f>
        <v>94</v>
      </c>
      <c r="AH48" s="10">
        <v>2.8</v>
      </c>
      <c r="AI48" s="15">
        <f t="shared" ref="AI48:AI61" si="11">AVERAGE(100,100,100,100)</f>
        <v>100</v>
      </c>
      <c r="AJ48" s="15">
        <f t="shared" ref="AJ48:AJ61" si="12">AVERAGE(0,0,0,0)</f>
        <v>0</v>
      </c>
      <c r="AK48" s="15">
        <f t="shared" si="10"/>
        <v>0</v>
      </c>
      <c r="AL48" s="15">
        <f t="shared" si="9"/>
        <v>0</v>
      </c>
      <c r="AM48" s="15">
        <f t="shared" si="9"/>
        <v>0</v>
      </c>
      <c r="AN48" s="15">
        <f t="shared" si="9"/>
        <v>0</v>
      </c>
      <c r="AO48" s="15">
        <f t="shared" si="9"/>
        <v>0</v>
      </c>
      <c r="AP48" s="15">
        <f t="shared" si="9"/>
        <v>0</v>
      </c>
      <c r="AQ48" s="15">
        <f t="shared" si="9"/>
        <v>0</v>
      </c>
      <c r="AR48" s="15">
        <f>AVERAGE(10,10,10,10)</f>
        <v>10</v>
      </c>
      <c r="AS48" s="15">
        <f>AVERAGE(50,50,50,50)</f>
        <v>50</v>
      </c>
      <c r="AT48" s="15">
        <f>AVERAGE(15,15,15,15)</f>
        <v>15</v>
      </c>
      <c r="AU48" s="15">
        <f t="shared" si="7"/>
        <v>0</v>
      </c>
      <c r="AV48" s="15">
        <f t="shared" si="7"/>
        <v>0</v>
      </c>
      <c r="AW48" s="15">
        <f>AVERAGE(10,10,10,10)</f>
        <v>10</v>
      </c>
      <c r="AX48" s="15">
        <f>AVERAGE(15,15,15,15)</f>
        <v>15</v>
      </c>
      <c r="AY48" s="15">
        <f>AVERAGE(10,10,10,10)</f>
        <v>10</v>
      </c>
      <c r="AZ48" s="5"/>
    </row>
    <row r="49" spans="1:52" ht="14.2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>
        <v>4</v>
      </c>
      <c r="M49" s="17" t="s">
        <v>407</v>
      </c>
      <c r="N49" s="17">
        <v>2</v>
      </c>
      <c r="O49" s="15">
        <v>194.772727272727</v>
      </c>
      <c r="P49" s="15">
        <v>96.794117647058798</v>
      </c>
      <c r="Q49" s="15">
        <v>889.71428571428601</v>
      </c>
      <c r="R49" s="15">
        <v>23</v>
      </c>
      <c r="S49" s="15">
        <v>30.3333333333333</v>
      </c>
      <c r="T49" s="17" t="s">
        <v>407</v>
      </c>
      <c r="U49" s="5">
        <v>28.2</v>
      </c>
      <c r="V49" s="5">
        <v>7.2</v>
      </c>
      <c r="W49" s="17" t="s">
        <v>407</v>
      </c>
      <c r="X49" s="2">
        <v>125.6</v>
      </c>
      <c r="Y49" s="2">
        <v>9.01</v>
      </c>
      <c r="Z49" s="2">
        <v>6.89</v>
      </c>
      <c r="AA49" s="17" t="s">
        <v>407</v>
      </c>
      <c r="AB49" s="20">
        <v>49</v>
      </c>
      <c r="AC49" s="21">
        <f>1/(AVERAGE(7.66,7.43,7.98,8.21,6.63,7.26,8.79,8.06,8.51,8.16))</f>
        <v>0.12708095056551022</v>
      </c>
      <c r="AD49" s="19">
        <f>AVERAGE(2,1)</f>
        <v>1.5</v>
      </c>
      <c r="AE49" s="5">
        <v>105</v>
      </c>
      <c r="AF49" s="19">
        <f>AVERAGE(70,105,70)</f>
        <v>81.666666666666671</v>
      </c>
      <c r="AG49" s="15">
        <f>AVERAGE(55,55,55,55)</f>
        <v>55</v>
      </c>
      <c r="AH49" s="10">
        <v>2.2999999999999998</v>
      </c>
      <c r="AI49" s="15">
        <f t="shared" si="11"/>
        <v>100</v>
      </c>
      <c r="AJ49" s="15">
        <f t="shared" si="12"/>
        <v>0</v>
      </c>
      <c r="AK49" s="15">
        <f t="shared" si="10"/>
        <v>0</v>
      </c>
      <c r="AL49" s="15">
        <f t="shared" si="9"/>
        <v>0</v>
      </c>
      <c r="AM49" s="15">
        <f t="shared" si="9"/>
        <v>0</v>
      </c>
      <c r="AN49" s="15">
        <f t="shared" si="9"/>
        <v>0</v>
      </c>
      <c r="AO49" s="15">
        <f t="shared" si="9"/>
        <v>0</v>
      </c>
      <c r="AP49" s="15">
        <f t="shared" si="9"/>
        <v>0</v>
      </c>
      <c r="AQ49" s="15">
        <f t="shared" si="9"/>
        <v>0</v>
      </c>
      <c r="AR49" s="15">
        <f>AVERAGE(10,10,10,10)</f>
        <v>10</v>
      </c>
      <c r="AS49" s="15">
        <f>AVERAGE(50,50,50,50)</f>
        <v>50</v>
      </c>
      <c r="AT49" s="15">
        <f>AVERAGE(15,15,15,15)</f>
        <v>15</v>
      </c>
      <c r="AU49" s="15">
        <f t="shared" si="7"/>
        <v>0</v>
      </c>
      <c r="AV49" s="15">
        <f t="shared" si="7"/>
        <v>0</v>
      </c>
      <c r="AW49" s="15">
        <f>AVERAGE(10,10,10,10)</f>
        <v>10</v>
      </c>
      <c r="AX49" s="15">
        <f>AVERAGE(15,15,15,15)</f>
        <v>15</v>
      </c>
      <c r="AY49" s="15">
        <f>AVERAGE(10,10,10,10)</f>
        <v>10</v>
      </c>
      <c r="AZ49" s="5"/>
    </row>
    <row r="50" spans="1:52" ht="14.2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>
        <v>4</v>
      </c>
      <c r="M50" s="17" t="s">
        <v>407</v>
      </c>
      <c r="N50" s="17">
        <v>3</v>
      </c>
      <c r="O50" s="15">
        <v>53.409090909090899</v>
      </c>
      <c r="P50" s="15">
        <v>2.97058823529412</v>
      </c>
      <c r="Q50" s="15">
        <v>594</v>
      </c>
      <c r="R50" s="15">
        <v>8.7142857142857206</v>
      </c>
      <c r="S50" s="15">
        <v>10.3333333333333</v>
      </c>
      <c r="T50" s="17" t="s">
        <v>407</v>
      </c>
      <c r="U50" s="5">
        <v>28.1</v>
      </c>
      <c r="V50" s="5">
        <v>5.2</v>
      </c>
      <c r="W50" s="17" t="s">
        <v>407</v>
      </c>
      <c r="X50" s="2">
        <v>138.69999999999999</v>
      </c>
      <c r="Y50" s="2">
        <v>13.8</v>
      </c>
      <c r="Z50" s="2">
        <v>6.68</v>
      </c>
      <c r="AA50" s="17" t="s">
        <v>407</v>
      </c>
      <c r="AB50" s="20">
        <v>49</v>
      </c>
      <c r="AC50" s="21">
        <f>1/(AVERAGE(6.83,7.3,6.05,4.82,7.15,5.34,5.38,5.06,7.46,5.09))</f>
        <v>0.16534391534391535</v>
      </c>
      <c r="AD50" s="19">
        <f>AVERAGE(2,1)</f>
        <v>1.5</v>
      </c>
      <c r="AE50" s="5">
        <v>110</v>
      </c>
      <c r="AF50" s="19">
        <f>AVERAGE(110,110,110)</f>
        <v>110</v>
      </c>
      <c r="AG50" s="15">
        <f>AVERAGE(33,33,33,33)</f>
        <v>33</v>
      </c>
      <c r="AH50" s="10">
        <v>5.3</v>
      </c>
      <c r="AI50" s="15">
        <f t="shared" si="11"/>
        <v>100</v>
      </c>
      <c r="AJ50" s="15">
        <f t="shared" si="12"/>
        <v>0</v>
      </c>
      <c r="AK50" s="15">
        <f t="shared" si="10"/>
        <v>0</v>
      </c>
      <c r="AL50" s="15">
        <f t="shared" si="9"/>
        <v>0</v>
      </c>
      <c r="AM50" s="15">
        <f t="shared" si="9"/>
        <v>0</v>
      </c>
      <c r="AN50" s="15">
        <f t="shared" si="9"/>
        <v>0</v>
      </c>
      <c r="AO50" s="15">
        <f t="shared" si="9"/>
        <v>0</v>
      </c>
      <c r="AP50" s="15">
        <f t="shared" si="9"/>
        <v>0</v>
      </c>
      <c r="AQ50" s="15">
        <f t="shared" si="9"/>
        <v>0</v>
      </c>
      <c r="AR50" s="15">
        <f>AVERAGE(25,25,25,25)</f>
        <v>25</v>
      </c>
      <c r="AS50" s="15">
        <f>AVERAGE(70,70,70,70)</f>
        <v>70</v>
      </c>
      <c r="AT50" s="15">
        <f>AVERAGE(15,15,15,15)</f>
        <v>15</v>
      </c>
      <c r="AU50" s="15">
        <f t="shared" si="7"/>
        <v>0</v>
      </c>
      <c r="AV50" s="15">
        <f t="shared" si="7"/>
        <v>0</v>
      </c>
      <c r="AW50" s="15">
        <f>AVERAGE(10,10,10,10)</f>
        <v>10</v>
      </c>
      <c r="AX50" s="15">
        <f>AVERAGE(15,15,15,15)</f>
        <v>15</v>
      </c>
      <c r="AY50" s="15">
        <f>AVERAGE(10,10,10,10)</f>
        <v>10</v>
      </c>
      <c r="AZ50" s="5"/>
    </row>
    <row r="51" spans="1:52" ht="14.2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>
        <v>1</v>
      </c>
      <c r="M51" s="26" t="s">
        <v>407</v>
      </c>
      <c r="N51" s="26">
        <v>1</v>
      </c>
      <c r="O51" s="28" t="s">
        <v>407</v>
      </c>
      <c r="P51" s="28" t="s">
        <v>407</v>
      </c>
      <c r="Q51" s="28" t="s">
        <v>407</v>
      </c>
      <c r="R51" s="28" t="s">
        <v>407</v>
      </c>
      <c r="S51" s="28" t="s">
        <v>407</v>
      </c>
      <c r="T51" s="28" t="s">
        <v>407</v>
      </c>
      <c r="U51" s="28" t="s">
        <v>407</v>
      </c>
      <c r="V51" s="28" t="s">
        <v>407</v>
      </c>
      <c r="W51" s="28" t="s">
        <v>407</v>
      </c>
      <c r="X51" s="29">
        <v>128.80000000000001</v>
      </c>
      <c r="Y51" s="30">
        <v>2</v>
      </c>
      <c r="Z51" s="30">
        <v>4.8099999999999996</v>
      </c>
      <c r="AA51" s="28" t="s">
        <v>407</v>
      </c>
      <c r="AB51" s="28" t="s">
        <v>407</v>
      </c>
      <c r="AC51" s="31">
        <f>1/(AVERAGE(6.07,5.56,7.08))</f>
        <v>0.16034206306787813</v>
      </c>
      <c r="AD51" s="28">
        <f>AVERAGE(2,1)</f>
        <v>1.5</v>
      </c>
      <c r="AE51" s="28">
        <v>15</v>
      </c>
      <c r="AF51" s="31">
        <f>AVERAGE(7,15,5)</f>
        <v>9</v>
      </c>
      <c r="AG51" s="28">
        <f>AVERAGE(3,3,3,3)</f>
        <v>3</v>
      </c>
      <c r="AH51" s="32">
        <v>7.5</v>
      </c>
      <c r="AI51" s="28">
        <f t="shared" si="11"/>
        <v>100</v>
      </c>
      <c r="AJ51" s="28">
        <f t="shared" si="12"/>
        <v>0</v>
      </c>
      <c r="AK51" s="28">
        <f t="shared" si="10"/>
        <v>0</v>
      </c>
      <c r="AL51" s="28">
        <f t="shared" si="9"/>
        <v>0</v>
      </c>
      <c r="AM51" s="28">
        <f t="shared" si="9"/>
        <v>0</v>
      </c>
      <c r="AN51" s="28">
        <f t="shared" si="9"/>
        <v>0</v>
      </c>
      <c r="AO51" s="28">
        <f t="shared" si="9"/>
        <v>0</v>
      </c>
      <c r="AP51" s="28">
        <f>AVERAGE(5,5,5,5)</f>
        <v>5</v>
      </c>
      <c r="AQ51" s="28">
        <f>AVERAGE(5,5,5,5)</f>
        <v>5</v>
      </c>
      <c r="AR51" s="28">
        <f>AVERAGE(15,15,15,15)</f>
        <v>15</v>
      </c>
      <c r="AS51" s="28">
        <f>AVERAGE(50,50,50,50)</f>
        <v>50</v>
      </c>
      <c r="AT51" s="28">
        <f>AVERAGE(5,5,5,5)</f>
        <v>5</v>
      </c>
      <c r="AU51" s="28">
        <f t="shared" si="7"/>
        <v>0</v>
      </c>
      <c r="AV51" s="28">
        <f t="shared" si="7"/>
        <v>0</v>
      </c>
      <c r="AW51" s="28">
        <f>AVERAGE(10,10,10,10)</f>
        <v>10</v>
      </c>
      <c r="AX51" s="28">
        <f>AVERAGE(20,20,20,20)</f>
        <v>20</v>
      </c>
      <c r="AY51" s="28">
        <f>AVERAGE(25,25,25,25)</f>
        <v>25</v>
      </c>
      <c r="AZ51" s="33"/>
    </row>
    <row r="52" spans="1:52" ht="14.2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>
        <v>1</v>
      </c>
      <c r="M52" s="26" t="s">
        <v>407</v>
      </c>
      <c r="N52" s="26">
        <v>2</v>
      </c>
      <c r="O52" s="28" t="s">
        <v>407</v>
      </c>
      <c r="P52" s="28" t="s">
        <v>407</v>
      </c>
      <c r="Q52" s="28" t="s">
        <v>407</v>
      </c>
      <c r="R52" s="28" t="s">
        <v>407</v>
      </c>
      <c r="S52" s="28" t="s">
        <v>407</v>
      </c>
      <c r="T52" s="28" t="s">
        <v>407</v>
      </c>
      <c r="U52" s="28" t="s">
        <v>407</v>
      </c>
      <c r="V52" s="28" t="s">
        <v>407</v>
      </c>
      <c r="W52" s="28" t="s">
        <v>407</v>
      </c>
      <c r="X52" s="29">
        <v>137.9</v>
      </c>
      <c r="Y52" s="30">
        <v>3</v>
      </c>
      <c r="Z52" s="30">
        <v>4.87</v>
      </c>
      <c r="AA52" s="28" t="s">
        <v>407</v>
      </c>
      <c r="AB52" s="28" t="s">
        <v>407</v>
      </c>
      <c r="AC52" s="31">
        <f>1/(AVERAGE(22.88,24.4,28.58))</f>
        <v>3.9546533087266016E-2</v>
      </c>
      <c r="AD52" s="28">
        <f>AVERAGE(2,1)</f>
        <v>1.5</v>
      </c>
      <c r="AE52" s="28">
        <v>17</v>
      </c>
      <c r="AF52" s="31">
        <f>AVERAGE(7,17,15)</f>
        <v>13</v>
      </c>
      <c r="AG52" s="28">
        <f>AVERAGE(8,8,8,8)</f>
        <v>8</v>
      </c>
      <c r="AH52" s="32">
        <v>4.3499999999999996</v>
      </c>
      <c r="AI52" s="28">
        <f t="shared" si="11"/>
        <v>100</v>
      </c>
      <c r="AJ52" s="28">
        <f t="shared" si="12"/>
        <v>0</v>
      </c>
      <c r="AK52" s="28">
        <f t="shared" si="10"/>
        <v>0</v>
      </c>
      <c r="AL52" s="28">
        <f t="shared" si="9"/>
        <v>0</v>
      </c>
      <c r="AM52" s="28">
        <f t="shared" si="9"/>
        <v>0</v>
      </c>
      <c r="AN52" s="28">
        <f t="shared" si="9"/>
        <v>0</v>
      </c>
      <c r="AO52" s="28">
        <f t="shared" si="9"/>
        <v>0</v>
      </c>
      <c r="AP52" s="28">
        <f>AVERAGE(10,10,10,10)</f>
        <v>10</v>
      </c>
      <c r="AQ52" s="28">
        <f>AVERAGE(5,5,5,5)</f>
        <v>5</v>
      </c>
      <c r="AR52" s="28">
        <f>AVERAGE(5,5,5,5)</f>
        <v>5</v>
      </c>
      <c r="AS52" s="28">
        <f>AVERAGE(40,40,40,40)</f>
        <v>40</v>
      </c>
      <c r="AT52" s="28">
        <f>AVERAGE(5,5,5,5)</f>
        <v>5</v>
      </c>
      <c r="AU52" s="28">
        <f t="shared" si="7"/>
        <v>0</v>
      </c>
      <c r="AV52" s="28">
        <f t="shared" si="7"/>
        <v>0</v>
      </c>
      <c r="AW52" s="28">
        <f>AVERAGE(5,5,5,5)</f>
        <v>5</v>
      </c>
      <c r="AX52" s="28">
        <f>AVERAGE(10,10,10,10)</f>
        <v>10</v>
      </c>
      <c r="AY52" s="28">
        <f>AVERAGE(10,10,10,10)</f>
        <v>10</v>
      </c>
      <c r="AZ52" s="33"/>
    </row>
    <row r="53" spans="1:52" ht="14.2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>
        <v>1</v>
      </c>
      <c r="M53" s="26" t="s">
        <v>407</v>
      </c>
      <c r="N53" s="26">
        <v>3</v>
      </c>
      <c r="O53" s="28" t="s">
        <v>407</v>
      </c>
      <c r="P53" s="28" t="s">
        <v>407</v>
      </c>
      <c r="Q53" s="28" t="s">
        <v>407</v>
      </c>
      <c r="R53" s="28" t="s">
        <v>407</v>
      </c>
      <c r="S53" s="28" t="s">
        <v>407</v>
      </c>
      <c r="T53" s="28" t="s">
        <v>407</v>
      </c>
      <c r="U53" s="28" t="s">
        <v>407</v>
      </c>
      <c r="V53" s="28" t="s">
        <v>407</v>
      </c>
      <c r="W53" s="28" t="s">
        <v>407</v>
      </c>
      <c r="X53" s="29">
        <v>119.2</v>
      </c>
      <c r="Y53" s="30">
        <v>3</v>
      </c>
      <c r="Z53" s="30">
        <v>4.72</v>
      </c>
      <c r="AA53" s="28" t="s">
        <v>407</v>
      </c>
      <c r="AB53" s="28" t="s">
        <v>407</v>
      </c>
      <c r="AC53" s="31">
        <f>1/(AVERAGE(5.78,6.25,7.38,6.21,5.37))</f>
        <v>0.16134236850596967</v>
      </c>
      <c r="AD53" s="28">
        <f>AVERAGE(3,1)</f>
        <v>2</v>
      </c>
      <c r="AE53" s="28">
        <v>13</v>
      </c>
      <c r="AF53" s="31">
        <f>AVERAGE(12,13,17)</f>
        <v>14</v>
      </c>
      <c r="AG53" s="28">
        <f>AVERAGE(12,12,12,12)</f>
        <v>12</v>
      </c>
      <c r="AH53" s="32">
        <v>14.14</v>
      </c>
      <c r="AI53" s="28">
        <f t="shared" si="11"/>
        <v>100</v>
      </c>
      <c r="AJ53" s="28">
        <f t="shared" si="12"/>
        <v>0</v>
      </c>
      <c r="AK53" s="28">
        <f t="shared" si="10"/>
        <v>0</v>
      </c>
      <c r="AL53" s="28">
        <f t="shared" si="9"/>
        <v>0</v>
      </c>
      <c r="AM53" s="28">
        <f t="shared" si="9"/>
        <v>0</v>
      </c>
      <c r="AN53" s="28">
        <f t="shared" si="9"/>
        <v>0</v>
      </c>
      <c r="AO53" s="28">
        <f t="shared" si="9"/>
        <v>0</v>
      </c>
      <c r="AP53" s="28">
        <f>AVERAGE(5,5,5,5)</f>
        <v>5</v>
      </c>
      <c r="AQ53" s="28">
        <f t="shared" ref="AQ53:AR55" si="13">AVERAGE(10,10,10,10)</f>
        <v>10</v>
      </c>
      <c r="AR53" s="28">
        <f t="shared" si="13"/>
        <v>10</v>
      </c>
      <c r="AS53" s="28">
        <f>AVERAGE(50,50,50,50)</f>
        <v>50</v>
      </c>
      <c r="AT53" s="28">
        <f>AVERAGE(5,5,5,5)</f>
        <v>5</v>
      </c>
      <c r="AU53" s="28">
        <f t="shared" si="7"/>
        <v>0</v>
      </c>
      <c r="AV53" s="28">
        <f t="shared" si="7"/>
        <v>0</v>
      </c>
      <c r="AW53" s="28">
        <f>AVERAGE(15,15,15,15)</f>
        <v>15</v>
      </c>
      <c r="AX53" s="28">
        <f>AVERAGE(10,10,10,10)</f>
        <v>10</v>
      </c>
      <c r="AY53" s="28">
        <f>AVERAGE(20,20,20,20)</f>
        <v>20</v>
      </c>
      <c r="AZ53" s="33"/>
    </row>
    <row r="54" spans="1:52" ht="14.2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>
        <v>1</v>
      </c>
      <c r="M54" s="26" t="s">
        <v>407</v>
      </c>
      <c r="N54" s="26">
        <v>1</v>
      </c>
      <c r="O54" s="28" t="s">
        <v>407</v>
      </c>
      <c r="P54" s="28" t="s">
        <v>407</v>
      </c>
      <c r="Q54" s="28" t="s">
        <v>407</v>
      </c>
      <c r="R54" s="28" t="s">
        <v>407</v>
      </c>
      <c r="S54" s="28" t="s">
        <v>407</v>
      </c>
      <c r="T54" s="28" t="s">
        <v>407</v>
      </c>
      <c r="U54" s="28" t="s">
        <v>407</v>
      </c>
      <c r="V54" s="28" t="s">
        <v>407</v>
      </c>
      <c r="W54" s="28" t="s">
        <v>407</v>
      </c>
      <c r="X54" s="29">
        <v>142.80000000000001</v>
      </c>
      <c r="Y54" s="30">
        <v>4</v>
      </c>
      <c r="Z54" s="30">
        <v>4.58</v>
      </c>
      <c r="AA54" s="28" t="s">
        <v>407</v>
      </c>
      <c r="AB54" s="28" t="s">
        <v>407</v>
      </c>
      <c r="AC54" s="31">
        <f>1/(AVERAGE(13.23,13.97,10.14,15.17,13.92))</f>
        <v>7.5267198554869783E-2</v>
      </c>
      <c r="AD54" s="28">
        <f>AVERAGE(3,3)</f>
        <v>3</v>
      </c>
      <c r="AE54" s="28">
        <v>40</v>
      </c>
      <c r="AF54" s="31">
        <f>AVERAGE(20,40,15)</f>
        <v>25</v>
      </c>
      <c r="AG54" s="28">
        <f>AVERAGE(9,9,9,9)</f>
        <v>9</v>
      </c>
      <c r="AH54" s="32">
        <v>4.9000000000000004</v>
      </c>
      <c r="AI54" s="28">
        <f t="shared" si="11"/>
        <v>100</v>
      </c>
      <c r="AJ54" s="28">
        <f t="shared" si="12"/>
        <v>0</v>
      </c>
      <c r="AK54" s="28">
        <f t="shared" si="10"/>
        <v>0</v>
      </c>
      <c r="AL54" s="28">
        <f t="shared" si="9"/>
        <v>0</v>
      </c>
      <c r="AM54" s="28">
        <f t="shared" si="9"/>
        <v>0</v>
      </c>
      <c r="AN54" s="28">
        <f t="shared" si="9"/>
        <v>0</v>
      </c>
      <c r="AO54" s="28">
        <f t="shared" si="9"/>
        <v>0</v>
      </c>
      <c r="AP54" s="28">
        <f t="shared" si="9"/>
        <v>0</v>
      </c>
      <c r="AQ54" s="28">
        <f t="shared" si="13"/>
        <v>10</v>
      </c>
      <c r="AR54" s="28">
        <f t="shared" si="13"/>
        <v>10</v>
      </c>
      <c r="AS54" s="28">
        <f>AVERAGE(50,50,50,50)</f>
        <v>50</v>
      </c>
      <c r="AT54" s="28">
        <f>AVERAGE(25,25,25,25)</f>
        <v>25</v>
      </c>
      <c r="AU54" s="28">
        <f t="shared" si="7"/>
        <v>0</v>
      </c>
      <c r="AV54" s="28">
        <f t="shared" si="7"/>
        <v>0</v>
      </c>
      <c r="AW54" s="28">
        <f>AVERAGE(15,15,15,15)</f>
        <v>15</v>
      </c>
      <c r="AX54" s="28">
        <f>AVERAGE(10,10,10,10)</f>
        <v>10</v>
      </c>
      <c r="AY54" s="28">
        <f>AVERAGE(10,10,10,10)</f>
        <v>10</v>
      </c>
      <c r="AZ54" s="33"/>
    </row>
    <row r="55" spans="1:52" ht="14.2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>
        <v>1</v>
      </c>
      <c r="M55" s="26" t="s">
        <v>407</v>
      </c>
      <c r="N55" s="26">
        <v>2</v>
      </c>
      <c r="O55" s="28" t="s">
        <v>407</v>
      </c>
      <c r="P55" s="28" t="s">
        <v>407</v>
      </c>
      <c r="Q55" s="28" t="s">
        <v>407</v>
      </c>
      <c r="R55" s="28" t="s">
        <v>407</v>
      </c>
      <c r="S55" s="28" t="s">
        <v>407</v>
      </c>
      <c r="T55" s="28" t="s">
        <v>407</v>
      </c>
      <c r="U55" s="28" t="s">
        <v>407</v>
      </c>
      <c r="V55" s="28" t="s">
        <v>407</v>
      </c>
      <c r="W55" s="28" t="s">
        <v>407</v>
      </c>
      <c r="X55" s="29">
        <v>148.1</v>
      </c>
      <c r="Y55" s="30">
        <v>4</v>
      </c>
      <c r="Z55" s="30">
        <v>4.55</v>
      </c>
      <c r="AA55" s="28" t="s">
        <v>407</v>
      </c>
      <c r="AB55" s="28" t="s">
        <v>407</v>
      </c>
      <c r="AC55" s="31">
        <f>1/(AVERAGE(10.14,10.28,10.79,11.06))</f>
        <v>9.4629761059853323E-2</v>
      </c>
      <c r="AD55" s="28">
        <f>AVERAGE(3,3)</f>
        <v>3</v>
      </c>
      <c r="AE55" s="28">
        <v>38</v>
      </c>
      <c r="AF55" s="31">
        <f>AVERAGE(34,38,23)</f>
        <v>31.666666666666668</v>
      </c>
      <c r="AG55" s="28">
        <f>AVERAGE(23,23,23,23)</f>
        <v>23</v>
      </c>
      <c r="AH55" s="32">
        <v>9.1999999999999993</v>
      </c>
      <c r="AI55" s="28">
        <f t="shared" si="11"/>
        <v>100</v>
      </c>
      <c r="AJ55" s="28">
        <f t="shared" si="12"/>
        <v>0</v>
      </c>
      <c r="AK55" s="28">
        <f t="shared" si="10"/>
        <v>0</v>
      </c>
      <c r="AL55" s="28">
        <f t="shared" si="9"/>
        <v>0</v>
      </c>
      <c r="AM55" s="28">
        <f t="shared" si="9"/>
        <v>0</v>
      </c>
      <c r="AN55" s="28">
        <f t="shared" si="9"/>
        <v>0</v>
      </c>
      <c r="AO55" s="28">
        <f t="shared" si="9"/>
        <v>0</v>
      </c>
      <c r="AP55" s="28">
        <f t="shared" si="9"/>
        <v>0</v>
      </c>
      <c r="AQ55" s="28">
        <f t="shared" si="13"/>
        <v>10</v>
      </c>
      <c r="AR55" s="28">
        <f t="shared" si="13"/>
        <v>10</v>
      </c>
      <c r="AS55" s="28">
        <f>AVERAGE(50,50,50,50)</f>
        <v>50</v>
      </c>
      <c r="AT55" s="28">
        <f>AVERAGE(25,25,25,25)</f>
        <v>25</v>
      </c>
      <c r="AU55" s="28">
        <f t="shared" si="7"/>
        <v>0</v>
      </c>
      <c r="AV55" s="28">
        <f t="shared" si="7"/>
        <v>0</v>
      </c>
      <c r="AW55" s="28">
        <f>AVERAGE(15,15,15,15)</f>
        <v>15</v>
      </c>
      <c r="AX55" s="28">
        <f>AVERAGE(10,10,10,10)</f>
        <v>10</v>
      </c>
      <c r="AY55" s="28">
        <f>AVERAGE(10,10,10,10)</f>
        <v>10</v>
      </c>
      <c r="AZ55" s="33"/>
    </row>
    <row r="56" spans="1:52" ht="14.2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>
        <v>1</v>
      </c>
      <c r="M56" s="26" t="s">
        <v>407</v>
      </c>
      <c r="N56" s="26">
        <v>3</v>
      </c>
      <c r="O56" s="28" t="s">
        <v>407</v>
      </c>
      <c r="P56" s="28" t="s">
        <v>407</v>
      </c>
      <c r="Q56" s="28" t="s">
        <v>407</v>
      </c>
      <c r="R56" s="28" t="s">
        <v>407</v>
      </c>
      <c r="S56" s="28" t="s">
        <v>407</v>
      </c>
      <c r="T56" s="28" t="s">
        <v>407</v>
      </c>
      <c r="U56" s="28" t="s">
        <v>407</v>
      </c>
      <c r="V56" s="28" t="s">
        <v>407</v>
      </c>
      <c r="W56" s="28" t="s">
        <v>407</v>
      </c>
      <c r="X56" s="29">
        <v>152.19999999999999</v>
      </c>
      <c r="Y56" s="30">
        <v>3</v>
      </c>
      <c r="Z56" s="30">
        <v>4.7699999999999996</v>
      </c>
      <c r="AA56" s="28" t="s">
        <v>407</v>
      </c>
      <c r="AB56" s="28" t="s">
        <v>407</v>
      </c>
      <c r="AC56" s="31">
        <f>1/(AVERAGE(4.15,3.61,6.28,3.11,3.67))</f>
        <v>0.24015369836695488</v>
      </c>
      <c r="AD56" s="28">
        <f>AVERAGE(3,2)</f>
        <v>2.5</v>
      </c>
      <c r="AE56" s="28">
        <v>27</v>
      </c>
      <c r="AF56" s="31">
        <f>AVERAGE(10,27,12)</f>
        <v>16.333333333333332</v>
      </c>
      <c r="AG56" s="28">
        <f>AVERAGE(8,8,8,8)</f>
        <v>8</v>
      </c>
      <c r="AH56" s="32">
        <v>0.66</v>
      </c>
      <c r="AI56" s="28">
        <f t="shared" si="11"/>
        <v>100</v>
      </c>
      <c r="AJ56" s="28">
        <f t="shared" si="12"/>
        <v>0</v>
      </c>
      <c r="AK56" s="28">
        <f t="shared" si="10"/>
        <v>0</v>
      </c>
      <c r="AL56" s="28">
        <f t="shared" si="10"/>
        <v>0</v>
      </c>
      <c r="AM56" s="28">
        <f t="shared" si="10"/>
        <v>0</v>
      </c>
      <c r="AN56" s="28">
        <f t="shared" si="10"/>
        <v>0</v>
      </c>
      <c r="AO56" s="28">
        <f t="shared" si="10"/>
        <v>0</v>
      </c>
      <c r="AP56" s="28">
        <f t="shared" si="10"/>
        <v>0</v>
      </c>
      <c r="AQ56" s="28">
        <f>AVERAGE(15,15,15,15)</f>
        <v>15</v>
      </c>
      <c r="AR56" s="28">
        <f>AVERAGE(5,5,5,5)</f>
        <v>5</v>
      </c>
      <c r="AS56" s="28">
        <f>AVERAGE(80,80,80,80)</f>
        <v>80</v>
      </c>
      <c r="AT56" s="28">
        <f>AVERAGE(5,5,5,5)</f>
        <v>5</v>
      </c>
      <c r="AU56" s="28">
        <f t="shared" si="7"/>
        <v>0</v>
      </c>
      <c r="AV56" s="28">
        <f t="shared" si="7"/>
        <v>0</v>
      </c>
      <c r="AW56" s="28">
        <f>AVERAGE(10,10,10,10)</f>
        <v>10</v>
      </c>
      <c r="AX56" s="28">
        <f>AVERAGE(10,10,10,10)</f>
        <v>10</v>
      </c>
      <c r="AY56" s="28">
        <f>AVERAGE(10,10,10,10)</f>
        <v>10</v>
      </c>
      <c r="AZ56" s="33"/>
    </row>
    <row r="57" spans="1:52" ht="14.2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>
        <v>1</v>
      </c>
      <c r="M57" s="26" t="s">
        <v>407</v>
      </c>
      <c r="N57" s="26">
        <v>1</v>
      </c>
      <c r="O57" s="28" t="s">
        <v>407</v>
      </c>
      <c r="P57" s="28" t="s">
        <v>407</v>
      </c>
      <c r="Q57" s="28" t="s">
        <v>407</v>
      </c>
      <c r="R57" s="28" t="s">
        <v>407</v>
      </c>
      <c r="S57" s="28" t="s">
        <v>407</v>
      </c>
      <c r="T57" s="28" t="s">
        <v>407</v>
      </c>
      <c r="U57" s="28" t="s">
        <v>407</v>
      </c>
      <c r="V57" s="28" t="s">
        <v>407</v>
      </c>
      <c r="W57" s="28" t="s">
        <v>407</v>
      </c>
      <c r="X57" s="29">
        <v>154.4</v>
      </c>
      <c r="Y57" s="30">
        <v>7</v>
      </c>
      <c r="Z57" s="30">
        <v>5.08</v>
      </c>
      <c r="AA57" s="28" t="s">
        <v>407</v>
      </c>
      <c r="AB57" s="28" t="s">
        <v>407</v>
      </c>
      <c r="AC57" s="31">
        <f>1/(AVERAGE(5.61,5.49,5.33,5.16,5.41,5.59,5.16))</f>
        <v>0.18543046357615892</v>
      </c>
      <c r="AD57" s="28">
        <f>AVERAGE(3,2)</f>
        <v>2.5</v>
      </c>
      <c r="AE57" s="28">
        <v>39</v>
      </c>
      <c r="AF57" s="31">
        <f>AVERAGE(9,39,18)</f>
        <v>22</v>
      </c>
      <c r="AG57" s="28">
        <f>AVERAGE(7,7,7,7)</f>
        <v>7</v>
      </c>
      <c r="AH57" s="32">
        <v>2.1</v>
      </c>
      <c r="AI57" s="28">
        <f t="shared" si="11"/>
        <v>100</v>
      </c>
      <c r="AJ57" s="28">
        <f t="shared" si="12"/>
        <v>0</v>
      </c>
      <c r="AK57" s="28">
        <f t="shared" si="10"/>
        <v>0</v>
      </c>
      <c r="AL57" s="28">
        <f t="shared" si="10"/>
        <v>0</v>
      </c>
      <c r="AM57" s="28">
        <f t="shared" si="10"/>
        <v>0</v>
      </c>
      <c r="AN57" s="28">
        <f t="shared" si="10"/>
        <v>0</v>
      </c>
      <c r="AO57" s="28">
        <f t="shared" si="10"/>
        <v>0</v>
      </c>
      <c r="AP57" s="28">
        <f t="shared" si="10"/>
        <v>0</v>
      </c>
      <c r="AQ57" s="28">
        <f>AVERAGE(15,15,15,15)</f>
        <v>15</v>
      </c>
      <c r="AR57" s="28">
        <f>AVERAGE(10,10,10,10)</f>
        <v>10</v>
      </c>
      <c r="AS57" s="28">
        <f>AVERAGE(70,70,70,70)</f>
        <v>70</v>
      </c>
      <c r="AT57" s="28">
        <f>AVERAGE(10,10,10,10)</f>
        <v>10</v>
      </c>
      <c r="AU57" s="28">
        <f t="shared" si="7"/>
        <v>0</v>
      </c>
      <c r="AV57" s="28">
        <f t="shared" si="7"/>
        <v>0</v>
      </c>
      <c r="AW57" s="28">
        <f>AVERAGE(15,15,15,15)</f>
        <v>15</v>
      </c>
      <c r="AX57" s="28">
        <f>AVERAGE(15,15,15,15)</f>
        <v>15</v>
      </c>
      <c r="AY57" s="28">
        <f>AVERAGE(15,15,15,15)</f>
        <v>15</v>
      </c>
      <c r="AZ57" s="33"/>
    </row>
    <row r="58" spans="1:52" ht="14.2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>
        <v>1</v>
      </c>
      <c r="M58" s="26" t="s">
        <v>407</v>
      </c>
      <c r="N58" s="26">
        <v>2</v>
      </c>
      <c r="O58" s="28" t="s">
        <v>407</v>
      </c>
      <c r="P58" s="28" t="s">
        <v>407</v>
      </c>
      <c r="Q58" s="28" t="s">
        <v>407</v>
      </c>
      <c r="R58" s="28" t="s">
        <v>407</v>
      </c>
      <c r="S58" s="28" t="s">
        <v>407</v>
      </c>
      <c r="T58" s="28" t="s">
        <v>407</v>
      </c>
      <c r="U58" s="28" t="s">
        <v>407</v>
      </c>
      <c r="V58" s="28" t="s">
        <v>407</v>
      </c>
      <c r="W58" s="28" t="s">
        <v>407</v>
      </c>
      <c r="X58" s="29">
        <v>152.6</v>
      </c>
      <c r="Y58" s="30">
        <v>3</v>
      </c>
      <c r="Z58" s="30">
        <v>4.53</v>
      </c>
      <c r="AA58" s="28" t="s">
        <v>407</v>
      </c>
      <c r="AB58" s="28" t="s">
        <v>407</v>
      </c>
      <c r="AC58" s="31">
        <f>1/(AVERAGE(3.75,5.98,5.19,4.86,4.5,5.6,3.99))</f>
        <v>0.20667257159728372</v>
      </c>
      <c r="AD58" s="28">
        <f>AVERAGE(3,2)</f>
        <v>2.5</v>
      </c>
      <c r="AE58" s="28">
        <v>22</v>
      </c>
      <c r="AF58" s="31">
        <f>AVERAGE(25,22,16)</f>
        <v>21</v>
      </c>
      <c r="AG58" s="28">
        <f>AVERAGE(7,7,7,7)</f>
        <v>7</v>
      </c>
      <c r="AH58" s="32">
        <v>1.4</v>
      </c>
      <c r="AI58" s="28">
        <f t="shared" si="11"/>
        <v>100</v>
      </c>
      <c r="AJ58" s="28">
        <f t="shared" si="12"/>
        <v>0</v>
      </c>
      <c r="AK58" s="28">
        <f t="shared" si="10"/>
        <v>0</v>
      </c>
      <c r="AL58" s="28">
        <f t="shared" si="10"/>
        <v>0</v>
      </c>
      <c r="AM58" s="28">
        <f t="shared" si="10"/>
        <v>0</v>
      </c>
      <c r="AN58" s="28">
        <f t="shared" si="10"/>
        <v>0</v>
      </c>
      <c r="AO58" s="28">
        <f t="shared" si="10"/>
        <v>0</v>
      </c>
      <c r="AP58" s="28">
        <f t="shared" si="10"/>
        <v>0</v>
      </c>
      <c r="AQ58" s="28">
        <f>AVERAGE(0,0,0,0)</f>
        <v>0</v>
      </c>
      <c r="AR58" s="28">
        <f>AVERAGE(10,10,10,10)</f>
        <v>10</v>
      </c>
      <c r="AS58" s="28">
        <f>AVERAGE(60,60,60,60)</f>
        <v>60</v>
      </c>
      <c r="AT58" s="28">
        <f>AVERAGE(10,10,10,10)</f>
        <v>10</v>
      </c>
      <c r="AU58" s="28">
        <f t="shared" si="7"/>
        <v>0</v>
      </c>
      <c r="AV58" s="28">
        <f t="shared" si="7"/>
        <v>0</v>
      </c>
      <c r="AW58" s="28">
        <f>AVERAGE(10,10,10,10)</f>
        <v>10</v>
      </c>
      <c r="AX58" s="28">
        <f>AVERAGE(10,10,10,10)</f>
        <v>10</v>
      </c>
      <c r="AY58" s="28">
        <f>AVERAGE(10,10,10,10)</f>
        <v>10</v>
      </c>
      <c r="AZ58" s="33"/>
    </row>
    <row r="59" spans="1:52" ht="14.2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>
        <v>1</v>
      </c>
      <c r="M59" s="26" t="s">
        <v>407</v>
      </c>
      <c r="N59" s="26">
        <v>3</v>
      </c>
      <c r="O59" s="28" t="s">
        <v>407</v>
      </c>
      <c r="P59" s="28" t="s">
        <v>407</v>
      </c>
      <c r="Q59" s="28" t="s">
        <v>407</v>
      </c>
      <c r="R59" s="28" t="s">
        <v>407</v>
      </c>
      <c r="S59" s="28" t="s">
        <v>407</v>
      </c>
      <c r="T59" s="28" t="s">
        <v>407</v>
      </c>
      <c r="U59" s="28" t="s">
        <v>407</v>
      </c>
      <c r="V59" s="28" t="s">
        <v>407</v>
      </c>
      <c r="W59" s="28" t="s">
        <v>407</v>
      </c>
      <c r="X59" s="29">
        <v>130.80000000000001</v>
      </c>
      <c r="Y59" s="30">
        <v>6</v>
      </c>
      <c r="Z59" s="30">
        <v>4.74</v>
      </c>
      <c r="AA59" s="28" t="s">
        <v>407</v>
      </c>
      <c r="AB59" s="28" t="s">
        <v>407</v>
      </c>
      <c r="AC59" s="31">
        <f>1/(AVERAGE(5.69,5.59,5.28,4.99,4.2,4.41,4.41))</f>
        <v>0.20248770610355796</v>
      </c>
      <c r="AD59" s="28">
        <f>AVERAGE(3,3)</f>
        <v>3</v>
      </c>
      <c r="AE59" s="28">
        <v>47</v>
      </c>
      <c r="AF59" s="31">
        <f>AVERAGE(23,47,53)</f>
        <v>41</v>
      </c>
      <c r="AG59" s="28">
        <f>AVERAGE(13,13,13,13)</f>
        <v>13</v>
      </c>
      <c r="AH59" s="32">
        <v>3.2</v>
      </c>
      <c r="AI59" s="28">
        <f t="shared" si="11"/>
        <v>100</v>
      </c>
      <c r="AJ59" s="28">
        <f t="shared" si="12"/>
        <v>0</v>
      </c>
      <c r="AK59" s="28">
        <f t="shared" si="10"/>
        <v>0</v>
      </c>
      <c r="AL59" s="28">
        <f t="shared" si="10"/>
        <v>0</v>
      </c>
      <c r="AM59" s="28">
        <f t="shared" si="10"/>
        <v>0</v>
      </c>
      <c r="AN59" s="28">
        <f t="shared" si="10"/>
        <v>0</v>
      </c>
      <c r="AO59" s="28">
        <f t="shared" si="10"/>
        <v>0</v>
      </c>
      <c r="AP59" s="28">
        <f t="shared" si="10"/>
        <v>0</v>
      </c>
      <c r="AQ59" s="28">
        <f>AVERAGE(15,15,15,15)</f>
        <v>15</v>
      </c>
      <c r="AR59" s="28">
        <f>AVERAGE(5,5,5,5)</f>
        <v>5</v>
      </c>
      <c r="AS59" s="28">
        <f>AVERAGE(75,75,75,75)</f>
        <v>75</v>
      </c>
      <c r="AT59" s="28">
        <f>AVERAGE(15,15,15,15)</f>
        <v>15</v>
      </c>
      <c r="AU59" s="28">
        <f t="shared" si="7"/>
        <v>0</v>
      </c>
      <c r="AV59" s="28">
        <f t="shared" si="7"/>
        <v>0</v>
      </c>
      <c r="AW59" s="28">
        <f>AVERAGE(20,20,20,20)</f>
        <v>20</v>
      </c>
      <c r="AX59" s="28">
        <f>AVERAGE(15,15,15,15)</f>
        <v>15</v>
      </c>
      <c r="AY59" s="28">
        <f>AVERAGE(10,10,10,10)</f>
        <v>10</v>
      </c>
      <c r="AZ59" s="33"/>
    </row>
    <row r="60" spans="1:52" ht="14.2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>
        <v>4</v>
      </c>
      <c r="M60" s="26" t="s">
        <v>407</v>
      </c>
      <c r="N60" s="26">
        <v>1</v>
      </c>
      <c r="O60" s="28" t="s">
        <v>407</v>
      </c>
      <c r="P60" s="28" t="s">
        <v>407</v>
      </c>
      <c r="Q60" s="28" t="s">
        <v>407</v>
      </c>
      <c r="R60" s="28" t="s">
        <v>407</v>
      </c>
      <c r="S60" s="28" t="s">
        <v>407</v>
      </c>
      <c r="T60" s="28" t="s">
        <v>407</v>
      </c>
      <c r="U60" s="28" t="s">
        <v>407</v>
      </c>
      <c r="V60" s="28" t="s">
        <v>407</v>
      </c>
      <c r="W60" s="28" t="s">
        <v>407</v>
      </c>
      <c r="X60" s="29">
        <v>148.80000000000001</v>
      </c>
      <c r="Y60" s="30">
        <v>4</v>
      </c>
      <c r="Z60" s="30">
        <v>4.99</v>
      </c>
      <c r="AA60" s="28" t="s">
        <v>407</v>
      </c>
      <c r="AB60" s="28" t="s">
        <v>407</v>
      </c>
      <c r="AC60" s="31">
        <v>0</v>
      </c>
      <c r="AD60" s="28">
        <f>AVERAGE(1,1)</f>
        <v>1</v>
      </c>
      <c r="AE60" s="29">
        <v>60</v>
      </c>
      <c r="AF60" s="31">
        <f>AVERAGE(70,60,18)</f>
        <v>49.333333333333336</v>
      </c>
      <c r="AG60" s="28">
        <f>AVERAGE(58,58,58,58)</f>
        <v>58</v>
      </c>
      <c r="AH60" s="32">
        <v>16</v>
      </c>
      <c r="AI60" s="28">
        <f t="shared" si="11"/>
        <v>100</v>
      </c>
      <c r="AJ60" s="28">
        <f t="shared" si="12"/>
        <v>0</v>
      </c>
      <c r="AK60" s="28">
        <f t="shared" si="10"/>
        <v>0</v>
      </c>
      <c r="AL60" s="28">
        <f t="shared" si="10"/>
        <v>0</v>
      </c>
      <c r="AM60" s="28">
        <f t="shared" si="10"/>
        <v>0</v>
      </c>
      <c r="AN60" s="28">
        <f t="shared" si="10"/>
        <v>0</v>
      </c>
      <c r="AO60" s="28">
        <f t="shared" si="10"/>
        <v>0</v>
      </c>
      <c r="AP60" s="28">
        <f t="shared" si="10"/>
        <v>0</v>
      </c>
      <c r="AQ60" s="28">
        <f>AVERAGE(15,15,15,15)</f>
        <v>15</v>
      </c>
      <c r="AR60" s="28">
        <f>AVERAGE(10,10,10,10)</f>
        <v>10</v>
      </c>
      <c r="AS60" s="28">
        <f>AVERAGE(25,25,25,25)</f>
        <v>25</v>
      </c>
      <c r="AT60" s="28">
        <f>AVERAGE(10,10,10,10)</f>
        <v>10</v>
      </c>
      <c r="AU60" s="28">
        <f>AVERAGE(15,15,15,15)</f>
        <v>15</v>
      </c>
      <c r="AV60" s="28">
        <f>AVERAGE(10,10,10,10)</f>
        <v>10</v>
      </c>
      <c r="AW60" s="28">
        <f>AVERAGE(10,10,10,10)</f>
        <v>10</v>
      </c>
      <c r="AX60" s="28">
        <f>AVERAGE(5,5,5,5)</f>
        <v>5</v>
      </c>
      <c r="AY60" s="28">
        <f>AVERAGE(10,10,10,10)</f>
        <v>10</v>
      </c>
      <c r="AZ60" s="34"/>
    </row>
    <row r="61" spans="1:52" ht="14.2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>
        <v>4</v>
      </c>
      <c r="M61" s="26" t="s">
        <v>407</v>
      </c>
      <c r="N61" s="26">
        <v>2</v>
      </c>
      <c r="O61" s="28" t="s">
        <v>407</v>
      </c>
      <c r="P61" s="28" t="s">
        <v>407</v>
      </c>
      <c r="Q61" s="28" t="s">
        <v>407</v>
      </c>
      <c r="R61" s="28" t="s">
        <v>407</v>
      </c>
      <c r="S61" s="28" t="s">
        <v>407</v>
      </c>
      <c r="T61" s="28" t="s">
        <v>407</v>
      </c>
      <c r="U61" s="28" t="s">
        <v>407</v>
      </c>
      <c r="V61" s="28" t="s">
        <v>407</v>
      </c>
      <c r="W61" s="28" t="s">
        <v>407</v>
      </c>
      <c r="X61" s="35">
        <v>141.6</v>
      </c>
      <c r="Y61" s="30">
        <v>5</v>
      </c>
      <c r="Z61" s="30">
        <v>5.21</v>
      </c>
      <c r="AA61" s="28" t="s">
        <v>407</v>
      </c>
      <c r="AB61" s="28" t="s">
        <v>407</v>
      </c>
      <c r="AC61" s="31">
        <v>0</v>
      </c>
      <c r="AD61" s="28">
        <f>AVERAGE(1,1)</f>
        <v>1</v>
      </c>
      <c r="AE61" s="28">
        <v>60</v>
      </c>
      <c r="AF61" s="31">
        <f>AVERAGE(70,60,18)</f>
        <v>49.333333333333336</v>
      </c>
      <c r="AG61" s="28">
        <f>AVERAGE(58,58,58,58)</f>
        <v>58</v>
      </c>
      <c r="AH61" s="32">
        <v>16</v>
      </c>
      <c r="AI61" s="28">
        <f t="shared" si="11"/>
        <v>100</v>
      </c>
      <c r="AJ61" s="28">
        <f t="shared" si="12"/>
        <v>0</v>
      </c>
      <c r="AK61" s="28">
        <f t="shared" si="10"/>
        <v>0</v>
      </c>
      <c r="AL61" s="28">
        <f t="shared" si="10"/>
        <v>0</v>
      </c>
      <c r="AM61" s="28">
        <f t="shared" si="10"/>
        <v>0</v>
      </c>
      <c r="AN61" s="28">
        <f t="shared" si="10"/>
        <v>0</v>
      </c>
      <c r="AO61" s="28">
        <f t="shared" si="10"/>
        <v>0</v>
      </c>
      <c r="AP61" s="28">
        <f t="shared" si="10"/>
        <v>0</v>
      </c>
      <c r="AQ61" s="28">
        <f>AVERAGE(15,15,15,15)</f>
        <v>15</v>
      </c>
      <c r="AR61" s="28">
        <f>AVERAGE(10,10,10,10)</f>
        <v>10</v>
      </c>
      <c r="AS61" s="28">
        <f>AVERAGE(25,25,25,25)</f>
        <v>25</v>
      </c>
      <c r="AT61" s="28">
        <f>AVERAGE(10,10,10,10)</f>
        <v>10</v>
      </c>
      <c r="AU61" s="28">
        <f>AVERAGE(15,15,15,15)</f>
        <v>15</v>
      </c>
      <c r="AV61" s="28">
        <f>AVERAGE(10,10,10,10)</f>
        <v>10</v>
      </c>
      <c r="AW61" s="28">
        <f>AVERAGE(10,10,10,10)</f>
        <v>10</v>
      </c>
      <c r="AX61" s="28">
        <f>AVERAGE(5,5,5,5)</f>
        <v>5</v>
      </c>
      <c r="AY61" s="28">
        <f>AVERAGE(10,10,10,10)</f>
        <v>10</v>
      </c>
      <c r="AZ61" s="33"/>
    </row>
    <row r="62" spans="1:52" ht="14.2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>
        <v>4</v>
      </c>
      <c r="M62" s="26" t="s">
        <v>407</v>
      </c>
      <c r="N62" s="26">
        <v>3</v>
      </c>
      <c r="O62" s="28" t="s">
        <v>407</v>
      </c>
      <c r="P62" s="28" t="s">
        <v>407</v>
      </c>
      <c r="Q62" s="28" t="s">
        <v>407</v>
      </c>
      <c r="R62" s="28" t="s">
        <v>407</v>
      </c>
      <c r="S62" s="28" t="s">
        <v>407</v>
      </c>
      <c r="T62" s="28" t="s">
        <v>407</v>
      </c>
      <c r="U62" s="28" t="s">
        <v>407</v>
      </c>
      <c r="V62" s="28" t="s">
        <v>407</v>
      </c>
      <c r="W62" s="28" t="s">
        <v>407</v>
      </c>
      <c r="X62" s="35">
        <v>152.69999999999999</v>
      </c>
      <c r="Y62" s="30">
        <v>6</v>
      </c>
      <c r="Z62" s="30">
        <v>4.97</v>
      </c>
      <c r="AA62" s="28" t="s">
        <v>407</v>
      </c>
      <c r="AB62" s="28" t="s">
        <v>407</v>
      </c>
      <c r="AC62" s="31">
        <f>1/(AVERAGE(8.93,13.89,11.82,9.91,7.28,7.36,8.47))</f>
        <v>0.10345846881466154</v>
      </c>
      <c r="AD62" s="28">
        <f>AVERAGE(1,1)</f>
        <v>1</v>
      </c>
      <c r="AE62" s="28">
        <v>35</v>
      </c>
      <c r="AF62" s="31">
        <f>AVERAGE(26,35,24)</f>
        <v>28.333333333333332</v>
      </c>
      <c r="AG62" s="28">
        <f>AVERAGE(16,16,16,16)</f>
        <v>16</v>
      </c>
      <c r="AH62" s="32">
        <v>2.36</v>
      </c>
      <c r="AI62" s="28">
        <f>AVERAGE(5,5,5,5)</f>
        <v>5</v>
      </c>
      <c r="AJ62" s="28">
        <f>AVERAGE(95,95,95,95)</f>
        <v>95</v>
      </c>
      <c r="AK62" s="28">
        <f t="shared" si="10"/>
        <v>0</v>
      </c>
      <c r="AL62" s="28">
        <f t="shared" si="10"/>
        <v>0</v>
      </c>
      <c r="AM62" s="28">
        <f t="shared" si="10"/>
        <v>0</v>
      </c>
      <c r="AN62" s="28">
        <f t="shared" si="10"/>
        <v>0</v>
      </c>
      <c r="AO62" s="28">
        <f t="shared" si="10"/>
        <v>0</v>
      </c>
      <c r="AP62" s="28">
        <f t="shared" si="10"/>
        <v>0</v>
      </c>
      <c r="AQ62" s="28">
        <f>AVERAGE(15,15,15,15)</f>
        <v>15</v>
      </c>
      <c r="AR62" s="28">
        <f>AVERAGE(5,5,5,5)</f>
        <v>5</v>
      </c>
      <c r="AS62" s="28">
        <f>AVERAGE(50,50,50,50)</f>
        <v>50</v>
      </c>
      <c r="AT62" s="28">
        <f>AVERAGE(10,10,10,10)</f>
        <v>10</v>
      </c>
      <c r="AU62" s="28">
        <f t="shared" ref="AU62:AU68" si="14">AVERAGE(0,0,0,0)</f>
        <v>0</v>
      </c>
      <c r="AV62" s="28">
        <f>AVERAGE(15,15,15,15)</f>
        <v>15</v>
      </c>
      <c r="AW62" s="28">
        <f>AVERAGE(5,5,5,5)</f>
        <v>5</v>
      </c>
      <c r="AX62" s="28">
        <f>AVERAGE(0,0,0,0)</f>
        <v>0</v>
      </c>
      <c r="AY62" s="28">
        <f>AVERAGE(5,5,5,5)</f>
        <v>5</v>
      </c>
      <c r="AZ62" s="33"/>
    </row>
    <row r="63" spans="1:52" ht="14.2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>
        <v>3</v>
      </c>
      <c r="M63" s="26" t="s">
        <v>407</v>
      </c>
      <c r="N63" s="26">
        <v>1</v>
      </c>
      <c r="O63" s="28" t="s">
        <v>407</v>
      </c>
      <c r="P63" s="28" t="s">
        <v>407</v>
      </c>
      <c r="Q63" s="28" t="s">
        <v>407</v>
      </c>
      <c r="R63" s="28" t="s">
        <v>407</v>
      </c>
      <c r="S63" s="28" t="s">
        <v>407</v>
      </c>
      <c r="T63" s="28" t="s">
        <v>407</v>
      </c>
      <c r="U63" s="28" t="s">
        <v>407</v>
      </c>
      <c r="V63" s="28" t="s">
        <v>407</v>
      </c>
      <c r="W63" s="28" t="s">
        <v>407</v>
      </c>
      <c r="X63" s="35">
        <v>139.9</v>
      </c>
      <c r="Y63" s="30">
        <v>11</v>
      </c>
      <c r="Z63" s="30">
        <v>5.43</v>
      </c>
      <c r="AA63" s="28" t="s">
        <v>407</v>
      </c>
      <c r="AB63" s="28" t="s">
        <v>407</v>
      </c>
      <c r="AC63" s="31">
        <f>1/(AVERAGE(4.68,6.38,5.11,5.77,4.71,4.18,4.92,6.53))</f>
        <v>0.1892147587511826</v>
      </c>
      <c r="AD63" s="28">
        <f>AVERAGE(2,1)</f>
        <v>1.5</v>
      </c>
      <c r="AE63" s="28">
        <v>34</v>
      </c>
      <c r="AF63" s="31">
        <f>AVERAGE(20,34,31)</f>
        <v>28.333333333333332</v>
      </c>
      <c r="AG63" s="28">
        <f>AVERAGE(12,12,12,12)</f>
        <v>12</v>
      </c>
      <c r="AH63" s="30">
        <v>1.9</v>
      </c>
      <c r="AI63" s="28">
        <f>AVERAGE(10,10,10,10)</f>
        <v>10</v>
      </c>
      <c r="AJ63" s="28">
        <f>AVERAGE(90,90,90,90)</f>
        <v>90</v>
      </c>
      <c r="AK63" s="28">
        <f t="shared" si="10"/>
        <v>0</v>
      </c>
      <c r="AL63" s="28">
        <f t="shared" si="10"/>
        <v>0</v>
      </c>
      <c r="AM63" s="28">
        <f t="shared" si="10"/>
        <v>0</v>
      </c>
      <c r="AN63" s="28">
        <f t="shared" si="10"/>
        <v>0</v>
      </c>
      <c r="AO63" s="28">
        <f t="shared" si="10"/>
        <v>0</v>
      </c>
      <c r="AP63" s="28">
        <f t="shared" si="10"/>
        <v>0</v>
      </c>
      <c r="AQ63" s="28">
        <f>AVERAGE(0,0,0,0)</f>
        <v>0</v>
      </c>
      <c r="AR63" s="28">
        <f>AVERAGE(10,10,10,10)</f>
        <v>10</v>
      </c>
      <c r="AS63" s="28">
        <f>AVERAGE(80,80,80,80)</f>
        <v>80</v>
      </c>
      <c r="AT63" s="28">
        <f>AVERAGE(10,10,10,10)</f>
        <v>10</v>
      </c>
      <c r="AU63" s="28">
        <f t="shared" si="14"/>
        <v>0</v>
      </c>
      <c r="AV63" s="28">
        <f>AVERAGE(0,0,0,0)</f>
        <v>0</v>
      </c>
      <c r="AW63" s="28">
        <f>AVERAGE(10,10,10,10)</f>
        <v>10</v>
      </c>
      <c r="AX63" s="28">
        <f>AVERAGE(5,5,5,5)</f>
        <v>5</v>
      </c>
      <c r="AY63" s="28">
        <f>AVERAGE(10,10,10,10)</f>
        <v>10</v>
      </c>
      <c r="AZ63" s="33"/>
    </row>
    <row r="64" spans="1:52" ht="14.2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>
        <v>3</v>
      </c>
      <c r="M64" s="26" t="s">
        <v>407</v>
      </c>
      <c r="N64" s="26">
        <v>2</v>
      </c>
      <c r="O64" s="28" t="s">
        <v>407</v>
      </c>
      <c r="P64" s="28" t="s">
        <v>407</v>
      </c>
      <c r="Q64" s="28" t="s">
        <v>407</v>
      </c>
      <c r="R64" s="28" t="s">
        <v>407</v>
      </c>
      <c r="S64" s="28" t="s">
        <v>407</v>
      </c>
      <c r="T64" s="28" t="s">
        <v>407</v>
      </c>
      <c r="U64" s="28" t="s">
        <v>407</v>
      </c>
      <c r="V64" s="28" t="s">
        <v>407</v>
      </c>
      <c r="W64" s="28" t="s">
        <v>407</v>
      </c>
      <c r="X64" s="35">
        <v>120.8</v>
      </c>
      <c r="Y64" s="30">
        <v>12</v>
      </c>
      <c r="Z64" s="30">
        <v>5.5</v>
      </c>
      <c r="AA64" s="28" t="s">
        <v>407</v>
      </c>
      <c r="AB64" s="28" t="s">
        <v>407</v>
      </c>
      <c r="AC64" s="31">
        <f>1/(AVERAGE(4.21,4.3,3.96,3.68,2.75,1.77,1.96,1.95))</f>
        <v>0.32546786004882022</v>
      </c>
      <c r="AD64" s="28">
        <f>AVERAGE(2,1)</f>
        <v>1.5</v>
      </c>
      <c r="AE64" s="28">
        <v>30</v>
      </c>
      <c r="AF64" s="31">
        <f>AVERAGE(12,30,32)</f>
        <v>24.666666666666668</v>
      </c>
      <c r="AG64" s="28">
        <f>AVERAGE(11,11,11,11)</f>
        <v>11</v>
      </c>
      <c r="AH64" s="30">
        <v>2</v>
      </c>
      <c r="AI64" s="28">
        <f>AVERAGE(5,5,5,5)</f>
        <v>5</v>
      </c>
      <c r="AJ64" s="28">
        <f>AVERAGE(95,95,95,95)</f>
        <v>95</v>
      </c>
      <c r="AK64" s="28">
        <f t="shared" si="10"/>
        <v>0</v>
      </c>
      <c r="AL64" s="28">
        <f t="shared" si="10"/>
        <v>0</v>
      </c>
      <c r="AM64" s="28">
        <f t="shared" si="10"/>
        <v>0</v>
      </c>
      <c r="AN64" s="28">
        <f t="shared" si="10"/>
        <v>0</v>
      </c>
      <c r="AO64" s="28">
        <f t="shared" si="10"/>
        <v>0</v>
      </c>
      <c r="AP64" s="28">
        <f t="shared" si="10"/>
        <v>0</v>
      </c>
      <c r="AQ64" s="28">
        <f>AVERAGE(0,0,0,0)</f>
        <v>0</v>
      </c>
      <c r="AR64" s="28">
        <f>AVERAGE(5,5,5,5)</f>
        <v>5</v>
      </c>
      <c r="AS64" s="28">
        <f>AVERAGE(70,70,70,70)</f>
        <v>70</v>
      </c>
      <c r="AT64" s="28">
        <f>AVERAGE(5,5,5,5)</f>
        <v>5</v>
      </c>
      <c r="AU64" s="28">
        <f t="shared" si="14"/>
        <v>0</v>
      </c>
      <c r="AV64" s="28">
        <f>AVERAGE(0,0,0,0)</f>
        <v>0</v>
      </c>
      <c r="AW64" s="28">
        <f>AVERAGE(5,5,5,5)</f>
        <v>5</v>
      </c>
      <c r="AX64" s="28">
        <f>AVERAGE(5,5,5,5)</f>
        <v>5</v>
      </c>
      <c r="AY64" s="28">
        <f>AVERAGE(10,10,10,10)</f>
        <v>10</v>
      </c>
      <c r="AZ64" s="34"/>
    </row>
    <row r="65" spans="1:52" ht="14.2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>
        <v>3</v>
      </c>
      <c r="M65" s="26" t="s">
        <v>407</v>
      </c>
      <c r="N65" s="26">
        <v>3</v>
      </c>
      <c r="O65" s="28" t="s">
        <v>407</v>
      </c>
      <c r="P65" s="28" t="s">
        <v>407</v>
      </c>
      <c r="Q65" s="28" t="s">
        <v>407</v>
      </c>
      <c r="R65" s="28" t="s">
        <v>407</v>
      </c>
      <c r="S65" s="28" t="s">
        <v>407</v>
      </c>
      <c r="T65" s="28" t="s">
        <v>407</v>
      </c>
      <c r="U65" s="28" t="s">
        <v>407</v>
      </c>
      <c r="V65" s="28" t="s">
        <v>407</v>
      </c>
      <c r="W65" s="28" t="s">
        <v>407</v>
      </c>
      <c r="X65" s="35">
        <v>138.30000000000001</v>
      </c>
      <c r="Y65" s="30">
        <v>15</v>
      </c>
      <c r="Z65" s="30">
        <v>5.32</v>
      </c>
      <c r="AA65" s="28" t="s">
        <v>407</v>
      </c>
      <c r="AB65" s="28" t="s">
        <v>407</v>
      </c>
      <c r="AC65" s="31">
        <f>1/(AVERAGE(5.28,5.28,5.63,7.11,5.2,5.96,6.54,5.43))</f>
        <v>0.17230239069567091</v>
      </c>
      <c r="AD65" s="28">
        <f>AVERAGE(2,1)</f>
        <v>1.5</v>
      </c>
      <c r="AE65" s="28">
        <v>30</v>
      </c>
      <c r="AF65" s="31">
        <f>AVERAGE(30,30,27)</f>
        <v>29</v>
      </c>
      <c r="AG65" s="28">
        <f>AVERAGE(30,30,30,30)</f>
        <v>30</v>
      </c>
      <c r="AH65" s="30">
        <v>2.5</v>
      </c>
      <c r="AI65" s="28">
        <f>AVERAGE(5,5,5,5)</f>
        <v>5</v>
      </c>
      <c r="AJ65" s="28">
        <f>AVERAGE(95,95,95,95)</f>
        <v>95</v>
      </c>
      <c r="AK65" s="28">
        <f t="shared" si="10"/>
        <v>0</v>
      </c>
      <c r="AL65" s="28">
        <f t="shared" si="10"/>
        <v>0</v>
      </c>
      <c r="AM65" s="28">
        <f t="shared" si="10"/>
        <v>0</v>
      </c>
      <c r="AN65" s="28">
        <f t="shared" si="10"/>
        <v>0</v>
      </c>
      <c r="AO65" s="28">
        <f t="shared" si="10"/>
        <v>0</v>
      </c>
      <c r="AP65" s="28">
        <f t="shared" si="10"/>
        <v>0</v>
      </c>
      <c r="AQ65" s="28">
        <f>AVERAGE(0,0,0,0)</f>
        <v>0</v>
      </c>
      <c r="AR65" s="28">
        <f>AVERAGE(0,0,0,0)</f>
        <v>0</v>
      </c>
      <c r="AS65" s="28">
        <f>AVERAGE(60,60,60,60)</f>
        <v>60</v>
      </c>
      <c r="AT65" s="28">
        <f>AVERAGE(5,5,5,5)</f>
        <v>5</v>
      </c>
      <c r="AU65" s="28">
        <f t="shared" si="14"/>
        <v>0</v>
      </c>
      <c r="AV65" s="28">
        <f>AVERAGE(0,0,0,0)</f>
        <v>0</v>
      </c>
      <c r="AW65" s="28">
        <f>AVERAGE(10,10,10,10)</f>
        <v>10</v>
      </c>
      <c r="AX65" s="28">
        <f>AVERAGE(10,10,10,10)</f>
        <v>10</v>
      </c>
      <c r="AY65" s="28">
        <f>AVERAGE(10,10,10,10)</f>
        <v>10</v>
      </c>
      <c r="AZ65" s="33"/>
    </row>
    <row r="66" spans="1:52" ht="14.2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>
        <v>4</v>
      </c>
      <c r="M66" s="26" t="s">
        <v>407</v>
      </c>
      <c r="N66" s="26">
        <v>1</v>
      </c>
      <c r="O66" s="28" t="s">
        <v>407</v>
      </c>
      <c r="P66" s="28" t="s">
        <v>407</v>
      </c>
      <c r="Q66" s="28" t="s">
        <v>407</v>
      </c>
      <c r="R66" s="28" t="s">
        <v>407</v>
      </c>
      <c r="S66" s="28" t="s">
        <v>407</v>
      </c>
      <c r="T66" s="28" t="s">
        <v>407</v>
      </c>
      <c r="U66" s="28" t="s">
        <v>407</v>
      </c>
      <c r="V66" s="28" t="s">
        <v>407</v>
      </c>
      <c r="W66" s="28" t="s">
        <v>407</v>
      </c>
      <c r="X66" s="35">
        <v>105</v>
      </c>
      <c r="Y66" s="30">
        <v>10</v>
      </c>
      <c r="Z66" s="30">
        <v>5.64</v>
      </c>
      <c r="AA66" s="28" t="s">
        <v>407</v>
      </c>
      <c r="AB66" s="28" t="s">
        <v>407</v>
      </c>
      <c r="AC66" s="31">
        <f>1/(AVERAGE(16.4,17.82,18.43))</f>
        <v>5.6980056980056981E-2</v>
      </c>
      <c r="AD66" s="28">
        <f>AVERAGE(1,1)</f>
        <v>1</v>
      </c>
      <c r="AE66" s="28">
        <v>20</v>
      </c>
      <c r="AF66" s="31">
        <f>AVERAGE(18,20,38)</f>
        <v>25.333333333333332</v>
      </c>
      <c r="AG66" s="28">
        <f>AVERAGE(17,17,17,17)</f>
        <v>17</v>
      </c>
      <c r="AH66" s="30">
        <v>8.6</v>
      </c>
      <c r="AI66" s="28">
        <f>AVERAGE(20,20,20,20)</f>
        <v>20</v>
      </c>
      <c r="AJ66" s="28">
        <f>AVERAGE(80,80,80,80)</f>
        <v>80</v>
      </c>
      <c r="AK66" s="28">
        <f t="shared" si="10"/>
        <v>0</v>
      </c>
      <c r="AL66" s="28">
        <f t="shared" si="10"/>
        <v>0</v>
      </c>
      <c r="AM66" s="28">
        <f t="shared" si="10"/>
        <v>0</v>
      </c>
      <c r="AN66" s="28">
        <f t="shared" si="10"/>
        <v>0</v>
      </c>
      <c r="AO66" s="28">
        <f t="shared" si="10"/>
        <v>0</v>
      </c>
      <c r="AP66" s="28">
        <f t="shared" si="10"/>
        <v>0</v>
      </c>
      <c r="AQ66" s="28">
        <f>AVERAGE(15,15,15,15)</f>
        <v>15</v>
      </c>
      <c r="AR66" s="28">
        <f>AVERAGE(5,5,5,5)</f>
        <v>5</v>
      </c>
      <c r="AS66" s="28">
        <f>AVERAGE(5,5,5,5)</f>
        <v>5</v>
      </c>
      <c r="AT66" s="28">
        <f>AVERAGE(5,5,5,5)</f>
        <v>5</v>
      </c>
      <c r="AU66" s="28">
        <f t="shared" si="14"/>
        <v>0</v>
      </c>
      <c r="AV66" s="28">
        <f>AVERAGE(5,5,5,5)</f>
        <v>5</v>
      </c>
      <c r="AW66" s="28">
        <f>AVERAGE(10,10,10,10)</f>
        <v>10</v>
      </c>
      <c r="AX66" s="28">
        <f>AVERAGE(0,0,0,0)</f>
        <v>0</v>
      </c>
      <c r="AY66" s="28">
        <f>AVERAGE(5,5,5,5)</f>
        <v>5</v>
      </c>
      <c r="AZ66" s="33"/>
    </row>
    <row r="67" spans="1:52" ht="14.2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>
        <v>4</v>
      </c>
      <c r="M67" s="26" t="s">
        <v>407</v>
      </c>
      <c r="N67" s="26">
        <v>2</v>
      </c>
      <c r="O67" s="28" t="s">
        <v>407</v>
      </c>
      <c r="P67" s="28" t="s">
        <v>407</v>
      </c>
      <c r="Q67" s="28" t="s">
        <v>407</v>
      </c>
      <c r="R67" s="28" t="s">
        <v>407</v>
      </c>
      <c r="S67" s="28" t="s">
        <v>407</v>
      </c>
      <c r="T67" s="28" t="s">
        <v>407</v>
      </c>
      <c r="U67" s="28" t="s">
        <v>407</v>
      </c>
      <c r="V67" s="28" t="s">
        <v>407</v>
      </c>
      <c r="W67" s="28" t="s">
        <v>407</v>
      </c>
      <c r="X67" s="35">
        <v>144.30000000000001</v>
      </c>
      <c r="Y67" s="30">
        <v>18</v>
      </c>
      <c r="Z67" s="30">
        <v>5.33</v>
      </c>
      <c r="AA67" s="28" t="s">
        <v>407</v>
      </c>
      <c r="AB67" s="28" t="s">
        <v>407</v>
      </c>
      <c r="AC67" s="31">
        <f>1/(AVERAGE(9.22,8.86,8.18,7.39))</f>
        <v>0.11887072808320952</v>
      </c>
      <c r="AD67" s="28">
        <f>AVERAGE(1,1)</f>
        <v>1</v>
      </c>
      <c r="AE67" s="28">
        <v>40</v>
      </c>
      <c r="AF67" s="31">
        <f>AVERAGE(21,40,41)</f>
        <v>34</v>
      </c>
      <c r="AG67" s="28">
        <f>AVERAGE(20,20,20,20)</f>
        <v>20</v>
      </c>
      <c r="AH67" s="30">
        <v>10.199999999999999</v>
      </c>
      <c r="AI67" s="28">
        <f>AVERAGE(10,10,10,10)</f>
        <v>10</v>
      </c>
      <c r="AJ67" s="28">
        <f>AVERAGE(90,90,90,90)</f>
        <v>90</v>
      </c>
      <c r="AK67" s="28">
        <f t="shared" si="10"/>
        <v>0</v>
      </c>
      <c r="AL67" s="28">
        <f t="shared" si="10"/>
        <v>0</v>
      </c>
      <c r="AM67" s="28">
        <f t="shared" si="10"/>
        <v>0</v>
      </c>
      <c r="AN67" s="28">
        <f t="shared" si="10"/>
        <v>0</v>
      </c>
      <c r="AO67" s="28">
        <f t="shared" si="10"/>
        <v>0</v>
      </c>
      <c r="AP67" s="28">
        <f t="shared" si="10"/>
        <v>0</v>
      </c>
      <c r="AQ67" s="28">
        <f>AVERAGE(25,25,25,25)</f>
        <v>25</v>
      </c>
      <c r="AR67" s="28">
        <f>AVERAGE(10,10,10,10)</f>
        <v>10</v>
      </c>
      <c r="AS67" s="28">
        <f>AVERAGE(0,0,0,0)</f>
        <v>0</v>
      </c>
      <c r="AT67" s="28">
        <f>AVERAGE(0,0,0,0)</f>
        <v>0</v>
      </c>
      <c r="AU67" s="28">
        <f t="shared" si="14"/>
        <v>0</v>
      </c>
      <c r="AV67" s="28">
        <f>AVERAGE(0,0,0,0)</f>
        <v>0</v>
      </c>
      <c r="AW67" s="28">
        <f>AVERAGE(0,0,0,0)</f>
        <v>0</v>
      </c>
      <c r="AX67" s="28">
        <f>AVERAGE(0,0,0,0)</f>
        <v>0</v>
      </c>
      <c r="AY67" s="28">
        <f>AVERAGE(0,0,0,0)</f>
        <v>0</v>
      </c>
      <c r="AZ67" s="33"/>
    </row>
    <row r="68" spans="1:52" ht="14.2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>
        <v>4</v>
      </c>
      <c r="M68" s="26" t="s">
        <v>407</v>
      </c>
      <c r="N68" s="26">
        <v>3</v>
      </c>
      <c r="O68" s="28" t="s">
        <v>407</v>
      </c>
      <c r="P68" s="28" t="s">
        <v>407</v>
      </c>
      <c r="Q68" s="28" t="s">
        <v>407</v>
      </c>
      <c r="R68" s="28" t="s">
        <v>407</v>
      </c>
      <c r="S68" s="28" t="s">
        <v>407</v>
      </c>
      <c r="T68" s="28" t="s">
        <v>407</v>
      </c>
      <c r="U68" s="28" t="s">
        <v>407</v>
      </c>
      <c r="V68" s="28" t="s">
        <v>407</v>
      </c>
      <c r="W68" s="28" t="s">
        <v>407</v>
      </c>
      <c r="X68" s="35">
        <v>132.19999999999999</v>
      </c>
      <c r="Y68" s="30">
        <v>12</v>
      </c>
      <c r="Z68" s="30">
        <v>5.29</v>
      </c>
      <c r="AA68" s="28" t="s">
        <v>407</v>
      </c>
      <c r="AB68" s="28" t="s">
        <v>407</v>
      </c>
      <c r="AC68" s="31">
        <f>AVERAGE(0)</f>
        <v>0</v>
      </c>
      <c r="AD68" s="28">
        <f>AVERAGE(1,1)</f>
        <v>1</v>
      </c>
      <c r="AE68" s="28">
        <v>22</v>
      </c>
      <c r="AF68" s="31">
        <f>AVERAGE(38,22,30)</f>
        <v>30</v>
      </c>
      <c r="AG68" s="28">
        <f>AVERAGE(28,28,28,28)</f>
        <v>28</v>
      </c>
      <c r="AH68" s="30">
        <v>4.9000000000000004</v>
      </c>
      <c r="AI68" s="28">
        <f>AVERAGE(100,100,100,100)</f>
        <v>100</v>
      </c>
      <c r="AJ68" s="28">
        <f>AVERAGE(0,0,0,0)</f>
        <v>0</v>
      </c>
      <c r="AK68" s="28">
        <f t="shared" si="10"/>
        <v>0</v>
      </c>
      <c r="AL68" s="28">
        <f t="shared" si="10"/>
        <v>0</v>
      </c>
      <c r="AM68" s="28">
        <f t="shared" si="10"/>
        <v>0</v>
      </c>
      <c r="AN68" s="28">
        <f t="shared" si="10"/>
        <v>0</v>
      </c>
      <c r="AO68" s="28">
        <f t="shared" si="10"/>
        <v>0</v>
      </c>
      <c r="AP68" s="28">
        <f>AVERAGE(5,5,5,5)</f>
        <v>5</v>
      </c>
      <c r="AQ68" s="28">
        <f>AVERAGE(50,50,50,50)</f>
        <v>50</v>
      </c>
      <c r="AR68" s="28">
        <f>AVERAGE(0,0,0,0)</f>
        <v>0</v>
      </c>
      <c r="AS68" s="28">
        <f>AVERAGE(0,0,0,0)</f>
        <v>0</v>
      </c>
      <c r="AT68" s="28">
        <f>AVERAGE(0,0,0,0)</f>
        <v>0</v>
      </c>
      <c r="AU68" s="28">
        <f t="shared" si="14"/>
        <v>0</v>
      </c>
      <c r="AV68" s="28">
        <f>AVERAGE(0,0,0,0)</f>
        <v>0</v>
      </c>
      <c r="AW68" s="28">
        <f>AVERAGE(0,0,0,0)</f>
        <v>0</v>
      </c>
      <c r="AX68" s="28">
        <f>AVERAGE(0,0,0,0)</f>
        <v>0</v>
      </c>
      <c r="AY68" s="28">
        <f>AVERAGE(0,0,0,0)</f>
        <v>0</v>
      </c>
      <c r="AZ68" s="33"/>
    </row>
    <row r="69" spans="1:52" ht="14.25" customHeight="1" x14ac:dyDescent="0.25">
      <c r="A69" s="23" t="s">
        <v>194</v>
      </c>
      <c r="B69" s="24" t="s">
        <v>176</v>
      </c>
      <c r="C69" s="24" t="s">
        <v>121</v>
      </c>
      <c r="D69" s="26" t="s">
        <v>407</v>
      </c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>
        <v>4</v>
      </c>
      <c r="M69" s="26" t="s">
        <v>407</v>
      </c>
      <c r="N69" s="26">
        <v>1</v>
      </c>
      <c r="O69" s="28" t="s">
        <v>407</v>
      </c>
      <c r="P69" s="28" t="s">
        <v>407</v>
      </c>
      <c r="Q69" s="28" t="s">
        <v>407</v>
      </c>
      <c r="R69" s="28" t="s">
        <v>407</v>
      </c>
      <c r="S69" s="28" t="s">
        <v>407</v>
      </c>
      <c r="T69" s="28" t="s">
        <v>407</v>
      </c>
      <c r="U69" s="28" t="s">
        <v>407</v>
      </c>
      <c r="V69" s="28" t="s">
        <v>407</v>
      </c>
      <c r="W69" s="28" t="s">
        <v>407</v>
      </c>
      <c r="X69" s="28" t="s">
        <v>407</v>
      </c>
      <c r="Y69" s="28" t="s">
        <v>407</v>
      </c>
      <c r="Z69" s="28" t="s">
        <v>407</v>
      </c>
      <c r="AA69" s="28" t="s">
        <v>407</v>
      </c>
      <c r="AB69" s="28" t="s">
        <v>407</v>
      </c>
      <c r="AC69" s="28" t="s">
        <v>407</v>
      </c>
      <c r="AD69" s="28" t="s">
        <v>407</v>
      </c>
      <c r="AE69" s="28" t="s">
        <v>407</v>
      </c>
      <c r="AF69" s="28" t="s">
        <v>407</v>
      </c>
      <c r="AG69" s="28" t="s">
        <v>407</v>
      </c>
      <c r="AH69" s="28" t="s">
        <v>407</v>
      </c>
      <c r="AI69" s="28" t="s">
        <v>407</v>
      </c>
      <c r="AJ69" s="28" t="s">
        <v>407</v>
      </c>
      <c r="AK69" s="28" t="s">
        <v>407</v>
      </c>
      <c r="AL69" s="28" t="s">
        <v>407</v>
      </c>
      <c r="AM69" s="28" t="s">
        <v>407</v>
      </c>
      <c r="AN69" s="28" t="s">
        <v>407</v>
      </c>
      <c r="AO69" s="28" t="s">
        <v>407</v>
      </c>
      <c r="AP69" s="28" t="s">
        <v>407</v>
      </c>
      <c r="AQ69" s="28" t="s">
        <v>407</v>
      </c>
      <c r="AR69" s="28" t="s">
        <v>407</v>
      </c>
      <c r="AS69" s="28" t="s">
        <v>407</v>
      </c>
      <c r="AT69" s="28" t="s">
        <v>407</v>
      </c>
      <c r="AU69" s="28" t="s">
        <v>407</v>
      </c>
      <c r="AV69" s="28" t="s">
        <v>407</v>
      </c>
      <c r="AW69" s="28" t="s">
        <v>407</v>
      </c>
      <c r="AX69" s="28" t="s">
        <v>407</v>
      </c>
      <c r="AY69" s="28" t="s">
        <v>407</v>
      </c>
      <c r="AZ69" s="34"/>
    </row>
    <row r="70" spans="1:52" ht="14.25" customHeight="1" x14ac:dyDescent="0.25">
      <c r="A70" s="23" t="s">
        <v>195</v>
      </c>
      <c r="B70" s="24" t="s">
        <v>176</v>
      </c>
      <c r="C70" s="24" t="s">
        <v>121</v>
      </c>
      <c r="D70" s="26" t="s">
        <v>407</v>
      </c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>
        <v>4</v>
      </c>
      <c r="M70" s="26" t="s">
        <v>407</v>
      </c>
      <c r="N70" s="26">
        <v>2</v>
      </c>
      <c r="O70" s="28" t="s">
        <v>407</v>
      </c>
      <c r="P70" s="28" t="s">
        <v>407</v>
      </c>
      <c r="Q70" s="28" t="s">
        <v>407</v>
      </c>
      <c r="R70" s="28" t="s">
        <v>407</v>
      </c>
      <c r="S70" s="28" t="s">
        <v>407</v>
      </c>
      <c r="T70" s="28" t="s">
        <v>407</v>
      </c>
      <c r="U70" s="28" t="s">
        <v>407</v>
      </c>
      <c r="V70" s="28" t="s">
        <v>407</v>
      </c>
      <c r="W70" s="28" t="s">
        <v>407</v>
      </c>
      <c r="X70" s="28" t="s">
        <v>407</v>
      </c>
      <c r="Y70" s="28" t="s">
        <v>407</v>
      </c>
      <c r="Z70" s="28" t="s">
        <v>407</v>
      </c>
      <c r="AA70" s="28" t="s">
        <v>407</v>
      </c>
      <c r="AB70" s="28" t="s">
        <v>407</v>
      </c>
      <c r="AC70" s="28" t="s">
        <v>407</v>
      </c>
      <c r="AD70" s="28" t="s">
        <v>407</v>
      </c>
      <c r="AE70" s="28" t="s">
        <v>407</v>
      </c>
      <c r="AF70" s="28" t="s">
        <v>407</v>
      </c>
      <c r="AG70" s="28" t="s">
        <v>407</v>
      </c>
      <c r="AH70" s="28" t="s">
        <v>407</v>
      </c>
      <c r="AI70" s="28" t="s">
        <v>407</v>
      </c>
      <c r="AJ70" s="28" t="s">
        <v>407</v>
      </c>
      <c r="AK70" s="28" t="s">
        <v>407</v>
      </c>
      <c r="AL70" s="28" t="s">
        <v>407</v>
      </c>
      <c r="AM70" s="28" t="s">
        <v>407</v>
      </c>
      <c r="AN70" s="28" t="s">
        <v>407</v>
      </c>
      <c r="AO70" s="28" t="s">
        <v>407</v>
      </c>
      <c r="AP70" s="28" t="s">
        <v>407</v>
      </c>
      <c r="AQ70" s="28" t="s">
        <v>407</v>
      </c>
      <c r="AR70" s="28" t="s">
        <v>407</v>
      </c>
      <c r="AS70" s="28" t="s">
        <v>407</v>
      </c>
      <c r="AT70" s="28" t="s">
        <v>407</v>
      </c>
      <c r="AU70" s="28" t="s">
        <v>407</v>
      </c>
      <c r="AV70" s="28" t="s">
        <v>407</v>
      </c>
      <c r="AW70" s="28" t="s">
        <v>407</v>
      </c>
      <c r="AX70" s="28" t="s">
        <v>407</v>
      </c>
      <c r="AY70" s="28" t="s">
        <v>407</v>
      </c>
      <c r="AZ70" s="34"/>
    </row>
    <row r="71" spans="1:52" ht="14.25" customHeight="1" x14ac:dyDescent="0.25">
      <c r="A71" s="23" t="s">
        <v>196</v>
      </c>
      <c r="B71" s="24" t="s">
        <v>176</v>
      </c>
      <c r="C71" s="24" t="s">
        <v>121</v>
      </c>
      <c r="D71" s="26" t="s">
        <v>407</v>
      </c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>
        <v>4</v>
      </c>
      <c r="M71" s="26" t="s">
        <v>407</v>
      </c>
      <c r="N71" s="26">
        <v>3</v>
      </c>
      <c r="O71" s="28" t="s">
        <v>407</v>
      </c>
      <c r="P71" s="28" t="s">
        <v>407</v>
      </c>
      <c r="Q71" s="28" t="s">
        <v>407</v>
      </c>
      <c r="R71" s="28" t="s">
        <v>407</v>
      </c>
      <c r="S71" s="28" t="s">
        <v>407</v>
      </c>
      <c r="T71" s="28" t="s">
        <v>407</v>
      </c>
      <c r="U71" s="28" t="s">
        <v>407</v>
      </c>
      <c r="V71" s="28" t="s">
        <v>407</v>
      </c>
      <c r="W71" s="28" t="s">
        <v>407</v>
      </c>
      <c r="X71" s="28" t="s">
        <v>407</v>
      </c>
      <c r="Y71" s="28" t="s">
        <v>407</v>
      </c>
      <c r="Z71" s="28" t="s">
        <v>407</v>
      </c>
      <c r="AA71" s="28" t="s">
        <v>407</v>
      </c>
      <c r="AB71" s="28" t="s">
        <v>407</v>
      </c>
      <c r="AC71" s="28" t="s">
        <v>407</v>
      </c>
      <c r="AD71" s="28" t="s">
        <v>407</v>
      </c>
      <c r="AE71" s="28" t="s">
        <v>407</v>
      </c>
      <c r="AF71" s="28" t="s">
        <v>407</v>
      </c>
      <c r="AG71" s="28" t="s">
        <v>407</v>
      </c>
      <c r="AH71" s="28" t="s">
        <v>407</v>
      </c>
      <c r="AI71" s="28" t="s">
        <v>407</v>
      </c>
      <c r="AJ71" s="28" t="s">
        <v>407</v>
      </c>
      <c r="AK71" s="28" t="s">
        <v>407</v>
      </c>
      <c r="AL71" s="28" t="s">
        <v>407</v>
      </c>
      <c r="AM71" s="28" t="s">
        <v>407</v>
      </c>
      <c r="AN71" s="28" t="s">
        <v>407</v>
      </c>
      <c r="AO71" s="28" t="s">
        <v>407</v>
      </c>
      <c r="AP71" s="28" t="s">
        <v>407</v>
      </c>
      <c r="AQ71" s="28" t="s">
        <v>407</v>
      </c>
      <c r="AR71" s="28" t="s">
        <v>407</v>
      </c>
      <c r="AS71" s="28" t="s">
        <v>407</v>
      </c>
      <c r="AT71" s="28" t="s">
        <v>407</v>
      </c>
      <c r="AU71" s="28" t="s">
        <v>407</v>
      </c>
      <c r="AV71" s="28" t="s">
        <v>407</v>
      </c>
      <c r="AW71" s="28" t="s">
        <v>407</v>
      </c>
      <c r="AX71" s="28" t="s">
        <v>407</v>
      </c>
      <c r="AY71" s="28" t="s">
        <v>407</v>
      </c>
      <c r="AZ71" s="34"/>
    </row>
    <row r="72" spans="1:52" ht="14.2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>
        <v>3</v>
      </c>
      <c r="M72" s="26" t="s">
        <v>407</v>
      </c>
      <c r="N72" s="26">
        <v>1</v>
      </c>
      <c r="O72" s="28" t="s">
        <v>407</v>
      </c>
      <c r="P72" s="28" t="s">
        <v>407</v>
      </c>
      <c r="Q72" s="28" t="s">
        <v>407</v>
      </c>
      <c r="R72" s="28" t="s">
        <v>407</v>
      </c>
      <c r="S72" s="28" t="s">
        <v>407</v>
      </c>
      <c r="T72" s="28" t="s">
        <v>407</v>
      </c>
      <c r="U72" s="28" t="s">
        <v>407</v>
      </c>
      <c r="V72" s="28" t="s">
        <v>407</v>
      </c>
      <c r="W72" s="28" t="s">
        <v>407</v>
      </c>
      <c r="X72" s="28">
        <v>85.2</v>
      </c>
      <c r="Y72" s="28">
        <v>346</v>
      </c>
      <c r="Z72" s="28">
        <v>5.57</v>
      </c>
      <c r="AA72" s="28" t="s">
        <v>407</v>
      </c>
      <c r="AB72" s="28" t="s">
        <v>407</v>
      </c>
      <c r="AC72" s="31">
        <f>1/(AVERAGE(2.91,4.57,2.4,3.23,2.16,2.4,2.4,2.62,3.21,3.41))</f>
        <v>0.34118048447628796</v>
      </c>
      <c r="AD72" s="29">
        <f>AVERAGE(1,1)</f>
        <v>1</v>
      </c>
      <c r="AE72" s="28">
        <v>19</v>
      </c>
      <c r="AF72" s="29">
        <f>AVERAGE(10,19,12)</f>
        <v>13.666666666666666</v>
      </c>
      <c r="AG72" s="28">
        <f>AVERAGE(10,10,10,10)</f>
        <v>10</v>
      </c>
      <c r="AH72" s="30">
        <v>1.4</v>
      </c>
      <c r="AI72" s="28">
        <f t="shared" ref="AI72:AI77" si="15">AVERAGE(90,90,90,90)</f>
        <v>90</v>
      </c>
      <c r="AJ72" s="28">
        <f t="shared" ref="AJ72:AJ77" si="16">AVERAGE(10,10,10,10)</f>
        <v>10</v>
      </c>
      <c r="AK72" s="28">
        <f t="shared" ref="AK72:AQ87" si="17">AVERAGE(0,0,0,0)</f>
        <v>0</v>
      </c>
      <c r="AL72" s="28">
        <f t="shared" si="17"/>
        <v>0</v>
      </c>
      <c r="AM72" s="28">
        <f t="shared" si="17"/>
        <v>0</v>
      </c>
      <c r="AN72" s="28">
        <f t="shared" si="17"/>
        <v>0</v>
      </c>
      <c r="AO72" s="28">
        <f t="shared" si="17"/>
        <v>0</v>
      </c>
      <c r="AP72" s="28">
        <f t="shared" si="17"/>
        <v>0</v>
      </c>
      <c r="AQ72" s="28">
        <f t="shared" si="17"/>
        <v>0</v>
      </c>
      <c r="AR72" s="28">
        <f>AVERAGE(5,5,5,5)</f>
        <v>5</v>
      </c>
      <c r="AS72" s="28">
        <f>AVERAGE(80,80,80,80)</f>
        <v>80</v>
      </c>
      <c r="AT72" s="28">
        <f t="shared" ref="AT72:AT80" si="18">AVERAGE(5,5,5,5)</f>
        <v>5</v>
      </c>
      <c r="AU72" s="28">
        <f t="shared" ref="AU72:AX98" si="19">AVERAGE(0,0,0,0)</f>
        <v>0</v>
      </c>
      <c r="AV72" s="28">
        <f t="shared" si="19"/>
        <v>0</v>
      </c>
      <c r="AW72" s="28">
        <f>AVERAGE(10,10,10,10)</f>
        <v>10</v>
      </c>
      <c r="AX72" s="28">
        <f>AVERAGE(10,10,10,10)</f>
        <v>10</v>
      </c>
      <c r="AY72" s="28">
        <f>AVERAGE(15,15,15,15)</f>
        <v>15</v>
      </c>
      <c r="AZ72" s="33"/>
    </row>
    <row r="73" spans="1:52" ht="14.2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>
        <v>3</v>
      </c>
      <c r="M73" s="26" t="s">
        <v>407</v>
      </c>
      <c r="N73" s="26">
        <v>2</v>
      </c>
      <c r="O73" s="28" t="s">
        <v>407</v>
      </c>
      <c r="P73" s="28" t="s">
        <v>407</v>
      </c>
      <c r="Q73" s="28" t="s">
        <v>407</v>
      </c>
      <c r="R73" s="28" t="s">
        <v>407</v>
      </c>
      <c r="S73" s="28" t="s">
        <v>407</v>
      </c>
      <c r="T73" s="28" t="s">
        <v>407</v>
      </c>
      <c r="U73" s="28" t="s">
        <v>407</v>
      </c>
      <c r="V73" s="28" t="s">
        <v>407</v>
      </c>
      <c r="W73" s="28" t="s">
        <v>407</v>
      </c>
      <c r="X73" s="28">
        <v>107.1</v>
      </c>
      <c r="Y73" s="28">
        <v>69</v>
      </c>
      <c r="Z73" s="28">
        <v>5.49</v>
      </c>
      <c r="AA73" s="28" t="s">
        <v>407</v>
      </c>
      <c r="AB73" s="28" t="s">
        <v>407</v>
      </c>
      <c r="AC73" s="31">
        <f>1/(AVERAGE(2.91,4.57,2.4,3.23,2.16,2.4,2.4,2.62,3.21,3.41))</f>
        <v>0.34118048447628796</v>
      </c>
      <c r="AD73" s="29">
        <f>AVERAGE(1,1)</f>
        <v>1</v>
      </c>
      <c r="AE73" s="28">
        <v>19</v>
      </c>
      <c r="AF73" s="29">
        <f>AVERAGE(10,19,12)</f>
        <v>13.666666666666666</v>
      </c>
      <c r="AG73" s="28">
        <f>AVERAGE(10,10,10,10)</f>
        <v>10</v>
      </c>
      <c r="AH73" s="30">
        <v>1.4</v>
      </c>
      <c r="AI73" s="28">
        <f t="shared" si="15"/>
        <v>90</v>
      </c>
      <c r="AJ73" s="28">
        <f t="shared" si="16"/>
        <v>10</v>
      </c>
      <c r="AK73" s="28">
        <f t="shared" si="17"/>
        <v>0</v>
      </c>
      <c r="AL73" s="28">
        <f t="shared" si="17"/>
        <v>0</v>
      </c>
      <c r="AM73" s="28">
        <f t="shared" si="17"/>
        <v>0</v>
      </c>
      <c r="AN73" s="28">
        <f t="shared" si="17"/>
        <v>0</v>
      </c>
      <c r="AO73" s="28">
        <f t="shared" si="17"/>
        <v>0</v>
      </c>
      <c r="AP73" s="28">
        <f t="shared" si="17"/>
        <v>0</v>
      </c>
      <c r="AQ73" s="28">
        <f t="shared" si="17"/>
        <v>0</v>
      </c>
      <c r="AR73" s="28">
        <f>AVERAGE(5,5,5,5)</f>
        <v>5</v>
      </c>
      <c r="AS73" s="28">
        <f>AVERAGE(80,80,80,80)</f>
        <v>80</v>
      </c>
      <c r="AT73" s="28">
        <f t="shared" si="18"/>
        <v>5</v>
      </c>
      <c r="AU73" s="28">
        <f t="shared" si="19"/>
        <v>0</v>
      </c>
      <c r="AV73" s="28">
        <f t="shared" si="19"/>
        <v>0</v>
      </c>
      <c r="AW73" s="28">
        <f>AVERAGE(10,10,10,10)</f>
        <v>10</v>
      </c>
      <c r="AX73" s="28">
        <f>AVERAGE(10,10,10,10)</f>
        <v>10</v>
      </c>
      <c r="AY73" s="28">
        <f>AVERAGE(15,15,15,15)</f>
        <v>15</v>
      </c>
      <c r="AZ73" s="33"/>
    </row>
    <row r="74" spans="1:52" ht="14.2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>
        <v>3</v>
      </c>
      <c r="M74" s="26" t="s">
        <v>407</v>
      </c>
      <c r="N74" s="26">
        <v>3</v>
      </c>
      <c r="O74" s="28" t="s">
        <v>407</v>
      </c>
      <c r="P74" s="28" t="s">
        <v>407</v>
      </c>
      <c r="Q74" s="28" t="s">
        <v>407</v>
      </c>
      <c r="R74" s="28" t="s">
        <v>407</v>
      </c>
      <c r="S74" s="28" t="s">
        <v>407</v>
      </c>
      <c r="T74" s="28" t="s">
        <v>407</v>
      </c>
      <c r="U74" s="28" t="s">
        <v>407</v>
      </c>
      <c r="V74" s="28" t="s">
        <v>407</v>
      </c>
      <c r="W74" s="28" t="s">
        <v>407</v>
      </c>
      <c r="X74" s="28">
        <v>104.8</v>
      </c>
      <c r="Y74" s="28">
        <v>40</v>
      </c>
      <c r="Z74" s="28">
        <v>5.35</v>
      </c>
      <c r="AA74" s="28" t="s">
        <v>407</v>
      </c>
      <c r="AB74" s="28" t="s">
        <v>407</v>
      </c>
      <c r="AC74" s="31">
        <f>1/(AVERAGE(1.97,1.58,2.11,2.11,1.94,1.49,1.65,1.32,1.39,1.45))</f>
        <v>0.58788947677836567</v>
      </c>
      <c r="AD74" s="29">
        <f>AVERAGE(3,1)</f>
        <v>2</v>
      </c>
      <c r="AE74" s="28">
        <v>36</v>
      </c>
      <c r="AF74" s="29">
        <f>AVERAGE(16,36,16)</f>
        <v>22.666666666666668</v>
      </c>
      <c r="AG74" s="28">
        <f>AVERAGE(14,14,14,14)</f>
        <v>14</v>
      </c>
      <c r="AH74" s="30">
        <v>1.9</v>
      </c>
      <c r="AI74" s="28">
        <f t="shared" si="15"/>
        <v>90</v>
      </c>
      <c r="AJ74" s="28">
        <f t="shared" si="16"/>
        <v>10</v>
      </c>
      <c r="AK74" s="28">
        <f t="shared" si="17"/>
        <v>0</v>
      </c>
      <c r="AL74" s="28">
        <f t="shared" si="17"/>
        <v>0</v>
      </c>
      <c r="AM74" s="28">
        <f t="shared" si="17"/>
        <v>0</v>
      </c>
      <c r="AN74" s="28">
        <f t="shared" si="17"/>
        <v>0</v>
      </c>
      <c r="AO74" s="28">
        <f t="shared" si="17"/>
        <v>0</v>
      </c>
      <c r="AP74" s="28">
        <f t="shared" si="17"/>
        <v>0</v>
      </c>
      <c r="AQ74" s="28">
        <f t="shared" si="17"/>
        <v>0</v>
      </c>
      <c r="AR74" s="28">
        <f>AVERAGE(0,0,0,0)</f>
        <v>0</v>
      </c>
      <c r="AS74" s="28">
        <f>AVERAGE(75,75,75,75)</f>
        <v>75</v>
      </c>
      <c r="AT74" s="28">
        <f t="shared" si="18"/>
        <v>5</v>
      </c>
      <c r="AU74" s="28">
        <f t="shared" si="19"/>
        <v>0</v>
      </c>
      <c r="AV74" s="28">
        <f t="shared" si="19"/>
        <v>0</v>
      </c>
      <c r="AW74" s="28">
        <f>AVERAGE(5,5,5,5)</f>
        <v>5</v>
      </c>
      <c r="AX74" s="28">
        <f>AVERAGE(20,20,20,20)</f>
        <v>20</v>
      </c>
      <c r="AY74" s="28">
        <f>AVERAGE(20,20,20,20)</f>
        <v>20</v>
      </c>
      <c r="AZ74" s="33"/>
    </row>
    <row r="75" spans="1:52" ht="14.2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>
        <v>3</v>
      </c>
      <c r="M75" s="26" t="s">
        <v>407</v>
      </c>
      <c r="N75" s="26">
        <v>1</v>
      </c>
      <c r="O75" s="28" t="s">
        <v>407</v>
      </c>
      <c r="P75" s="28" t="s">
        <v>407</v>
      </c>
      <c r="Q75" s="28" t="s">
        <v>407</v>
      </c>
      <c r="R75" s="28" t="s">
        <v>407</v>
      </c>
      <c r="S75" s="28" t="s">
        <v>407</v>
      </c>
      <c r="T75" s="28" t="s">
        <v>407</v>
      </c>
      <c r="U75" s="28" t="s">
        <v>407</v>
      </c>
      <c r="V75" s="28" t="s">
        <v>407</v>
      </c>
      <c r="W75" s="28" t="s">
        <v>407</v>
      </c>
      <c r="X75" s="28">
        <v>82.65</v>
      </c>
      <c r="Y75" s="28">
        <v>9</v>
      </c>
      <c r="Z75" s="28">
        <v>5.51</v>
      </c>
      <c r="AA75" s="28" t="s">
        <v>407</v>
      </c>
      <c r="AB75" s="28" t="s">
        <v>407</v>
      </c>
      <c r="AC75" s="31">
        <f>1/(AVERAGE(2.33,2.25,2.86,2.13,2.45,2.71,2.78,2.43,2.54,3.14))</f>
        <v>0.39032006245120993</v>
      </c>
      <c r="AD75" s="29">
        <f>AVERAGE(2,2)</f>
        <v>2</v>
      </c>
      <c r="AE75" s="28">
        <v>46</v>
      </c>
      <c r="AF75" s="29">
        <f>AVERAGE(16,46,15)</f>
        <v>25.666666666666668</v>
      </c>
      <c r="AG75" s="28">
        <f>AVERAGE(15,15,15,15)</f>
        <v>15</v>
      </c>
      <c r="AH75" s="27">
        <v>1.75</v>
      </c>
      <c r="AI75" s="28">
        <f t="shared" si="15"/>
        <v>90</v>
      </c>
      <c r="AJ75" s="28">
        <f t="shared" si="16"/>
        <v>10</v>
      </c>
      <c r="AK75" s="28">
        <f t="shared" si="17"/>
        <v>0</v>
      </c>
      <c r="AL75" s="28">
        <f t="shared" si="17"/>
        <v>0</v>
      </c>
      <c r="AM75" s="28">
        <f t="shared" si="17"/>
        <v>0</v>
      </c>
      <c r="AN75" s="28">
        <f t="shared" si="17"/>
        <v>0</v>
      </c>
      <c r="AO75" s="28">
        <f t="shared" si="17"/>
        <v>0</v>
      </c>
      <c r="AP75" s="28">
        <f t="shared" si="17"/>
        <v>0</v>
      </c>
      <c r="AQ75" s="28">
        <f t="shared" si="17"/>
        <v>0</v>
      </c>
      <c r="AR75" s="28">
        <f>AVERAGE(10,10,10,10)</f>
        <v>10</v>
      </c>
      <c r="AS75" s="28">
        <f>AVERAGE(70,70,70,70)</f>
        <v>70</v>
      </c>
      <c r="AT75" s="28">
        <f t="shared" si="18"/>
        <v>5</v>
      </c>
      <c r="AU75" s="28">
        <f t="shared" si="19"/>
        <v>0</v>
      </c>
      <c r="AV75" s="28">
        <f t="shared" si="19"/>
        <v>0</v>
      </c>
      <c r="AW75" s="28">
        <f>AVERAGE(15,15,15,15)</f>
        <v>15</v>
      </c>
      <c r="AX75" s="28">
        <f>AVERAGE(15,15,15,15)</f>
        <v>15</v>
      </c>
      <c r="AY75" s="28">
        <f>AVERAGE(10,10,10,10)</f>
        <v>10</v>
      </c>
      <c r="AZ75" s="33"/>
    </row>
    <row r="76" spans="1:52" ht="14.2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>
        <v>3</v>
      </c>
      <c r="M76" s="26" t="s">
        <v>407</v>
      </c>
      <c r="N76" s="26">
        <v>2</v>
      </c>
      <c r="O76" s="28" t="s">
        <v>407</v>
      </c>
      <c r="P76" s="28" t="s">
        <v>407</v>
      </c>
      <c r="Q76" s="28" t="s">
        <v>407</v>
      </c>
      <c r="R76" s="28" t="s">
        <v>407</v>
      </c>
      <c r="S76" s="28" t="s">
        <v>407</v>
      </c>
      <c r="T76" s="28" t="s">
        <v>407</v>
      </c>
      <c r="U76" s="28" t="s">
        <v>407</v>
      </c>
      <c r="V76" s="28" t="s">
        <v>407</v>
      </c>
      <c r="W76" s="28" t="s">
        <v>407</v>
      </c>
      <c r="X76" s="28">
        <v>78.3</v>
      </c>
      <c r="Y76" s="28">
        <v>21</v>
      </c>
      <c r="Z76" s="28">
        <v>5.73</v>
      </c>
      <c r="AA76" s="28" t="s">
        <v>407</v>
      </c>
      <c r="AB76" s="28" t="s">
        <v>407</v>
      </c>
      <c r="AC76" s="31">
        <f>1/(AVERAGE(1.96,1.72,2.34,2.08,2.63,2.11,2.96,2.14,2.82,2.86))</f>
        <v>0.42337002540220153</v>
      </c>
      <c r="AD76" s="29">
        <f>AVERAGE(2,2)</f>
        <v>2</v>
      </c>
      <c r="AE76" s="28">
        <v>53</v>
      </c>
      <c r="AF76" s="29">
        <f>AVERAGE(28,53,28)</f>
        <v>36.333333333333336</v>
      </c>
      <c r="AG76" s="28">
        <f>AVERAGE(25,25,25,25)</f>
        <v>25</v>
      </c>
      <c r="AH76" s="32">
        <v>3.7</v>
      </c>
      <c r="AI76" s="28">
        <f t="shared" si="15"/>
        <v>90</v>
      </c>
      <c r="AJ76" s="28">
        <f t="shared" si="16"/>
        <v>10</v>
      </c>
      <c r="AK76" s="28">
        <f t="shared" si="17"/>
        <v>0</v>
      </c>
      <c r="AL76" s="28">
        <f t="shared" si="17"/>
        <v>0</v>
      </c>
      <c r="AM76" s="28">
        <f t="shared" si="17"/>
        <v>0</v>
      </c>
      <c r="AN76" s="28">
        <f t="shared" si="17"/>
        <v>0</v>
      </c>
      <c r="AO76" s="28">
        <f t="shared" si="17"/>
        <v>0</v>
      </c>
      <c r="AP76" s="28">
        <f t="shared" si="17"/>
        <v>0</v>
      </c>
      <c r="AQ76" s="28">
        <f t="shared" si="17"/>
        <v>0</v>
      </c>
      <c r="AR76" s="28">
        <f>AVERAGE(10,10,10,10)</f>
        <v>10</v>
      </c>
      <c r="AS76" s="28">
        <f>AVERAGE(80,80,80,80)</f>
        <v>80</v>
      </c>
      <c r="AT76" s="28">
        <f t="shared" si="18"/>
        <v>5</v>
      </c>
      <c r="AU76" s="28">
        <f t="shared" si="19"/>
        <v>0</v>
      </c>
      <c r="AV76" s="28">
        <f t="shared" si="19"/>
        <v>0</v>
      </c>
      <c r="AW76" s="28">
        <f>AVERAGE(10,10,10,10)</f>
        <v>10</v>
      </c>
      <c r="AX76" s="28">
        <f>AVERAGE(15,15,15,15)</f>
        <v>15</v>
      </c>
      <c r="AY76" s="28">
        <f>AVERAGE(20,20,20,20)</f>
        <v>20</v>
      </c>
      <c r="AZ76" s="33"/>
    </row>
    <row r="77" spans="1:52" ht="14.2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>
        <v>3</v>
      </c>
      <c r="M77" s="26" t="s">
        <v>407</v>
      </c>
      <c r="N77" s="26">
        <v>3</v>
      </c>
      <c r="O77" s="28" t="s">
        <v>407</v>
      </c>
      <c r="P77" s="28" t="s">
        <v>407</v>
      </c>
      <c r="Q77" s="28" t="s">
        <v>407</v>
      </c>
      <c r="R77" s="28" t="s">
        <v>407</v>
      </c>
      <c r="S77" s="28" t="s">
        <v>407</v>
      </c>
      <c r="T77" s="28" t="s">
        <v>407</v>
      </c>
      <c r="U77" s="28" t="s">
        <v>407</v>
      </c>
      <c r="V77" s="28" t="s">
        <v>407</v>
      </c>
      <c r="W77" s="28" t="s">
        <v>407</v>
      </c>
      <c r="X77" s="28">
        <v>82.93</v>
      </c>
      <c r="Y77" s="28">
        <v>20</v>
      </c>
      <c r="Z77" s="28">
        <v>5.96</v>
      </c>
      <c r="AA77" s="28" t="s">
        <v>407</v>
      </c>
      <c r="AB77" s="28" t="s">
        <v>407</v>
      </c>
      <c r="AC77" s="31">
        <f>1/(AVERAGE(4.2,4.3,4.6,3.38,3.85,4.92,4.98,4.2,4.62,5.07))</f>
        <v>0.22665457842248413</v>
      </c>
      <c r="AD77" s="29">
        <f>AVERAGE(2,2)</f>
        <v>2</v>
      </c>
      <c r="AE77" s="28">
        <v>47</v>
      </c>
      <c r="AF77" s="29">
        <f>AVERAGE(14,47,16)</f>
        <v>25.666666666666668</v>
      </c>
      <c r="AG77" s="28">
        <f>AVERAGE(14,14,14,14)</f>
        <v>14</v>
      </c>
      <c r="AH77" s="32">
        <v>2.9</v>
      </c>
      <c r="AI77" s="28">
        <f t="shared" si="15"/>
        <v>90</v>
      </c>
      <c r="AJ77" s="28">
        <f t="shared" si="16"/>
        <v>10</v>
      </c>
      <c r="AK77" s="28">
        <f t="shared" si="17"/>
        <v>0</v>
      </c>
      <c r="AL77" s="28">
        <f t="shared" si="17"/>
        <v>0</v>
      </c>
      <c r="AM77" s="28">
        <f t="shared" si="17"/>
        <v>0</v>
      </c>
      <c r="AN77" s="28">
        <f t="shared" si="17"/>
        <v>0</v>
      </c>
      <c r="AO77" s="28">
        <f t="shared" si="17"/>
        <v>0</v>
      </c>
      <c r="AP77" s="28">
        <f t="shared" si="17"/>
        <v>0</v>
      </c>
      <c r="AQ77" s="28">
        <f t="shared" si="17"/>
        <v>0</v>
      </c>
      <c r="AR77" s="28">
        <f>AVERAGE(15,15,15,15)</f>
        <v>15</v>
      </c>
      <c r="AS77" s="28">
        <f>AVERAGE(80,80,80,80)</f>
        <v>80</v>
      </c>
      <c r="AT77" s="28">
        <f t="shared" si="18"/>
        <v>5</v>
      </c>
      <c r="AU77" s="28">
        <f t="shared" si="19"/>
        <v>0</v>
      </c>
      <c r="AV77" s="28">
        <f t="shared" si="19"/>
        <v>0</v>
      </c>
      <c r="AW77" s="28">
        <f>AVERAGE(5,5,5,5)</f>
        <v>5</v>
      </c>
      <c r="AX77" s="28">
        <f>AVERAGE(10,10,10,10)</f>
        <v>10</v>
      </c>
      <c r="AY77" s="28">
        <f>AVERAGE(20,20,20,20)</f>
        <v>20</v>
      </c>
      <c r="AZ77" s="33"/>
    </row>
    <row r="78" spans="1:52" ht="14.2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>
        <v>3</v>
      </c>
      <c r="M78" s="26" t="s">
        <v>407</v>
      </c>
      <c r="N78" s="26">
        <v>1</v>
      </c>
      <c r="O78" s="28" t="s">
        <v>407</v>
      </c>
      <c r="P78" s="28" t="s">
        <v>407</v>
      </c>
      <c r="Q78" s="28" t="s">
        <v>407</v>
      </c>
      <c r="R78" s="28" t="s">
        <v>407</v>
      </c>
      <c r="S78" s="28" t="s">
        <v>407</v>
      </c>
      <c r="T78" s="28" t="s">
        <v>407</v>
      </c>
      <c r="U78" s="28" t="s">
        <v>407</v>
      </c>
      <c r="V78" s="28" t="s">
        <v>407</v>
      </c>
      <c r="W78" s="28" t="s">
        <v>407</v>
      </c>
      <c r="X78" s="28">
        <v>181.1</v>
      </c>
      <c r="Y78" s="28">
        <v>41</v>
      </c>
      <c r="Z78" s="28">
        <v>6.07</v>
      </c>
      <c r="AA78" s="28" t="s">
        <v>407</v>
      </c>
      <c r="AB78" s="28" t="s">
        <v>407</v>
      </c>
      <c r="AC78" s="31">
        <f>1/(AVERAGE(2.82,3.25,2.74,2.27,2.46,2.56,2.05))</f>
        <v>0.38567493112947665</v>
      </c>
      <c r="AD78" s="29">
        <f>AVERAGE(4,3)</f>
        <v>3.5</v>
      </c>
      <c r="AE78" s="28">
        <v>30</v>
      </c>
      <c r="AF78" s="29">
        <f>AVERAGE(30,22,17)</f>
        <v>23</v>
      </c>
      <c r="AG78" s="28">
        <f>AVERAGE(14,14,14,14)</f>
        <v>14</v>
      </c>
      <c r="AH78" s="30">
        <v>2.1</v>
      </c>
      <c r="AI78" s="28">
        <f>AVERAGE(0,0,0,0)</f>
        <v>0</v>
      </c>
      <c r="AJ78" s="28">
        <f>AVERAGE(100,100,100,100)</f>
        <v>100</v>
      </c>
      <c r="AK78" s="28">
        <f t="shared" si="17"/>
        <v>0</v>
      </c>
      <c r="AL78" s="28">
        <f t="shared" si="17"/>
        <v>0</v>
      </c>
      <c r="AM78" s="28">
        <f t="shared" si="17"/>
        <v>0</v>
      </c>
      <c r="AN78" s="28">
        <f t="shared" si="17"/>
        <v>0</v>
      </c>
      <c r="AO78" s="28">
        <f t="shared" si="17"/>
        <v>0</v>
      </c>
      <c r="AP78" s="28">
        <f t="shared" si="17"/>
        <v>0</v>
      </c>
      <c r="AQ78" s="28">
        <f t="shared" si="17"/>
        <v>0</v>
      </c>
      <c r="AR78" s="28">
        <f>AVERAGE(10,10,10,10)</f>
        <v>10</v>
      </c>
      <c r="AS78" s="28">
        <f>AVERAGE(85,85,85,85)</f>
        <v>85</v>
      </c>
      <c r="AT78" s="28">
        <f t="shared" si="18"/>
        <v>5</v>
      </c>
      <c r="AU78" s="28">
        <f t="shared" si="19"/>
        <v>0</v>
      </c>
      <c r="AV78" s="28">
        <f t="shared" si="19"/>
        <v>0</v>
      </c>
      <c r="AW78" s="28">
        <f>AVERAGE(10,10,10,10)</f>
        <v>10</v>
      </c>
      <c r="AX78" s="28">
        <f>AVERAGE(5,5,5,5)</f>
        <v>5</v>
      </c>
      <c r="AY78" s="28">
        <f>AVERAGE(10,10,10,10)</f>
        <v>10</v>
      </c>
      <c r="AZ78" s="33"/>
    </row>
    <row r="79" spans="1:52" ht="14.2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>
        <v>3</v>
      </c>
      <c r="M79" s="26" t="s">
        <v>407</v>
      </c>
      <c r="N79" s="26">
        <v>2</v>
      </c>
      <c r="O79" s="28" t="s">
        <v>407</v>
      </c>
      <c r="P79" s="28" t="s">
        <v>407</v>
      </c>
      <c r="Q79" s="28" t="s">
        <v>407</v>
      </c>
      <c r="R79" s="28" t="s">
        <v>407</v>
      </c>
      <c r="S79" s="28" t="s">
        <v>407</v>
      </c>
      <c r="T79" s="28" t="s">
        <v>407</v>
      </c>
      <c r="U79" s="28" t="s">
        <v>407</v>
      </c>
      <c r="V79" s="28" t="s">
        <v>407</v>
      </c>
      <c r="W79" s="28" t="s">
        <v>407</v>
      </c>
      <c r="X79" s="28">
        <v>116</v>
      </c>
      <c r="Y79" s="28">
        <v>33</v>
      </c>
      <c r="Z79" s="28">
        <v>6.02</v>
      </c>
      <c r="AA79" s="28" t="s">
        <v>407</v>
      </c>
      <c r="AB79" s="28" t="s">
        <v>407</v>
      </c>
      <c r="AC79" s="31">
        <f>1/(AVERAGE(2.58,3.31,3.23,2.74,3.51,2.65,3.36))</f>
        <v>0.32740879326473338</v>
      </c>
      <c r="AD79" s="29">
        <f>AVERAGE(4,3)</f>
        <v>3.5</v>
      </c>
      <c r="AE79" s="28">
        <v>20</v>
      </c>
      <c r="AF79" s="29">
        <f>AVERAGE(14,20,9)</f>
        <v>14.333333333333334</v>
      </c>
      <c r="AG79" s="28">
        <f>AVERAGE(13,13,13,13)</f>
        <v>13</v>
      </c>
      <c r="AH79" s="30">
        <v>6.7</v>
      </c>
      <c r="AI79" s="28">
        <f>AVERAGE(0,0,0,0)</f>
        <v>0</v>
      </c>
      <c r="AJ79" s="28">
        <f>AVERAGE(100,100,100,100)</f>
        <v>100</v>
      </c>
      <c r="AK79" s="28">
        <f t="shared" si="17"/>
        <v>0</v>
      </c>
      <c r="AL79" s="28">
        <f t="shared" si="17"/>
        <v>0</v>
      </c>
      <c r="AM79" s="28">
        <f t="shared" si="17"/>
        <v>0</v>
      </c>
      <c r="AN79" s="28">
        <f t="shared" si="17"/>
        <v>0</v>
      </c>
      <c r="AO79" s="28">
        <f t="shared" si="17"/>
        <v>0</v>
      </c>
      <c r="AP79" s="28">
        <f t="shared" si="17"/>
        <v>0</v>
      </c>
      <c r="AQ79" s="28">
        <f t="shared" si="17"/>
        <v>0</v>
      </c>
      <c r="AR79" s="28">
        <f>AVERAGE(5,5,5,5)</f>
        <v>5</v>
      </c>
      <c r="AS79" s="28">
        <f>AVERAGE(70,70,70,70)</f>
        <v>70</v>
      </c>
      <c r="AT79" s="28">
        <f t="shared" si="18"/>
        <v>5</v>
      </c>
      <c r="AU79" s="28">
        <f t="shared" si="19"/>
        <v>0</v>
      </c>
      <c r="AV79" s="28">
        <f t="shared" si="19"/>
        <v>0</v>
      </c>
      <c r="AW79" s="28">
        <f>AVERAGE(5,5,5,5)</f>
        <v>5</v>
      </c>
      <c r="AX79" s="28">
        <f>AVERAGE(5,5,5,5)</f>
        <v>5</v>
      </c>
      <c r="AY79" s="28">
        <f>AVERAGE(5,5,5,5)</f>
        <v>5</v>
      </c>
      <c r="AZ79" s="33"/>
    </row>
    <row r="80" spans="1:52" ht="14.2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>
        <v>3</v>
      </c>
      <c r="M80" s="26" t="s">
        <v>407</v>
      </c>
      <c r="N80" s="26">
        <v>3</v>
      </c>
      <c r="O80" s="28" t="s">
        <v>407</v>
      </c>
      <c r="P80" s="28" t="s">
        <v>407</v>
      </c>
      <c r="Q80" s="28" t="s">
        <v>407</v>
      </c>
      <c r="R80" s="28" t="s">
        <v>407</v>
      </c>
      <c r="S80" s="28" t="s">
        <v>407</v>
      </c>
      <c r="T80" s="28" t="s">
        <v>407</v>
      </c>
      <c r="U80" s="28" t="s">
        <v>407</v>
      </c>
      <c r="V80" s="28" t="s">
        <v>407</v>
      </c>
      <c r="W80" s="28" t="s">
        <v>407</v>
      </c>
      <c r="X80" s="28">
        <v>92.25</v>
      </c>
      <c r="Y80" s="28">
        <v>44</v>
      </c>
      <c r="Z80" s="28">
        <v>5.97</v>
      </c>
      <c r="AA80" s="28" t="s">
        <v>407</v>
      </c>
      <c r="AB80" s="28" t="s">
        <v>407</v>
      </c>
      <c r="AC80" s="31">
        <f>1/(AVERAGE(3.31,2.56,2.45,2.13,2.54,2.12,2.43))</f>
        <v>0.39908779931584948</v>
      </c>
      <c r="AD80" s="29">
        <f>AVERAGE(3,2)</f>
        <v>2.5</v>
      </c>
      <c r="AE80" s="28">
        <v>45</v>
      </c>
      <c r="AF80" s="29">
        <f>AVERAGE(45,41,36)</f>
        <v>40.666666666666664</v>
      </c>
      <c r="AG80" s="28">
        <f>AVERAGE(15,15,15,15)</f>
        <v>15</v>
      </c>
      <c r="AH80" s="30">
        <v>5.3</v>
      </c>
      <c r="AI80" s="28">
        <f>AVERAGE(30,30,30,30)</f>
        <v>30</v>
      </c>
      <c r="AJ80" s="28">
        <f>AVERAGE(70,70,70,70)</f>
        <v>70</v>
      </c>
      <c r="AK80" s="28">
        <f t="shared" si="17"/>
        <v>0</v>
      </c>
      <c r="AL80" s="28">
        <f t="shared" si="17"/>
        <v>0</v>
      </c>
      <c r="AM80" s="28">
        <f t="shared" si="17"/>
        <v>0</v>
      </c>
      <c r="AN80" s="28">
        <f t="shared" si="17"/>
        <v>0</v>
      </c>
      <c r="AO80" s="28">
        <f t="shared" si="17"/>
        <v>0</v>
      </c>
      <c r="AP80" s="28">
        <f t="shared" si="17"/>
        <v>0</v>
      </c>
      <c r="AQ80" s="28">
        <f t="shared" si="17"/>
        <v>0</v>
      </c>
      <c r="AR80" s="28">
        <f>AVERAGE(15,15,15,15)</f>
        <v>15</v>
      </c>
      <c r="AS80" s="28">
        <f>AVERAGE(70,70,70,70)</f>
        <v>70</v>
      </c>
      <c r="AT80" s="28">
        <f t="shared" si="18"/>
        <v>5</v>
      </c>
      <c r="AU80" s="28">
        <f t="shared" si="19"/>
        <v>0</v>
      </c>
      <c r="AV80" s="28">
        <f t="shared" si="19"/>
        <v>0</v>
      </c>
      <c r="AW80" s="28">
        <f>AVERAGE(10,10,10,10)</f>
        <v>10</v>
      </c>
      <c r="AX80" s="28">
        <f>AVERAGE(20,20,20,20)</f>
        <v>20</v>
      </c>
      <c r="AY80" s="28">
        <f>AVERAGE(10,10,10,10)</f>
        <v>10</v>
      </c>
      <c r="AZ80" s="33"/>
    </row>
    <row r="81" spans="1:52" ht="14.2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>
        <v>4</v>
      </c>
      <c r="M81" s="26" t="s">
        <v>407</v>
      </c>
      <c r="N81" s="26">
        <v>1</v>
      </c>
      <c r="O81" s="28" t="s">
        <v>407</v>
      </c>
      <c r="P81" s="28" t="s">
        <v>407</v>
      </c>
      <c r="Q81" s="28" t="s">
        <v>407</v>
      </c>
      <c r="R81" s="28" t="s">
        <v>407</v>
      </c>
      <c r="S81" s="28" t="s">
        <v>407</v>
      </c>
      <c r="T81" s="28" t="s">
        <v>407</v>
      </c>
      <c r="U81" s="28" t="s">
        <v>407</v>
      </c>
      <c r="V81" s="28" t="s">
        <v>407</v>
      </c>
      <c r="W81" s="28" t="s">
        <v>407</v>
      </c>
      <c r="X81" s="29">
        <v>226.3</v>
      </c>
      <c r="Y81" s="29">
        <v>6</v>
      </c>
      <c r="Z81" s="35">
        <v>6.06</v>
      </c>
      <c r="AA81" s="28" t="s">
        <v>407</v>
      </c>
      <c r="AB81" s="28" t="s">
        <v>407</v>
      </c>
      <c r="AC81" s="31">
        <f>1/(AVERAGE(3.94,4.12,3.94,3.45,3.67,3.15,3.69))</f>
        <v>0.26964560862865949</v>
      </c>
      <c r="AD81" s="28">
        <f>AVERAGE(3,2)</f>
        <v>2.5</v>
      </c>
      <c r="AE81" s="28">
        <v>16</v>
      </c>
      <c r="AF81" s="29">
        <f>AVERAGE(12,16,12)</f>
        <v>13.333333333333334</v>
      </c>
      <c r="AG81" s="28">
        <f>AVERAGE(8,8,8,8)</f>
        <v>8</v>
      </c>
      <c r="AH81" s="35">
        <v>1.1000000000000001</v>
      </c>
      <c r="AI81" s="28">
        <f>AVERAGE(5,5,5,5)</f>
        <v>5</v>
      </c>
      <c r="AJ81" s="28">
        <f>AVERAGE(95,95,95,95)</f>
        <v>95</v>
      </c>
      <c r="AK81" s="28">
        <f t="shared" si="17"/>
        <v>0</v>
      </c>
      <c r="AL81" s="28">
        <f t="shared" si="17"/>
        <v>0</v>
      </c>
      <c r="AM81" s="28">
        <f t="shared" si="17"/>
        <v>0</v>
      </c>
      <c r="AN81" s="28">
        <f t="shared" si="17"/>
        <v>0</v>
      </c>
      <c r="AO81" s="28">
        <f t="shared" si="17"/>
        <v>0</v>
      </c>
      <c r="AP81" s="28">
        <f t="shared" si="17"/>
        <v>0</v>
      </c>
      <c r="AQ81" s="28">
        <f t="shared" si="17"/>
        <v>0</v>
      </c>
      <c r="AR81" s="28">
        <f>AVERAGE(0,0,0,0)</f>
        <v>0</v>
      </c>
      <c r="AS81" s="28">
        <f>AVERAGE(50,50,50,50)</f>
        <v>50</v>
      </c>
      <c r="AT81" s="28">
        <f>AVERAGE(10,10,10,10)</f>
        <v>10</v>
      </c>
      <c r="AU81" s="28">
        <f t="shared" si="19"/>
        <v>0</v>
      </c>
      <c r="AV81" s="28">
        <f t="shared" si="19"/>
        <v>0</v>
      </c>
      <c r="AW81" s="28">
        <f>AVERAGE(25,25,25,25)</f>
        <v>25</v>
      </c>
      <c r="AX81" s="28">
        <f>AVERAGE(0,0,0,0)</f>
        <v>0</v>
      </c>
      <c r="AY81" s="28">
        <f>AVERAGE(10,10,10,10)</f>
        <v>10</v>
      </c>
      <c r="AZ81" s="33"/>
    </row>
    <row r="82" spans="1:52" ht="14.2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>
        <v>4</v>
      </c>
      <c r="M82" s="26" t="s">
        <v>407</v>
      </c>
      <c r="N82" s="26">
        <v>2</v>
      </c>
      <c r="O82" s="28" t="s">
        <v>407</v>
      </c>
      <c r="P82" s="28" t="s">
        <v>407</v>
      </c>
      <c r="Q82" s="28" t="s">
        <v>407</v>
      </c>
      <c r="R82" s="28" t="s">
        <v>407</v>
      </c>
      <c r="S82" s="28" t="s">
        <v>407</v>
      </c>
      <c r="T82" s="28" t="s">
        <v>407</v>
      </c>
      <c r="U82" s="28" t="s">
        <v>407</v>
      </c>
      <c r="V82" s="28" t="s">
        <v>407</v>
      </c>
      <c r="W82" s="28" t="s">
        <v>407</v>
      </c>
      <c r="X82" s="29">
        <v>172.5</v>
      </c>
      <c r="Y82" s="29">
        <v>8</v>
      </c>
      <c r="Z82" s="35">
        <v>6.03</v>
      </c>
      <c r="AA82" s="28" t="s">
        <v>407</v>
      </c>
      <c r="AB82" s="28" t="s">
        <v>407</v>
      </c>
      <c r="AC82" s="31">
        <f>1/(AVERAGE(3,2.73,2.34,4.3,3.27,3.39,4.12))</f>
        <v>0.30237580993520519</v>
      </c>
      <c r="AD82" s="28">
        <f>AVERAGE(3,2)</f>
        <v>2.5</v>
      </c>
      <c r="AE82" s="28">
        <v>33</v>
      </c>
      <c r="AF82" s="29">
        <f>AVERAGE(12,33,18)</f>
        <v>21</v>
      </c>
      <c r="AG82" s="28">
        <f>AVERAGE(8,8,8,8)</f>
        <v>8</v>
      </c>
      <c r="AH82" s="35">
        <v>1.3</v>
      </c>
      <c r="AI82" s="28">
        <f>AVERAGE(0,0,0,0)</f>
        <v>0</v>
      </c>
      <c r="AJ82" s="28">
        <f>AVERAGE(100,100,100,100)</f>
        <v>100</v>
      </c>
      <c r="AK82" s="28">
        <f t="shared" si="17"/>
        <v>0</v>
      </c>
      <c r="AL82" s="28">
        <f t="shared" si="17"/>
        <v>0</v>
      </c>
      <c r="AM82" s="28">
        <f t="shared" si="17"/>
        <v>0</v>
      </c>
      <c r="AN82" s="28">
        <f t="shared" si="17"/>
        <v>0</v>
      </c>
      <c r="AO82" s="28">
        <f t="shared" si="17"/>
        <v>0</v>
      </c>
      <c r="AP82" s="28">
        <f t="shared" si="17"/>
        <v>0</v>
      </c>
      <c r="AQ82" s="28">
        <f>AVERAGE(5,5,5,5)</f>
        <v>5</v>
      </c>
      <c r="AR82" s="28">
        <f>AVERAGE(0,0,0,0)</f>
        <v>0</v>
      </c>
      <c r="AS82" s="28">
        <f>AVERAGE(60,60,60,60)</f>
        <v>60</v>
      </c>
      <c r="AT82" s="28">
        <f>AVERAGE(5,5,5,5)</f>
        <v>5</v>
      </c>
      <c r="AU82" s="28">
        <f t="shared" si="19"/>
        <v>0</v>
      </c>
      <c r="AV82" s="28">
        <f t="shared" si="19"/>
        <v>0</v>
      </c>
      <c r="AW82" s="28">
        <f>AVERAGE(5,5,5,5)</f>
        <v>5</v>
      </c>
      <c r="AX82" s="28">
        <f>AVERAGE(0,0,0,0)</f>
        <v>0</v>
      </c>
      <c r="AY82" s="28">
        <f>AVERAGE(10,10,10,10)</f>
        <v>10</v>
      </c>
      <c r="AZ82" s="33"/>
    </row>
    <row r="83" spans="1:52" ht="14.2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>
        <v>4</v>
      </c>
      <c r="M83" s="26" t="s">
        <v>407</v>
      </c>
      <c r="N83" s="26">
        <v>3</v>
      </c>
      <c r="O83" s="28" t="s">
        <v>407</v>
      </c>
      <c r="P83" s="28" t="s">
        <v>407</v>
      </c>
      <c r="Q83" s="28" t="s">
        <v>407</v>
      </c>
      <c r="R83" s="28" t="s">
        <v>407</v>
      </c>
      <c r="S83" s="28" t="s">
        <v>407</v>
      </c>
      <c r="T83" s="28" t="s">
        <v>407</v>
      </c>
      <c r="U83" s="28" t="s">
        <v>407</v>
      </c>
      <c r="V83" s="28" t="s">
        <v>407</v>
      </c>
      <c r="W83" s="28" t="s">
        <v>407</v>
      </c>
      <c r="X83" s="29">
        <v>213</v>
      </c>
      <c r="Y83" s="29">
        <v>16</v>
      </c>
      <c r="Z83" s="35">
        <v>6.23</v>
      </c>
      <c r="AA83" s="28" t="s">
        <v>407</v>
      </c>
      <c r="AB83" s="28" t="s">
        <v>407</v>
      </c>
      <c r="AC83" s="31">
        <f>1/(AVERAGE(3.56,3.58,5.17,3.91,4.85,3.86,3.87))</f>
        <v>0.24305555555555552</v>
      </c>
      <c r="AD83" s="28">
        <f>AVERAGE(3,2)</f>
        <v>2.5</v>
      </c>
      <c r="AE83" s="28">
        <v>14</v>
      </c>
      <c r="AF83" s="29">
        <f>AVERAGE(9,14,11)</f>
        <v>11.333333333333334</v>
      </c>
      <c r="AG83" s="28">
        <f>AVERAGE(10,10,10,10)</f>
        <v>10</v>
      </c>
      <c r="AH83" s="35">
        <v>1.1399999999999999</v>
      </c>
      <c r="AI83" s="28">
        <f>AVERAGE(10,10,10,10)</f>
        <v>10</v>
      </c>
      <c r="AJ83" s="28">
        <f>AVERAGE(90,90,90,90)</f>
        <v>90</v>
      </c>
      <c r="AK83" s="28">
        <f t="shared" si="17"/>
        <v>0</v>
      </c>
      <c r="AL83" s="28">
        <f t="shared" si="17"/>
        <v>0</v>
      </c>
      <c r="AM83" s="28">
        <f t="shared" si="17"/>
        <v>0</v>
      </c>
      <c r="AN83" s="28">
        <f t="shared" si="17"/>
        <v>0</v>
      </c>
      <c r="AO83" s="28">
        <f t="shared" si="17"/>
        <v>0</v>
      </c>
      <c r="AP83" s="28">
        <f t="shared" si="17"/>
        <v>0</v>
      </c>
      <c r="AQ83" s="28">
        <f>AVERAGE(0,0,0,0)</f>
        <v>0</v>
      </c>
      <c r="AR83" s="28">
        <f>AVERAGE(0,0,0,0)</f>
        <v>0</v>
      </c>
      <c r="AS83" s="28">
        <f>AVERAGE(70,70,70,70)</f>
        <v>70</v>
      </c>
      <c r="AT83" s="28">
        <f>AVERAGE(10,10,10,10)</f>
        <v>10</v>
      </c>
      <c r="AU83" s="28">
        <f t="shared" si="19"/>
        <v>0</v>
      </c>
      <c r="AV83" s="28">
        <f t="shared" si="19"/>
        <v>0</v>
      </c>
      <c r="AW83" s="28">
        <f>AVERAGE(10,10,10,10)</f>
        <v>10</v>
      </c>
      <c r="AX83" s="28">
        <f>AVERAGE(10,10,10,10)</f>
        <v>10</v>
      </c>
      <c r="AY83" s="28">
        <f>AVERAGE(10,10,10,10)</f>
        <v>10</v>
      </c>
      <c r="AZ83" s="33"/>
    </row>
    <row r="84" spans="1:52" ht="14.2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>
        <v>4</v>
      </c>
      <c r="M84" s="26" t="s">
        <v>407</v>
      </c>
      <c r="N84" s="26">
        <v>1</v>
      </c>
      <c r="O84" s="28" t="s">
        <v>407</v>
      </c>
      <c r="P84" s="28" t="s">
        <v>407</v>
      </c>
      <c r="Q84" s="28" t="s">
        <v>407</v>
      </c>
      <c r="R84" s="28" t="s">
        <v>407</v>
      </c>
      <c r="S84" s="28" t="s">
        <v>407</v>
      </c>
      <c r="T84" s="28" t="s">
        <v>407</v>
      </c>
      <c r="U84" s="28" t="s">
        <v>407</v>
      </c>
      <c r="V84" s="28" t="s">
        <v>407</v>
      </c>
      <c r="W84" s="28" t="s">
        <v>407</v>
      </c>
      <c r="X84" s="28">
        <v>212.5</v>
      </c>
      <c r="Y84" s="28">
        <v>7</v>
      </c>
      <c r="Z84" s="28">
        <v>6.93</v>
      </c>
      <c r="AA84" s="28" t="s">
        <v>407</v>
      </c>
      <c r="AB84" s="28" t="s">
        <v>407</v>
      </c>
      <c r="AC84" s="31">
        <v>0</v>
      </c>
      <c r="AD84" s="29">
        <f>AVERAGE(1,1)</f>
        <v>1</v>
      </c>
      <c r="AE84" s="28" t="s">
        <v>407</v>
      </c>
      <c r="AF84" s="29">
        <f>AVERAGE(27)</f>
        <v>27</v>
      </c>
      <c r="AG84" s="28">
        <f>AVERAGE(13,13,13,13)</f>
        <v>13</v>
      </c>
      <c r="AH84" s="28" t="s">
        <v>407</v>
      </c>
      <c r="AI84" s="28">
        <f>AVERAGE(0,0,0,0)</f>
        <v>0</v>
      </c>
      <c r="AJ84" s="28">
        <f>AVERAGE(100,100,100,100)</f>
        <v>100</v>
      </c>
      <c r="AK84" s="28">
        <f t="shared" si="17"/>
        <v>0</v>
      </c>
      <c r="AL84" s="28">
        <f t="shared" si="17"/>
        <v>0</v>
      </c>
      <c r="AM84" s="28">
        <f t="shared" si="17"/>
        <v>0</v>
      </c>
      <c r="AN84" s="28">
        <f t="shared" si="17"/>
        <v>0</v>
      </c>
      <c r="AO84" s="28">
        <f t="shared" si="17"/>
        <v>0</v>
      </c>
      <c r="AP84" s="28">
        <f t="shared" si="17"/>
        <v>0</v>
      </c>
      <c r="AQ84" s="28">
        <f>AVERAGE(15,15,15,15)</f>
        <v>15</v>
      </c>
      <c r="AR84" s="28">
        <f>AVERAGE(15,15,15,15)</f>
        <v>15</v>
      </c>
      <c r="AS84" s="28">
        <f>AVERAGE(0,0,0,0)</f>
        <v>0</v>
      </c>
      <c r="AT84" s="28">
        <f>AVERAGE(0,0,0,0)</f>
        <v>0</v>
      </c>
      <c r="AU84" s="28">
        <f t="shared" si="19"/>
        <v>0</v>
      </c>
      <c r="AV84" s="28">
        <f t="shared" si="19"/>
        <v>0</v>
      </c>
      <c r="AW84" s="28">
        <f t="shared" si="19"/>
        <v>0</v>
      </c>
      <c r="AX84" s="28">
        <f t="shared" si="19"/>
        <v>0</v>
      </c>
      <c r="AY84" s="28">
        <f>AVERAGE(5,5,5,5)</f>
        <v>5</v>
      </c>
      <c r="AZ84" s="33"/>
    </row>
    <row r="85" spans="1:52" ht="14.2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>
        <v>4</v>
      </c>
      <c r="M85" s="26" t="s">
        <v>407</v>
      </c>
      <c r="N85" s="26">
        <v>2</v>
      </c>
      <c r="O85" s="28" t="s">
        <v>407</v>
      </c>
      <c r="P85" s="28" t="s">
        <v>407</v>
      </c>
      <c r="Q85" s="28" t="s">
        <v>407</v>
      </c>
      <c r="R85" s="28" t="s">
        <v>407</v>
      </c>
      <c r="S85" s="28" t="s">
        <v>407</v>
      </c>
      <c r="T85" s="28" t="s">
        <v>407</v>
      </c>
      <c r="U85" s="28" t="s">
        <v>407</v>
      </c>
      <c r="V85" s="28" t="s">
        <v>407</v>
      </c>
      <c r="W85" s="28" t="s">
        <v>407</v>
      </c>
      <c r="X85" s="28">
        <v>141.30000000000001</v>
      </c>
      <c r="Y85" s="28">
        <v>20</v>
      </c>
      <c r="Z85" s="28">
        <v>6.27</v>
      </c>
      <c r="AA85" s="28" t="s">
        <v>407</v>
      </c>
      <c r="AB85" s="28" t="s">
        <v>407</v>
      </c>
      <c r="AC85" s="31">
        <v>0</v>
      </c>
      <c r="AD85" s="29">
        <f>AVERAGE(1,1)</f>
        <v>1</v>
      </c>
      <c r="AE85" s="28">
        <v>1.1000000000000001</v>
      </c>
      <c r="AF85" s="29">
        <f>AVERAGE(20,1.1,21)</f>
        <v>14.033333333333333</v>
      </c>
      <c r="AG85" s="28">
        <f>AVERAGE(19,19,19,19)</f>
        <v>19</v>
      </c>
      <c r="AH85" s="28" t="s">
        <v>407</v>
      </c>
      <c r="AI85" s="28">
        <f t="shared" ref="AI85:AI92" si="20">AVERAGE(100,100,100,100)</f>
        <v>100</v>
      </c>
      <c r="AJ85" s="28">
        <f t="shared" ref="AJ85:AR98" si="21">AVERAGE(0,0,0,0)</f>
        <v>0</v>
      </c>
      <c r="AK85" s="28">
        <f t="shared" si="17"/>
        <v>0</v>
      </c>
      <c r="AL85" s="28">
        <f t="shared" si="17"/>
        <v>0</v>
      </c>
      <c r="AM85" s="28">
        <f t="shared" si="17"/>
        <v>0</v>
      </c>
      <c r="AN85" s="28">
        <f t="shared" si="17"/>
        <v>0</v>
      </c>
      <c r="AO85" s="28">
        <f t="shared" si="17"/>
        <v>0</v>
      </c>
      <c r="AP85" s="28">
        <f t="shared" si="17"/>
        <v>0</v>
      </c>
      <c r="AQ85" s="28">
        <f>AVERAGE(40,40,40,40)</f>
        <v>40</v>
      </c>
      <c r="AR85" s="28">
        <f>AVERAGE(20,20,20,20)</f>
        <v>20</v>
      </c>
      <c r="AS85" s="28">
        <f>AVERAGE(0,0,0,0)</f>
        <v>0</v>
      </c>
      <c r="AT85" s="28">
        <f>AVERAGE(0,0,0,0)</f>
        <v>0</v>
      </c>
      <c r="AU85" s="28">
        <f t="shared" si="19"/>
        <v>0</v>
      </c>
      <c r="AV85" s="28">
        <f t="shared" si="19"/>
        <v>0</v>
      </c>
      <c r="AW85" s="28">
        <f t="shared" si="19"/>
        <v>0</v>
      </c>
      <c r="AX85" s="28">
        <f t="shared" si="19"/>
        <v>0</v>
      </c>
      <c r="AY85" s="28">
        <f>AVERAGE(10,10,10,10)</f>
        <v>10</v>
      </c>
      <c r="AZ85" s="33"/>
    </row>
    <row r="86" spans="1:52" ht="14.2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>
        <v>4</v>
      </c>
      <c r="M86" s="26" t="s">
        <v>407</v>
      </c>
      <c r="N86" s="26">
        <v>3</v>
      </c>
      <c r="O86" s="28" t="s">
        <v>407</v>
      </c>
      <c r="P86" s="28" t="s">
        <v>407</v>
      </c>
      <c r="Q86" s="28" t="s">
        <v>407</v>
      </c>
      <c r="R86" s="28" t="s">
        <v>407</v>
      </c>
      <c r="S86" s="28" t="s">
        <v>407</v>
      </c>
      <c r="T86" s="28" t="s">
        <v>407</v>
      </c>
      <c r="U86" s="28" t="s">
        <v>407</v>
      </c>
      <c r="V86" s="28" t="s">
        <v>407</v>
      </c>
      <c r="W86" s="28" t="s">
        <v>407</v>
      </c>
      <c r="X86" s="28">
        <v>109.3</v>
      </c>
      <c r="Y86" s="28">
        <v>16</v>
      </c>
      <c r="Z86" s="28">
        <v>6.22</v>
      </c>
      <c r="AA86" s="28" t="s">
        <v>407</v>
      </c>
      <c r="AB86" s="28" t="s">
        <v>407</v>
      </c>
      <c r="AC86" s="31">
        <v>0</v>
      </c>
      <c r="AD86" s="29">
        <f>AVERAGE(1,1)</f>
        <v>1</v>
      </c>
      <c r="AE86" s="28" t="s">
        <v>407</v>
      </c>
      <c r="AF86" s="29">
        <f>AVERAGE(34)</f>
        <v>34</v>
      </c>
      <c r="AG86" s="28">
        <f>AVERAGE(12,12,12,12)</f>
        <v>12</v>
      </c>
      <c r="AH86" s="35">
        <v>26.46</v>
      </c>
      <c r="AI86" s="28">
        <f t="shared" si="20"/>
        <v>100</v>
      </c>
      <c r="AJ86" s="28">
        <f t="shared" si="21"/>
        <v>0</v>
      </c>
      <c r="AK86" s="28">
        <f t="shared" si="17"/>
        <v>0</v>
      </c>
      <c r="AL86" s="28">
        <f t="shared" si="17"/>
        <v>0</v>
      </c>
      <c r="AM86" s="28">
        <f t="shared" si="17"/>
        <v>0</v>
      </c>
      <c r="AN86" s="28">
        <f t="shared" si="17"/>
        <v>0</v>
      </c>
      <c r="AO86" s="28">
        <f t="shared" si="17"/>
        <v>0</v>
      </c>
      <c r="AP86" s="28">
        <f t="shared" si="17"/>
        <v>0</v>
      </c>
      <c r="AQ86" s="28">
        <f>AVERAGE(40,40,40,40)</f>
        <v>40</v>
      </c>
      <c r="AR86" s="28">
        <f>AVERAGE(5,5,5,5)</f>
        <v>5</v>
      </c>
      <c r="AS86" s="28">
        <f>AVERAGE(0,0,0,0)</f>
        <v>0</v>
      </c>
      <c r="AT86" s="28">
        <f>AVERAGE(5,5,5,5)</f>
        <v>5</v>
      </c>
      <c r="AU86" s="28">
        <f t="shared" si="19"/>
        <v>0</v>
      </c>
      <c r="AV86" s="28">
        <f t="shared" si="19"/>
        <v>0</v>
      </c>
      <c r="AW86" s="28">
        <f t="shared" si="19"/>
        <v>0</v>
      </c>
      <c r="AX86" s="28">
        <f t="shared" si="19"/>
        <v>0</v>
      </c>
      <c r="AY86" s="28">
        <f>AVERAGE(0,0,0,0)</f>
        <v>0</v>
      </c>
      <c r="AZ86" s="33"/>
    </row>
    <row r="87" spans="1:52" ht="14.2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>
        <v>4</v>
      </c>
      <c r="M87" s="26" t="s">
        <v>407</v>
      </c>
      <c r="N87" s="26">
        <v>1</v>
      </c>
      <c r="O87" s="28" t="s">
        <v>407</v>
      </c>
      <c r="P87" s="28" t="s">
        <v>407</v>
      </c>
      <c r="Q87" s="28" t="s">
        <v>407</v>
      </c>
      <c r="R87" s="28" t="s">
        <v>407</v>
      </c>
      <c r="S87" s="28" t="s">
        <v>407</v>
      </c>
      <c r="T87" s="28" t="s">
        <v>407</v>
      </c>
      <c r="U87" s="28" t="s">
        <v>407</v>
      </c>
      <c r="V87" s="28" t="s">
        <v>407</v>
      </c>
      <c r="W87" s="28" t="s">
        <v>407</v>
      </c>
      <c r="X87" s="28">
        <v>110.9</v>
      </c>
      <c r="Y87" s="28">
        <v>61</v>
      </c>
      <c r="Z87" s="28">
        <v>6.31</v>
      </c>
      <c r="AA87" s="28" t="s">
        <v>407</v>
      </c>
      <c r="AB87" s="28" t="s">
        <v>407</v>
      </c>
      <c r="AC87" s="31">
        <f>1/(AVERAGE(2.33,2.23,2.53,2.31,1.99,3.44,3.79,2.45))</f>
        <v>0.37968675842429994</v>
      </c>
      <c r="AD87" s="29">
        <f>AVERAGE(3,2)</f>
        <v>2.5</v>
      </c>
      <c r="AE87" s="28" t="s">
        <v>407</v>
      </c>
      <c r="AF87" s="29">
        <f>AVERAGE(25)</f>
        <v>25</v>
      </c>
      <c r="AG87" s="28">
        <f>AVERAGE(21,21,21,21)</f>
        <v>21</v>
      </c>
      <c r="AH87" s="30">
        <v>5.8</v>
      </c>
      <c r="AI87" s="28">
        <f t="shared" si="20"/>
        <v>100</v>
      </c>
      <c r="AJ87" s="28">
        <f t="shared" si="21"/>
        <v>0</v>
      </c>
      <c r="AK87" s="28">
        <f t="shared" si="17"/>
        <v>0</v>
      </c>
      <c r="AL87" s="28">
        <f t="shared" si="17"/>
        <v>0</v>
      </c>
      <c r="AM87" s="28">
        <f t="shared" si="17"/>
        <v>0</v>
      </c>
      <c r="AN87" s="28">
        <f t="shared" si="17"/>
        <v>0</v>
      </c>
      <c r="AO87" s="28">
        <f t="shared" si="17"/>
        <v>0</v>
      </c>
      <c r="AP87" s="28">
        <f t="shared" si="17"/>
        <v>0</v>
      </c>
      <c r="AQ87" s="28">
        <f>AVERAGE(10,10,10,10)</f>
        <v>10</v>
      </c>
      <c r="AR87" s="28">
        <f>AVERAGE(10,10,10,10)</f>
        <v>10</v>
      </c>
      <c r="AS87" s="28">
        <f>AVERAGE(25,25,25,25)</f>
        <v>25</v>
      </c>
      <c r="AT87" s="28">
        <f>AVERAGE(0,0,0,0)</f>
        <v>0</v>
      </c>
      <c r="AU87" s="28">
        <f t="shared" si="19"/>
        <v>0</v>
      </c>
      <c r="AV87" s="28">
        <f t="shared" si="19"/>
        <v>0</v>
      </c>
      <c r="AW87" s="28">
        <f>AVERAGE(10,10,10,10)</f>
        <v>10</v>
      </c>
      <c r="AX87" s="28">
        <f>AVERAGE(15,15,15,15)</f>
        <v>15</v>
      </c>
      <c r="AY87" s="28">
        <f>AVERAGE(20,20,20,20)</f>
        <v>20</v>
      </c>
      <c r="AZ87" s="36"/>
    </row>
    <row r="88" spans="1:52" ht="14.2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>
        <v>4</v>
      </c>
      <c r="M88" s="26" t="s">
        <v>407</v>
      </c>
      <c r="N88" s="26">
        <v>2</v>
      </c>
      <c r="O88" s="28" t="s">
        <v>407</v>
      </c>
      <c r="P88" s="28" t="s">
        <v>407</v>
      </c>
      <c r="Q88" s="28" t="s">
        <v>407</v>
      </c>
      <c r="R88" s="28" t="s">
        <v>407</v>
      </c>
      <c r="S88" s="28" t="s">
        <v>407</v>
      </c>
      <c r="T88" s="28" t="s">
        <v>407</v>
      </c>
      <c r="U88" s="28" t="s">
        <v>407</v>
      </c>
      <c r="V88" s="28" t="s">
        <v>407</v>
      </c>
      <c r="W88" s="28" t="s">
        <v>407</v>
      </c>
      <c r="X88" s="28">
        <v>124.9</v>
      </c>
      <c r="Y88" s="28">
        <v>51</v>
      </c>
      <c r="Z88" s="28">
        <v>6.28</v>
      </c>
      <c r="AA88" s="28" t="s">
        <v>407</v>
      </c>
      <c r="AB88" s="28" t="s">
        <v>407</v>
      </c>
      <c r="AC88" s="31">
        <f>1/(AVERAGE(2.05,1.89,2.39,2.13,1.26,2.36,1.47,2.09,2.09))</f>
        <v>0.50761421319796951</v>
      </c>
      <c r="AD88" s="29">
        <f>AVERAGE(4,2)</f>
        <v>3</v>
      </c>
      <c r="AE88" s="28">
        <v>1.07</v>
      </c>
      <c r="AF88" s="29">
        <f>AVERAGE(23,1.07,23)</f>
        <v>15.69</v>
      </c>
      <c r="AG88" s="28">
        <f>AVERAGE(18,18,18,18)</f>
        <v>18</v>
      </c>
      <c r="AH88" s="30">
        <v>4.9000000000000004</v>
      </c>
      <c r="AI88" s="28">
        <f t="shared" si="20"/>
        <v>100</v>
      </c>
      <c r="AJ88" s="28">
        <f t="shared" si="21"/>
        <v>0</v>
      </c>
      <c r="AK88" s="28">
        <f t="shared" si="21"/>
        <v>0</v>
      </c>
      <c r="AL88" s="28">
        <f t="shared" si="21"/>
        <v>0</v>
      </c>
      <c r="AM88" s="28">
        <f t="shared" si="21"/>
        <v>0</v>
      </c>
      <c r="AN88" s="28">
        <f t="shared" si="21"/>
        <v>0</v>
      </c>
      <c r="AO88" s="28">
        <f t="shared" si="21"/>
        <v>0</v>
      </c>
      <c r="AP88" s="28">
        <f t="shared" si="21"/>
        <v>0</v>
      </c>
      <c r="AQ88" s="28">
        <f>AVERAGE(5,5,5,5)</f>
        <v>5</v>
      </c>
      <c r="AR88" s="28">
        <f>AVERAGE(10,10,10,10)</f>
        <v>10</v>
      </c>
      <c r="AS88" s="28">
        <f>AVERAGE(30,30,30,30)</f>
        <v>30</v>
      </c>
      <c r="AT88" s="28">
        <f>AVERAGE(0,0,0,0)</f>
        <v>0</v>
      </c>
      <c r="AU88" s="28">
        <f t="shared" si="19"/>
        <v>0</v>
      </c>
      <c r="AV88" s="28">
        <f t="shared" si="19"/>
        <v>0</v>
      </c>
      <c r="AW88" s="28">
        <f>AVERAGE(15,15,15,15)</f>
        <v>15</v>
      </c>
      <c r="AX88" s="28">
        <f>AVERAGE(20,20,20,20)</f>
        <v>20</v>
      </c>
      <c r="AY88" s="28">
        <f>AVERAGE(5,5,5,5)</f>
        <v>5</v>
      </c>
      <c r="AZ88" s="33"/>
    </row>
    <row r="89" spans="1:52" ht="14.2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>
        <v>4</v>
      </c>
      <c r="M89" s="26" t="s">
        <v>407</v>
      </c>
      <c r="N89" s="26">
        <v>3</v>
      </c>
      <c r="O89" s="28" t="s">
        <v>407</v>
      </c>
      <c r="P89" s="28" t="s">
        <v>407</v>
      </c>
      <c r="Q89" s="28" t="s">
        <v>407</v>
      </c>
      <c r="R89" s="28" t="s">
        <v>407</v>
      </c>
      <c r="S89" s="28" t="s">
        <v>407</v>
      </c>
      <c r="T89" s="28" t="s">
        <v>407</v>
      </c>
      <c r="U89" s="28" t="s">
        <v>407</v>
      </c>
      <c r="V89" s="28" t="s">
        <v>407</v>
      </c>
      <c r="W89" s="28" t="s">
        <v>407</v>
      </c>
      <c r="X89" s="28">
        <v>116.4</v>
      </c>
      <c r="Y89" s="28">
        <v>40</v>
      </c>
      <c r="Z89" s="28">
        <v>6.3</v>
      </c>
      <c r="AA89" s="28" t="s">
        <v>407</v>
      </c>
      <c r="AB89" s="28" t="s">
        <v>407</v>
      </c>
      <c r="AC89" s="31">
        <f>1/(AVERAGE(1.69,3.19,2.54,2.61,2.13,2.03,1.91,3.38,1.97,1.32))</f>
        <v>0.43917435221783052</v>
      </c>
      <c r="AD89" s="29">
        <f>AVERAGE(4,3)</f>
        <v>3.5</v>
      </c>
      <c r="AE89" s="28">
        <v>90</v>
      </c>
      <c r="AF89" s="29">
        <f>AVERAGE(65,90,15)</f>
        <v>56.666666666666664</v>
      </c>
      <c r="AG89" s="28">
        <f>AVERAGE(12,12,12,12)</f>
        <v>12</v>
      </c>
      <c r="AH89" s="30">
        <v>5.8</v>
      </c>
      <c r="AI89" s="28">
        <f t="shared" si="20"/>
        <v>100</v>
      </c>
      <c r="AJ89" s="28">
        <f t="shared" si="21"/>
        <v>0</v>
      </c>
      <c r="AK89" s="28">
        <f t="shared" si="21"/>
        <v>0</v>
      </c>
      <c r="AL89" s="28">
        <f t="shared" si="21"/>
        <v>0</v>
      </c>
      <c r="AM89" s="28">
        <f t="shared" si="21"/>
        <v>0</v>
      </c>
      <c r="AN89" s="28">
        <f t="shared" si="21"/>
        <v>0</v>
      </c>
      <c r="AO89" s="28">
        <f t="shared" si="21"/>
        <v>0</v>
      </c>
      <c r="AP89" s="28">
        <f t="shared" si="21"/>
        <v>0</v>
      </c>
      <c r="AQ89" s="28">
        <f>AVERAGE(5,5,5,5)</f>
        <v>5</v>
      </c>
      <c r="AR89" s="28">
        <f>AVERAGE(15,15,15,15)</f>
        <v>15</v>
      </c>
      <c r="AS89" s="28">
        <f>AVERAGE(15,15,15,15)</f>
        <v>15</v>
      </c>
      <c r="AT89" s="28">
        <f>AVERAGE(0,0,0,0)</f>
        <v>0</v>
      </c>
      <c r="AU89" s="28">
        <f t="shared" si="19"/>
        <v>0</v>
      </c>
      <c r="AV89" s="28">
        <f t="shared" si="19"/>
        <v>0</v>
      </c>
      <c r="AW89" s="28">
        <f>AVERAGE(15,15,15,15)</f>
        <v>15</v>
      </c>
      <c r="AX89" s="28">
        <f>AVERAGE(0,0,0,0)</f>
        <v>0</v>
      </c>
      <c r="AY89" s="28">
        <f>AVERAGE(5,5,5,5)</f>
        <v>5</v>
      </c>
      <c r="AZ89" s="33"/>
    </row>
    <row r="90" spans="1:52" ht="14.2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>
        <v>4</v>
      </c>
      <c r="M90" s="26" t="s">
        <v>407</v>
      </c>
      <c r="N90" s="26">
        <v>1</v>
      </c>
      <c r="O90" s="28" t="s">
        <v>407</v>
      </c>
      <c r="P90" s="28" t="s">
        <v>407</v>
      </c>
      <c r="Q90" s="28" t="s">
        <v>407</v>
      </c>
      <c r="R90" s="28" t="s">
        <v>407</v>
      </c>
      <c r="S90" s="28" t="s">
        <v>407</v>
      </c>
      <c r="T90" s="28" t="s">
        <v>407</v>
      </c>
      <c r="U90" s="28" t="s">
        <v>407</v>
      </c>
      <c r="V90" s="28" t="s">
        <v>407</v>
      </c>
      <c r="W90" s="28" t="s">
        <v>407</v>
      </c>
      <c r="X90" s="28">
        <v>119.5</v>
      </c>
      <c r="Y90" s="28">
        <v>41</v>
      </c>
      <c r="Z90" s="28">
        <v>6.35</v>
      </c>
      <c r="AA90" s="28" t="s">
        <v>407</v>
      </c>
      <c r="AB90" s="28" t="s">
        <v>407</v>
      </c>
      <c r="AC90" s="31">
        <f>1/(AVERAGE(7.9,5.89,9.35,7.29,6.91))</f>
        <v>0.13390465988216388</v>
      </c>
      <c r="AD90" s="29">
        <f>AVERAGE(1,1)</f>
        <v>1</v>
      </c>
      <c r="AE90" s="28">
        <v>81</v>
      </c>
      <c r="AF90" s="29">
        <f>AVERAGE(76,81,21,)</f>
        <v>44.5</v>
      </c>
      <c r="AG90" s="28">
        <f>AVERAGE(23,23,23,23)</f>
        <v>23</v>
      </c>
      <c r="AH90" s="30">
        <v>20.2</v>
      </c>
      <c r="AI90" s="28">
        <f t="shared" si="20"/>
        <v>100</v>
      </c>
      <c r="AJ90" s="28">
        <f t="shared" si="21"/>
        <v>0</v>
      </c>
      <c r="AK90" s="28">
        <f t="shared" si="21"/>
        <v>0</v>
      </c>
      <c r="AL90" s="28">
        <f t="shared" si="21"/>
        <v>0</v>
      </c>
      <c r="AM90" s="28">
        <f t="shared" si="21"/>
        <v>0</v>
      </c>
      <c r="AN90" s="28">
        <f t="shared" si="21"/>
        <v>0</v>
      </c>
      <c r="AO90" s="28">
        <f t="shared" si="21"/>
        <v>0</v>
      </c>
      <c r="AP90" s="28">
        <f>AVERAGE(10,10,10,10)</f>
        <v>10</v>
      </c>
      <c r="AQ90" s="28">
        <f>AVERAGE(10,10,10,10)</f>
        <v>10</v>
      </c>
      <c r="AR90" s="28">
        <f>AVERAGE(20,20,20,20)</f>
        <v>20</v>
      </c>
      <c r="AS90" s="28">
        <f>AVERAGE(0,0,0,0)</f>
        <v>0</v>
      </c>
      <c r="AT90" s="28">
        <f>AVERAGE(0,0,0,0)</f>
        <v>0</v>
      </c>
      <c r="AU90" s="28">
        <f t="shared" si="19"/>
        <v>0</v>
      </c>
      <c r="AV90" s="28">
        <f t="shared" si="19"/>
        <v>0</v>
      </c>
      <c r="AW90" s="28">
        <f>AVERAGE(0,0,0,0)</f>
        <v>0</v>
      </c>
      <c r="AX90" s="28">
        <f>AVERAGE(0,0,0,0)</f>
        <v>0</v>
      </c>
      <c r="AY90" s="28">
        <f>AVERAGE(0,0,0,0)</f>
        <v>0</v>
      </c>
      <c r="AZ90" s="33"/>
    </row>
    <row r="91" spans="1:52" ht="14.2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>
        <v>4</v>
      </c>
      <c r="M91" s="26" t="s">
        <v>407</v>
      </c>
      <c r="N91" s="26">
        <v>2</v>
      </c>
      <c r="O91" s="28" t="s">
        <v>407</v>
      </c>
      <c r="P91" s="28" t="s">
        <v>407</v>
      </c>
      <c r="Q91" s="28" t="s">
        <v>407</v>
      </c>
      <c r="R91" s="28" t="s">
        <v>407</v>
      </c>
      <c r="S91" s="28" t="s">
        <v>407</v>
      </c>
      <c r="T91" s="28" t="s">
        <v>407</v>
      </c>
      <c r="U91" s="28" t="s">
        <v>407</v>
      </c>
      <c r="V91" s="28" t="s">
        <v>407</v>
      </c>
      <c r="W91" s="28" t="s">
        <v>407</v>
      </c>
      <c r="X91" s="28">
        <v>104.9</v>
      </c>
      <c r="Y91" s="28">
        <v>42</v>
      </c>
      <c r="Z91" s="28">
        <v>6.25</v>
      </c>
      <c r="AA91" s="28" t="s">
        <v>407</v>
      </c>
      <c r="AB91" s="28" t="s">
        <v>407</v>
      </c>
      <c r="AC91" s="31">
        <f>1/(AVERAGE(18.18,21.37,15.68,19.07))</f>
        <v>5.3835800807537013E-2</v>
      </c>
      <c r="AD91" s="29">
        <f>AVERAGE(1,1)</f>
        <v>1</v>
      </c>
      <c r="AE91" s="28">
        <v>82</v>
      </c>
      <c r="AF91" s="29">
        <f>AVERAGE(16,82,38)</f>
        <v>45.333333333333336</v>
      </c>
      <c r="AG91" s="28">
        <f>AVERAGE(12,12,12,12)</f>
        <v>12</v>
      </c>
      <c r="AH91" s="30">
        <v>34.6</v>
      </c>
      <c r="AI91" s="28">
        <f t="shared" si="20"/>
        <v>100</v>
      </c>
      <c r="AJ91" s="28">
        <f t="shared" si="21"/>
        <v>0</v>
      </c>
      <c r="AK91" s="28">
        <f t="shared" si="21"/>
        <v>0</v>
      </c>
      <c r="AL91" s="28">
        <f t="shared" si="21"/>
        <v>0</v>
      </c>
      <c r="AM91" s="28">
        <f t="shared" si="21"/>
        <v>0</v>
      </c>
      <c r="AN91" s="28">
        <f t="shared" si="21"/>
        <v>0</v>
      </c>
      <c r="AO91" s="28">
        <f t="shared" si="21"/>
        <v>0</v>
      </c>
      <c r="AP91" s="28">
        <f t="shared" si="21"/>
        <v>0</v>
      </c>
      <c r="AQ91" s="28">
        <f>AVERAGE(5,5,5,5)</f>
        <v>5</v>
      </c>
      <c r="AR91" s="28">
        <f>AVERAGE(10,10,10,10)</f>
        <v>10</v>
      </c>
      <c r="AS91" s="28">
        <f>AVERAGE(50,50,50,50)</f>
        <v>50</v>
      </c>
      <c r="AT91" s="28">
        <f>AVERAGE(10,10,10,10)</f>
        <v>10</v>
      </c>
      <c r="AU91" s="28">
        <f t="shared" si="19"/>
        <v>0</v>
      </c>
      <c r="AV91" s="28">
        <f t="shared" si="19"/>
        <v>0</v>
      </c>
      <c r="AW91" s="28">
        <f>AVERAGE(5,5,5,5)</f>
        <v>5</v>
      </c>
      <c r="AX91" s="28">
        <f>AVERAGE(15,15,15,15)</f>
        <v>15</v>
      </c>
      <c r="AY91" s="28">
        <f>AVERAGE(15,15,15,15)</f>
        <v>15</v>
      </c>
      <c r="AZ91" s="33"/>
    </row>
    <row r="92" spans="1:52" ht="14.2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>
        <v>4</v>
      </c>
      <c r="M92" s="26" t="s">
        <v>407</v>
      </c>
      <c r="N92" s="26">
        <v>3</v>
      </c>
      <c r="O92" s="28" t="s">
        <v>407</v>
      </c>
      <c r="P92" s="28" t="s">
        <v>407</v>
      </c>
      <c r="Q92" s="28" t="s">
        <v>407</v>
      </c>
      <c r="R92" s="28" t="s">
        <v>407</v>
      </c>
      <c r="S92" s="28" t="s">
        <v>407</v>
      </c>
      <c r="T92" s="28" t="s">
        <v>407</v>
      </c>
      <c r="U92" s="28" t="s">
        <v>407</v>
      </c>
      <c r="V92" s="28" t="s">
        <v>407</v>
      </c>
      <c r="W92" s="28" t="s">
        <v>407</v>
      </c>
      <c r="X92" s="28">
        <v>100.8</v>
      </c>
      <c r="Y92" s="28">
        <v>64</v>
      </c>
      <c r="Z92" s="28">
        <v>6.05</v>
      </c>
      <c r="AA92" s="28" t="s">
        <v>407</v>
      </c>
      <c r="AB92" s="28" t="s">
        <v>407</v>
      </c>
      <c r="AC92" s="31">
        <f>1/(AVERAGE(18.18,21.37,15.68,19.07))</f>
        <v>5.3835800807537013E-2</v>
      </c>
      <c r="AD92" s="29">
        <f>AVERAGE(1,1)</f>
        <v>1</v>
      </c>
      <c r="AE92" s="28">
        <v>28</v>
      </c>
      <c r="AF92" s="29">
        <f>AVERAGE(12,28,14)</f>
        <v>18</v>
      </c>
      <c r="AG92" s="28">
        <f>AVERAGE(9,9,9,9)</f>
        <v>9</v>
      </c>
      <c r="AH92" s="30">
        <v>34.6</v>
      </c>
      <c r="AI92" s="28">
        <f t="shared" si="20"/>
        <v>100</v>
      </c>
      <c r="AJ92" s="28">
        <f t="shared" si="21"/>
        <v>0</v>
      </c>
      <c r="AK92" s="28">
        <f t="shared" si="21"/>
        <v>0</v>
      </c>
      <c r="AL92" s="28">
        <f t="shared" si="21"/>
        <v>0</v>
      </c>
      <c r="AM92" s="28">
        <f t="shared" si="21"/>
        <v>0</v>
      </c>
      <c r="AN92" s="28">
        <f t="shared" si="21"/>
        <v>0</v>
      </c>
      <c r="AO92" s="28">
        <f t="shared" si="21"/>
        <v>0</v>
      </c>
      <c r="AP92" s="28">
        <f t="shared" si="21"/>
        <v>0</v>
      </c>
      <c r="AQ92" s="28">
        <f>AVERAGE(5,5,5,5)</f>
        <v>5</v>
      </c>
      <c r="AR92" s="28">
        <f>AVERAGE(10,10,10,10)</f>
        <v>10</v>
      </c>
      <c r="AS92" s="28">
        <f>AVERAGE(70,70,70,70)</f>
        <v>70</v>
      </c>
      <c r="AT92" s="28">
        <f>AVERAGE(10,10,10,10)</f>
        <v>10</v>
      </c>
      <c r="AU92" s="28">
        <f t="shared" si="19"/>
        <v>0</v>
      </c>
      <c r="AV92" s="28">
        <f t="shared" si="19"/>
        <v>0</v>
      </c>
      <c r="AW92" s="28">
        <f>AVERAGE(5,5,5,5)</f>
        <v>5</v>
      </c>
      <c r="AX92" s="28">
        <f>AVERAGE(15,15,15,15)</f>
        <v>15</v>
      </c>
      <c r="AY92" s="28">
        <f>AVERAGE(15,15,15,15)</f>
        <v>15</v>
      </c>
      <c r="AZ92" s="33"/>
    </row>
    <row r="93" spans="1:52" ht="14.2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>
        <v>3</v>
      </c>
      <c r="M93" s="26" t="s">
        <v>407</v>
      </c>
      <c r="N93" s="26">
        <v>1</v>
      </c>
      <c r="O93" s="28" t="s">
        <v>407</v>
      </c>
      <c r="P93" s="28" t="s">
        <v>407</v>
      </c>
      <c r="Q93" s="28" t="s">
        <v>407</v>
      </c>
      <c r="R93" s="28" t="s">
        <v>407</v>
      </c>
      <c r="S93" s="28" t="s">
        <v>407</v>
      </c>
      <c r="T93" s="28" t="s">
        <v>407</v>
      </c>
      <c r="U93" s="28" t="s">
        <v>407</v>
      </c>
      <c r="V93" s="28" t="s">
        <v>407</v>
      </c>
      <c r="W93" s="28" t="s">
        <v>407</v>
      </c>
      <c r="X93" s="35">
        <v>137</v>
      </c>
      <c r="Y93" s="35">
        <v>14</v>
      </c>
      <c r="Z93" s="35">
        <v>6.73</v>
      </c>
      <c r="AA93" s="28" t="s">
        <v>407</v>
      </c>
      <c r="AB93" s="28" t="s">
        <v>407</v>
      </c>
      <c r="AC93" s="31">
        <f>1/(AVERAGE(2.82,2.86,2.42,2.34,3.13,2.45,2.15))</f>
        <v>0.38525041276829941</v>
      </c>
      <c r="AD93" s="29">
        <f>AVERAGE(4,3)</f>
        <v>3.5</v>
      </c>
      <c r="AE93" s="28">
        <v>48</v>
      </c>
      <c r="AF93" s="29">
        <f>AVERAGE(37,48,37)</f>
        <v>40.666666666666664</v>
      </c>
      <c r="AG93" s="28">
        <f>AVERAGE(30,30,30,30)</f>
        <v>30</v>
      </c>
      <c r="AH93" s="30">
        <v>3.3</v>
      </c>
      <c r="AI93" s="28">
        <f>AVERAGE(5,5,5,5)</f>
        <v>5</v>
      </c>
      <c r="AJ93" s="28">
        <f>AVERAGE(95,95,95,95)</f>
        <v>95</v>
      </c>
      <c r="AK93" s="28">
        <f t="shared" si="21"/>
        <v>0</v>
      </c>
      <c r="AL93" s="28">
        <f t="shared" si="21"/>
        <v>0</v>
      </c>
      <c r="AM93" s="28">
        <f t="shared" si="21"/>
        <v>0</v>
      </c>
      <c r="AN93" s="28">
        <f t="shared" si="21"/>
        <v>0</v>
      </c>
      <c r="AO93" s="28">
        <f t="shared" si="21"/>
        <v>0</v>
      </c>
      <c r="AP93" s="28">
        <f t="shared" si="21"/>
        <v>0</v>
      </c>
      <c r="AQ93" s="28">
        <f t="shared" si="21"/>
        <v>0</v>
      </c>
      <c r="AR93" s="28">
        <f t="shared" si="21"/>
        <v>0</v>
      </c>
      <c r="AS93" s="28">
        <f>AVERAGE(70,70,70,70)</f>
        <v>70</v>
      </c>
      <c r="AT93" s="28">
        <f>AVERAGE(5,5,5,5)</f>
        <v>5</v>
      </c>
      <c r="AU93" s="28">
        <f t="shared" si="19"/>
        <v>0</v>
      </c>
      <c r="AV93" s="28">
        <f t="shared" si="19"/>
        <v>0</v>
      </c>
      <c r="AW93" s="28">
        <f>AVERAGE(5,5,5,5)</f>
        <v>5</v>
      </c>
      <c r="AX93" s="28">
        <f t="shared" ref="AX93:AY95" si="22">AVERAGE(0,0,0,0)</f>
        <v>0</v>
      </c>
      <c r="AY93" s="28">
        <f t="shared" si="22"/>
        <v>0</v>
      </c>
      <c r="AZ93" s="33"/>
    </row>
    <row r="94" spans="1:52" ht="14.2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>
        <v>3</v>
      </c>
      <c r="M94" s="26" t="s">
        <v>407</v>
      </c>
      <c r="N94" s="26">
        <v>2</v>
      </c>
      <c r="O94" s="28" t="s">
        <v>407</v>
      </c>
      <c r="P94" s="28" t="s">
        <v>407</v>
      </c>
      <c r="Q94" s="28" t="s">
        <v>407</v>
      </c>
      <c r="R94" s="28" t="s">
        <v>407</v>
      </c>
      <c r="S94" s="28" t="s">
        <v>407</v>
      </c>
      <c r="T94" s="28" t="s">
        <v>407</v>
      </c>
      <c r="U94" s="28" t="s">
        <v>407</v>
      </c>
      <c r="V94" s="28" t="s">
        <v>407</v>
      </c>
      <c r="W94" s="28" t="s">
        <v>407</v>
      </c>
      <c r="X94" s="35">
        <v>126.4</v>
      </c>
      <c r="Y94" s="35">
        <v>12</v>
      </c>
      <c r="Z94" s="35">
        <v>6.43</v>
      </c>
      <c r="AA94" s="28" t="s">
        <v>407</v>
      </c>
      <c r="AB94" s="28" t="s">
        <v>407</v>
      </c>
      <c r="AC94" s="31">
        <f>1/(AVERAGE(2.31,1.88,2.74,2.3,2.34,2.59,2.23))</f>
        <v>0.42708968883465526</v>
      </c>
      <c r="AD94" s="29">
        <f>AVERAGE(3,2)</f>
        <v>2.5</v>
      </c>
      <c r="AE94" s="28">
        <v>74</v>
      </c>
      <c r="AF94" s="29">
        <f>AVERAGE(59,74,59)</f>
        <v>64</v>
      </c>
      <c r="AG94" s="28">
        <f>AVERAGE(53,53,53,53)</f>
        <v>53</v>
      </c>
      <c r="AH94" s="30">
        <v>2.6</v>
      </c>
      <c r="AI94" s="28">
        <f>AVERAGE(0,0,0,0)</f>
        <v>0</v>
      </c>
      <c r="AJ94" s="28">
        <f>AVERAGE(100,100,100,100)</f>
        <v>100</v>
      </c>
      <c r="AK94" s="28">
        <f t="shared" si="21"/>
        <v>0</v>
      </c>
      <c r="AL94" s="28">
        <f t="shared" si="21"/>
        <v>0</v>
      </c>
      <c r="AM94" s="28">
        <f t="shared" si="21"/>
        <v>0</v>
      </c>
      <c r="AN94" s="28">
        <f t="shared" si="21"/>
        <v>0</v>
      </c>
      <c r="AO94" s="28">
        <f t="shared" si="21"/>
        <v>0</v>
      </c>
      <c r="AP94" s="28">
        <f t="shared" si="21"/>
        <v>0</v>
      </c>
      <c r="AQ94" s="28">
        <f t="shared" si="21"/>
        <v>0</v>
      </c>
      <c r="AR94" s="28">
        <f t="shared" si="21"/>
        <v>0</v>
      </c>
      <c r="AS94" s="28">
        <f>AVERAGE(50,50,50,50)</f>
        <v>50</v>
      </c>
      <c r="AT94" s="28">
        <f>AVERAGE(0,0,0,0)</f>
        <v>0</v>
      </c>
      <c r="AU94" s="28">
        <f t="shared" si="19"/>
        <v>0</v>
      </c>
      <c r="AV94" s="28">
        <f t="shared" si="19"/>
        <v>0</v>
      </c>
      <c r="AW94" s="28">
        <f>AVERAGE(10,10,10,10)</f>
        <v>10</v>
      </c>
      <c r="AX94" s="28">
        <f t="shared" si="22"/>
        <v>0</v>
      </c>
      <c r="AY94" s="28">
        <f t="shared" si="22"/>
        <v>0</v>
      </c>
      <c r="AZ94" s="33"/>
    </row>
    <row r="95" spans="1:52" ht="14.2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>
        <v>3</v>
      </c>
      <c r="M95" s="26" t="s">
        <v>407</v>
      </c>
      <c r="N95" s="26">
        <v>3</v>
      </c>
      <c r="O95" s="28" t="s">
        <v>407</v>
      </c>
      <c r="P95" s="28" t="s">
        <v>407</v>
      </c>
      <c r="Q95" s="28" t="s">
        <v>407</v>
      </c>
      <c r="R95" s="28" t="s">
        <v>407</v>
      </c>
      <c r="S95" s="28" t="s">
        <v>407</v>
      </c>
      <c r="T95" s="28" t="s">
        <v>407</v>
      </c>
      <c r="U95" s="28" t="s">
        <v>407</v>
      </c>
      <c r="V95" s="28" t="s">
        <v>407</v>
      </c>
      <c r="W95" s="28" t="s">
        <v>407</v>
      </c>
      <c r="X95" s="35">
        <v>124.8</v>
      </c>
      <c r="Y95" s="35">
        <v>11</v>
      </c>
      <c r="Z95" s="35">
        <v>6.99</v>
      </c>
      <c r="AA95" s="28" t="s">
        <v>407</v>
      </c>
      <c r="AB95" s="28" t="s">
        <v>407</v>
      </c>
      <c r="AC95" s="31">
        <f>1/(AVERAGE(1.95,1.72,1.91,1.51,1.85,1.92,1.7))</f>
        <v>0.55732484076433131</v>
      </c>
      <c r="AD95" s="29">
        <f>AVERAGE(3,2)</f>
        <v>2.5</v>
      </c>
      <c r="AE95" s="28">
        <v>79</v>
      </c>
      <c r="AF95" s="29">
        <f>AVERAGE(54,79,30)</f>
        <v>54.333333333333336</v>
      </c>
      <c r="AG95" s="28">
        <f>AVERAGE(57,57,57,57)</f>
        <v>57</v>
      </c>
      <c r="AH95" s="30">
        <v>1.4</v>
      </c>
      <c r="AI95" s="28">
        <f>AVERAGE(5,5,5,5)</f>
        <v>5</v>
      </c>
      <c r="AJ95" s="28">
        <f>AVERAGE(95,95,95,95)</f>
        <v>95</v>
      </c>
      <c r="AK95" s="28">
        <f t="shared" si="21"/>
        <v>0</v>
      </c>
      <c r="AL95" s="28">
        <f t="shared" si="21"/>
        <v>0</v>
      </c>
      <c r="AM95" s="28">
        <f t="shared" si="21"/>
        <v>0</v>
      </c>
      <c r="AN95" s="28">
        <f t="shared" si="21"/>
        <v>0</v>
      </c>
      <c r="AO95" s="28">
        <f t="shared" si="21"/>
        <v>0</v>
      </c>
      <c r="AP95" s="28">
        <f t="shared" si="21"/>
        <v>0</v>
      </c>
      <c r="AQ95" s="28">
        <f t="shared" si="21"/>
        <v>0</v>
      </c>
      <c r="AR95" s="28">
        <f t="shared" si="21"/>
        <v>0</v>
      </c>
      <c r="AS95" s="28">
        <f>AVERAGE(70,70,70,70)</f>
        <v>70</v>
      </c>
      <c r="AT95" s="28">
        <f>AVERAGE(5,5,5,5)</f>
        <v>5</v>
      </c>
      <c r="AU95" s="28">
        <f t="shared" si="19"/>
        <v>0</v>
      </c>
      <c r="AV95" s="28">
        <f t="shared" si="19"/>
        <v>0</v>
      </c>
      <c r="AW95" s="28">
        <f>AVERAGE(5,5,5,5)</f>
        <v>5</v>
      </c>
      <c r="AX95" s="28">
        <f t="shared" si="22"/>
        <v>0</v>
      </c>
      <c r="AY95" s="28">
        <f t="shared" si="22"/>
        <v>0</v>
      </c>
      <c r="AZ95" s="33"/>
    </row>
    <row r="96" spans="1:52" ht="14.2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>
        <v>4</v>
      </c>
      <c r="M96" s="26" t="s">
        <v>407</v>
      </c>
      <c r="N96" s="26">
        <v>1</v>
      </c>
      <c r="O96" s="28" t="s">
        <v>407</v>
      </c>
      <c r="P96" s="28" t="s">
        <v>407</v>
      </c>
      <c r="Q96" s="28" t="s">
        <v>407</v>
      </c>
      <c r="R96" s="28" t="s">
        <v>407</v>
      </c>
      <c r="S96" s="28" t="s">
        <v>407</v>
      </c>
      <c r="T96" s="28" t="s">
        <v>407</v>
      </c>
      <c r="U96" s="28" t="s">
        <v>407</v>
      </c>
      <c r="V96" s="28" t="s">
        <v>407</v>
      </c>
      <c r="W96" s="28" t="s">
        <v>407</v>
      </c>
      <c r="X96" s="35">
        <v>125.9</v>
      </c>
      <c r="Y96" s="35">
        <v>9</v>
      </c>
      <c r="Z96" s="35">
        <v>6.67</v>
      </c>
      <c r="AA96" s="28" t="s">
        <v>407</v>
      </c>
      <c r="AB96" s="28" t="s">
        <v>407</v>
      </c>
      <c r="AC96" s="31">
        <f>1/(AVERAGE(4.23,4.63,3.6,4.04,3.41,4.48,3.28,5.15,3.28,3.44))</f>
        <v>0.25290844714213456</v>
      </c>
      <c r="AD96" s="29">
        <f>AVERAGE(2,2)</f>
        <v>2</v>
      </c>
      <c r="AE96" s="28">
        <v>98</v>
      </c>
      <c r="AF96" s="29">
        <f>AVERAGE(1,98,54)</f>
        <v>51</v>
      </c>
      <c r="AG96" s="28">
        <f>AVERAGE(57,57,57,57)</f>
        <v>57</v>
      </c>
      <c r="AH96" s="30">
        <v>3.5</v>
      </c>
      <c r="AI96" s="28">
        <f>AVERAGE(5,5,5,5)</f>
        <v>5</v>
      </c>
      <c r="AJ96" s="28">
        <f>AVERAGE(95,95,95,95)</f>
        <v>95</v>
      </c>
      <c r="AK96" s="28">
        <f t="shared" si="21"/>
        <v>0</v>
      </c>
      <c r="AL96" s="28">
        <f t="shared" si="21"/>
        <v>0</v>
      </c>
      <c r="AM96" s="28">
        <f t="shared" si="21"/>
        <v>0</v>
      </c>
      <c r="AN96" s="28">
        <f t="shared" si="21"/>
        <v>0</v>
      </c>
      <c r="AO96" s="28">
        <f t="shared" si="21"/>
        <v>0</v>
      </c>
      <c r="AP96" s="28">
        <f t="shared" si="21"/>
        <v>0</v>
      </c>
      <c r="AQ96" s="28">
        <f>AVERAGE(0,0,0,0)</f>
        <v>0</v>
      </c>
      <c r="AR96" s="28">
        <f>AVERAGE(5,5,5,5)</f>
        <v>5</v>
      </c>
      <c r="AS96" s="28">
        <f>AVERAGE(40,40,40,40)</f>
        <v>40</v>
      </c>
      <c r="AT96" s="28">
        <f>AVERAGE(0,0,0,0)</f>
        <v>0</v>
      </c>
      <c r="AU96" s="28">
        <f t="shared" si="19"/>
        <v>0</v>
      </c>
      <c r="AV96" s="28">
        <f t="shared" si="19"/>
        <v>0</v>
      </c>
      <c r="AW96" s="28">
        <f>AVERAGE(10,10,10,10)</f>
        <v>10</v>
      </c>
      <c r="AX96" s="28">
        <f>AVERAGE(10,10,10,10)</f>
        <v>10</v>
      </c>
      <c r="AY96" s="28">
        <f>AVERAGE(0,0,0,0)</f>
        <v>0</v>
      </c>
      <c r="AZ96" s="33"/>
    </row>
    <row r="97" spans="1:52" ht="14.2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>
        <v>4</v>
      </c>
      <c r="M97" s="26" t="s">
        <v>407</v>
      </c>
      <c r="N97" s="26">
        <v>2</v>
      </c>
      <c r="O97" s="28" t="s">
        <v>407</v>
      </c>
      <c r="P97" s="28" t="s">
        <v>407</v>
      </c>
      <c r="Q97" s="28" t="s">
        <v>407</v>
      </c>
      <c r="R97" s="28" t="s">
        <v>407</v>
      </c>
      <c r="S97" s="28" t="s">
        <v>407</v>
      </c>
      <c r="T97" s="28" t="s">
        <v>407</v>
      </c>
      <c r="U97" s="28" t="s">
        <v>407</v>
      </c>
      <c r="V97" s="28" t="s">
        <v>407</v>
      </c>
      <c r="W97" s="28" t="s">
        <v>407</v>
      </c>
      <c r="X97" s="35">
        <v>139.6</v>
      </c>
      <c r="Y97" s="35">
        <v>8</v>
      </c>
      <c r="Z97" s="35">
        <v>7.45</v>
      </c>
      <c r="AA97" s="28" t="s">
        <v>407</v>
      </c>
      <c r="AB97" s="28" t="s">
        <v>407</v>
      </c>
      <c r="AC97" s="31">
        <f>1/(AVERAGE(3.85,4.75,3.66,3.62,4.02,2.14,3.54,3.32,2.45,3.28))</f>
        <v>0.28876696505919724</v>
      </c>
      <c r="AD97" s="29">
        <f>AVERAGE(2,2)</f>
        <v>2</v>
      </c>
      <c r="AE97" s="27">
        <v>77</v>
      </c>
      <c r="AF97" s="29">
        <f>AVERAGE(56,77,56)</f>
        <v>63</v>
      </c>
      <c r="AG97" s="28">
        <f>AVERAGE(35,35,35,35)</f>
        <v>35</v>
      </c>
      <c r="AH97" s="30">
        <v>2.4</v>
      </c>
      <c r="AI97" s="28">
        <f>AVERAGE(5,5,5,5)</f>
        <v>5</v>
      </c>
      <c r="AJ97" s="28">
        <f>AVERAGE(95,95,95,95)</f>
        <v>95</v>
      </c>
      <c r="AK97" s="28">
        <f t="shared" si="21"/>
        <v>0</v>
      </c>
      <c r="AL97" s="28">
        <f t="shared" si="21"/>
        <v>0</v>
      </c>
      <c r="AM97" s="28">
        <f t="shared" si="21"/>
        <v>0</v>
      </c>
      <c r="AN97" s="28">
        <f t="shared" si="21"/>
        <v>0</v>
      </c>
      <c r="AO97" s="28">
        <f t="shared" si="21"/>
        <v>0</v>
      </c>
      <c r="AP97" s="28">
        <f t="shared" si="21"/>
        <v>0</v>
      </c>
      <c r="AQ97" s="28">
        <f>AVERAGE(0,0,0,0)</f>
        <v>0</v>
      </c>
      <c r="AR97" s="28">
        <f>AVERAGE(0,0,0,0)</f>
        <v>0</v>
      </c>
      <c r="AS97" s="28">
        <f>AVERAGE(80,80,80,80)</f>
        <v>80</v>
      </c>
      <c r="AT97" s="28">
        <f>AVERAGE(5,5,5,5)</f>
        <v>5</v>
      </c>
      <c r="AU97" s="28">
        <f t="shared" si="19"/>
        <v>0</v>
      </c>
      <c r="AV97" s="28">
        <f t="shared" si="19"/>
        <v>0</v>
      </c>
      <c r="AW97" s="28">
        <f>AVERAGE(15,15,15,15)</f>
        <v>15</v>
      </c>
      <c r="AX97" s="28">
        <f>AVERAGE(5,5,5,5)</f>
        <v>5</v>
      </c>
      <c r="AY97" s="28">
        <f>AVERAGE(0,0,0,0)</f>
        <v>0</v>
      </c>
      <c r="AZ97" s="33"/>
    </row>
    <row r="98" spans="1:52" ht="14.2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>
        <v>4</v>
      </c>
      <c r="M98" s="26" t="s">
        <v>407</v>
      </c>
      <c r="N98" s="26">
        <v>3</v>
      </c>
      <c r="O98" s="28" t="s">
        <v>407</v>
      </c>
      <c r="P98" s="28" t="s">
        <v>407</v>
      </c>
      <c r="Q98" s="28" t="s">
        <v>407</v>
      </c>
      <c r="R98" s="28" t="s">
        <v>407</v>
      </c>
      <c r="S98" s="28" t="s">
        <v>407</v>
      </c>
      <c r="T98" s="28" t="s">
        <v>407</v>
      </c>
      <c r="U98" s="28" t="s">
        <v>407</v>
      </c>
      <c r="V98" s="28" t="s">
        <v>407</v>
      </c>
      <c r="W98" s="28" t="s">
        <v>407</v>
      </c>
      <c r="X98" s="35">
        <v>136.80000000000001</v>
      </c>
      <c r="Y98" s="35">
        <v>13</v>
      </c>
      <c r="Z98" s="35">
        <v>7.19</v>
      </c>
      <c r="AA98" s="28" t="s">
        <v>407</v>
      </c>
      <c r="AB98" s="28" t="s">
        <v>407</v>
      </c>
      <c r="AC98" s="31">
        <f>1/(AVERAGE(2.69,2.55,2.81,2.12,3.11,3.16,2.48))</f>
        <v>0.36997885835095129</v>
      </c>
      <c r="AD98" s="29">
        <f>AVERAGE(3,3)</f>
        <v>3</v>
      </c>
      <c r="AE98" s="27">
        <v>55</v>
      </c>
      <c r="AF98" s="29">
        <f>AVERAGE(37,55,37)</f>
        <v>43</v>
      </c>
      <c r="AG98" s="28">
        <f>AVERAGE(20,20,20,20)</f>
        <v>20</v>
      </c>
      <c r="AH98" s="30">
        <v>2.9</v>
      </c>
      <c r="AI98" s="28">
        <f>AVERAGE(90,90,90,90)</f>
        <v>90</v>
      </c>
      <c r="AJ98" s="28">
        <f>AVERAGE(10,10,10,10)</f>
        <v>10</v>
      </c>
      <c r="AK98" s="28">
        <f t="shared" si="21"/>
        <v>0</v>
      </c>
      <c r="AL98" s="28">
        <f t="shared" si="21"/>
        <v>0</v>
      </c>
      <c r="AM98" s="28">
        <f t="shared" si="21"/>
        <v>0</v>
      </c>
      <c r="AN98" s="28">
        <f t="shared" si="21"/>
        <v>0</v>
      </c>
      <c r="AO98" s="28">
        <f t="shared" si="21"/>
        <v>0</v>
      </c>
      <c r="AP98" s="28">
        <f t="shared" si="21"/>
        <v>0</v>
      </c>
      <c r="AQ98" s="28">
        <f>AVERAGE(0,0,0,0)</f>
        <v>0</v>
      </c>
      <c r="AR98" s="28">
        <f>AVERAGE(0,0,0,0)</f>
        <v>0</v>
      </c>
      <c r="AS98" s="28">
        <f>AVERAGE(80,80,80,80)</f>
        <v>80</v>
      </c>
      <c r="AT98" s="28">
        <f>AVERAGE(0,0,0,0)</f>
        <v>0</v>
      </c>
      <c r="AU98" s="28">
        <f t="shared" si="19"/>
        <v>0</v>
      </c>
      <c r="AV98" s="28">
        <f t="shared" si="19"/>
        <v>0</v>
      </c>
      <c r="AW98" s="28">
        <f>AVERAGE(15,15,15,15)</f>
        <v>15</v>
      </c>
      <c r="AX98" s="28">
        <f>AVERAGE(15,15,15,15)</f>
        <v>15</v>
      </c>
      <c r="AY98" s="28">
        <f>AVERAGE(0,0,0,0)</f>
        <v>0</v>
      </c>
      <c r="AZ98" s="33"/>
    </row>
    <row r="99" spans="1:52" ht="14.2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3"/>
    </row>
    <row r="100" spans="1:52" ht="14.2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3"/>
    </row>
    <row r="101" spans="1:52" ht="14.2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3"/>
    </row>
    <row r="102" spans="1:52" ht="14.2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3"/>
    </row>
    <row r="103" spans="1:52" ht="14.2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3"/>
    </row>
    <row r="104" spans="1:52" ht="14.2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3"/>
    </row>
    <row r="105" spans="1:52" ht="14.2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3"/>
    </row>
    <row r="106" spans="1:52" ht="14.2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3"/>
    </row>
    <row r="107" spans="1:52" ht="14.2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3"/>
    </row>
    <row r="108" spans="1:52" ht="14.2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3"/>
    </row>
    <row r="109" spans="1:52" ht="14.2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3"/>
    </row>
    <row r="110" spans="1:52" ht="14.2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3"/>
    </row>
    <row r="111" spans="1:52" ht="14.2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3"/>
    </row>
    <row r="112" spans="1:52" ht="14.2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3"/>
    </row>
    <row r="113" spans="1:52" ht="14.2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3"/>
    </row>
    <row r="114" spans="1:52" ht="14.2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3"/>
    </row>
    <row r="115" spans="1:52" ht="14.2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3"/>
    </row>
    <row r="116" spans="1:52" ht="14.2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3"/>
    </row>
    <row r="117" spans="1:52" ht="14.2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3"/>
    </row>
    <row r="118" spans="1:52" ht="14.2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3"/>
    </row>
    <row r="119" spans="1:52" ht="14.2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3"/>
    </row>
    <row r="120" spans="1:52" ht="14.2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3"/>
    </row>
    <row r="121" spans="1:52" ht="14.2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3"/>
    </row>
    <row r="122" spans="1:52" ht="14.2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3"/>
    </row>
    <row r="123" spans="1:52" ht="14.2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3"/>
    </row>
    <row r="124" spans="1:52" ht="14.2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3"/>
    </row>
    <row r="125" spans="1:52" ht="14.2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3"/>
    </row>
    <row r="126" spans="1:52" ht="14.2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3"/>
    </row>
    <row r="127" spans="1:52" ht="14.2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3"/>
    </row>
    <row r="128" spans="1:52" ht="14.2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3"/>
    </row>
    <row r="129" spans="1:52" ht="14.2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3"/>
    </row>
    <row r="130" spans="1:52" ht="14.2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3"/>
    </row>
    <row r="131" spans="1:52" ht="14.2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3"/>
    </row>
    <row r="132" spans="1:52" ht="14.2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3"/>
    </row>
    <row r="133" spans="1:52" ht="14.2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3"/>
    </row>
    <row r="134" spans="1:52" ht="14.2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3"/>
    </row>
    <row r="135" spans="1:52" ht="14.2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3"/>
    </row>
    <row r="136" spans="1:52" ht="14.2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3"/>
    </row>
    <row r="137" spans="1:52" ht="14.2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3"/>
    </row>
    <row r="138" spans="1:52" ht="14.2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3"/>
    </row>
    <row r="139" spans="1:52" ht="14.2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3"/>
    </row>
    <row r="140" spans="1:52" ht="14.2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3"/>
    </row>
    <row r="141" spans="1:52" ht="14.2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3"/>
    </row>
    <row r="142" spans="1:52" ht="14.2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3"/>
    </row>
    <row r="143" spans="1:52" ht="14.2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3"/>
    </row>
    <row r="144" spans="1:52" ht="14.2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3"/>
    </row>
    <row r="145" spans="1:52" ht="14.2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3"/>
    </row>
    <row r="146" spans="1:52" ht="14.2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3"/>
    </row>
    <row r="147" spans="1:52" ht="14.2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3"/>
    </row>
    <row r="148" spans="1:52" ht="14.2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3"/>
    </row>
    <row r="149" spans="1:52" ht="14.2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3"/>
    </row>
    <row r="150" spans="1:52" ht="14.2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3"/>
    </row>
    <row r="151" spans="1:52" ht="14.2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3"/>
    </row>
    <row r="152" spans="1:52" ht="14.2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3"/>
    </row>
    <row r="153" spans="1:52" ht="14.2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3"/>
    </row>
    <row r="154" spans="1:52" ht="14.2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3"/>
    </row>
    <row r="155" spans="1:52" ht="14.2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3"/>
    </row>
    <row r="156" spans="1:52" ht="14.2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3"/>
    </row>
    <row r="157" spans="1:52" ht="14.2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3"/>
    </row>
    <row r="158" spans="1:52" ht="14.2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3"/>
    </row>
    <row r="159" spans="1:52" ht="14.2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3"/>
    </row>
    <row r="160" spans="1:52" ht="14.2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3"/>
    </row>
    <row r="161" spans="1:52" ht="14.2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3"/>
    </row>
    <row r="162" spans="1:52" ht="14.2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3"/>
    </row>
    <row r="163" spans="1:52" ht="14.2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3"/>
    </row>
    <row r="164" spans="1:52" ht="14.2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3"/>
    </row>
    <row r="165" spans="1:52" ht="14.2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3"/>
    </row>
    <row r="166" spans="1:52" ht="14.2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3"/>
    </row>
    <row r="167" spans="1:52" ht="14.2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3"/>
    </row>
    <row r="168" spans="1:52" ht="14.2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3"/>
    </row>
    <row r="169" spans="1:52" ht="14.2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3"/>
    </row>
    <row r="170" spans="1:52" ht="14.2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3"/>
    </row>
    <row r="171" spans="1:52" ht="14.2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3"/>
    </row>
    <row r="172" spans="1:52" ht="14.2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3"/>
    </row>
    <row r="173" spans="1:52" ht="14.2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3"/>
    </row>
    <row r="174" spans="1:52" ht="14.2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3"/>
    </row>
    <row r="175" spans="1:52" ht="14.2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3"/>
    </row>
    <row r="176" spans="1:52" ht="14.2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3"/>
    </row>
    <row r="177" spans="1:52" ht="14.2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3"/>
    </row>
    <row r="178" spans="1:52" ht="14.2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3"/>
    </row>
    <row r="179" spans="1:52" ht="14.2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3"/>
    </row>
    <row r="180" spans="1:52" ht="14.2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3"/>
    </row>
    <row r="181" spans="1:52" ht="14.2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3"/>
    </row>
    <row r="182" spans="1:52" ht="14.2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3"/>
    </row>
    <row r="183" spans="1:52" ht="14.2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3"/>
    </row>
    <row r="184" spans="1:52" ht="14.2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3"/>
    </row>
    <row r="185" spans="1:52" ht="14.2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3"/>
    </row>
    <row r="186" spans="1:52" ht="14.2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3"/>
    </row>
    <row r="187" spans="1:52" ht="14.2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3"/>
    </row>
    <row r="188" spans="1:52" ht="14.2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3"/>
    </row>
    <row r="189" spans="1:52" ht="14.2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3"/>
    </row>
    <row r="190" spans="1:52" ht="14.2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3"/>
    </row>
    <row r="191" spans="1:52" ht="14.2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3"/>
    </row>
    <row r="192" spans="1:52" ht="14.2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3"/>
    </row>
    <row r="193" spans="1:52" ht="14.2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3"/>
    </row>
    <row r="194" spans="1:52" ht="14.2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3"/>
    </row>
    <row r="195" spans="1:52" ht="14.2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3"/>
    </row>
    <row r="196" spans="1:52" ht="14.2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3"/>
    </row>
    <row r="197" spans="1:52" ht="14.2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3"/>
    </row>
    <row r="198" spans="1:52" ht="14.2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3"/>
    </row>
    <row r="199" spans="1:52" ht="14.2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3"/>
    </row>
    <row r="200" spans="1:52" ht="14.2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3"/>
    </row>
    <row r="201" spans="1:52" ht="14.2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3"/>
    </row>
    <row r="202" spans="1:52" ht="14.2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3"/>
    </row>
    <row r="203" spans="1:52" ht="14.2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3"/>
    </row>
    <row r="204" spans="1:52" ht="14.2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3"/>
    </row>
    <row r="205" spans="1:52" ht="14.2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3"/>
    </row>
    <row r="206" spans="1:52" ht="14.2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3"/>
    </row>
    <row r="207" spans="1:52" ht="14.2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3"/>
    </row>
    <row r="208" spans="1:52" ht="14.2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3"/>
    </row>
    <row r="209" spans="1:52" ht="14.2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3"/>
    </row>
    <row r="210" spans="1:52" ht="14.2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3"/>
    </row>
    <row r="211" spans="1:52" ht="14.2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3"/>
    </row>
    <row r="212" spans="1:52" ht="14.2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3"/>
    </row>
    <row r="213" spans="1:52" ht="14.2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3"/>
    </row>
    <row r="214" spans="1:52" ht="14.2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3"/>
    </row>
    <row r="215" spans="1:52" ht="14.2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3"/>
    </row>
    <row r="216" spans="1:52" ht="14.2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3"/>
    </row>
    <row r="217" spans="1:52" ht="14.2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3"/>
    </row>
    <row r="218" spans="1:52" ht="14.2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3"/>
    </row>
    <row r="219" spans="1:52" ht="14.2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3"/>
    </row>
    <row r="220" spans="1:52" ht="14.2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3"/>
    </row>
    <row r="221" spans="1:52" ht="14.2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3"/>
    </row>
    <row r="222" spans="1:52" ht="14.2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3"/>
    </row>
    <row r="223" spans="1:52" ht="14.2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3"/>
    </row>
    <row r="224" spans="1:52" ht="14.2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3"/>
    </row>
    <row r="225" spans="1:52" ht="14.2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3"/>
    </row>
    <row r="226" spans="1:52" ht="14.2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3"/>
    </row>
    <row r="227" spans="1:52" ht="14.2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3"/>
    </row>
    <row r="228" spans="1:52" ht="14.2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3"/>
    </row>
    <row r="229" spans="1:52" ht="14.2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3"/>
    </row>
    <row r="230" spans="1:52" ht="14.2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3"/>
    </row>
    <row r="231" spans="1:52" ht="14.2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3"/>
    </row>
    <row r="232" spans="1:52" ht="14.2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3"/>
    </row>
    <row r="233" spans="1:52" ht="14.2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3"/>
    </row>
    <row r="234" spans="1:52" ht="14.2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3"/>
    </row>
    <row r="235" spans="1:52" ht="14.2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3"/>
    </row>
    <row r="236" spans="1:52" ht="14.2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3"/>
    </row>
    <row r="237" spans="1:52" ht="14.2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3"/>
    </row>
    <row r="238" spans="1:52" ht="14.2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3"/>
    </row>
    <row r="239" spans="1:52" ht="14.2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3"/>
    </row>
    <row r="240" spans="1:52" ht="14.2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3"/>
    </row>
    <row r="241" spans="1:52" ht="14.2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3"/>
    </row>
    <row r="242" spans="1:52" ht="14.2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3"/>
    </row>
    <row r="243" spans="1:52" ht="14.2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3"/>
    </row>
    <row r="244" spans="1:52" ht="14.2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3"/>
    </row>
    <row r="245" spans="1:52" ht="14.2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3"/>
    </row>
    <row r="246" spans="1:52" ht="14.2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3"/>
    </row>
    <row r="247" spans="1:52" ht="14.2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3"/>
    </row>
    <row r="248" spans="1:52" ht="14.2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3"/>
    </row>
    <row r="249" spans="1:52" ht="14.2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3"/>
    </row>
    <row r="250" spans="1:52" ht="14.2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3"/>
    </row>
    <row r="251" spans="1:52" ht="14.2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3"/>
    </row>
    <row r="252" spans="1:52" ht="14.2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3"/>
    </row>
    <row r="253" spans="1:52" ht="14.2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3"/>
    </row>
    <row r="254" spans="1:52" ht="14.2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3"/>
    </row>
    <row r="255" spans="1:52" ht="14.2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3"/>
    </row>
    <row r="256" spans="1:52" ht="14.2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3"/>
    </row>
    <row r="257" spans="1:52" ht="14.2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3"/>
    </row>
    <row r="258" spans="1:52" ht="14.2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3"/>
    </row>
    <row r="259" spans="1:52" ht="14.2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3"/>
    </row>
    <row r="260" spans="1:52" ht="14.2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3"/>
    </row>
    <row r="261" spans="1:52" ht="14.2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3"/>
    </row>
    <row r="262" spans="1:52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3"/>
    </row>
    <row r="263" spans="1:52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3"/>
    </row>
    <row r="264" spans="1:52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3"/>
    </row>
    <row r="265" spans="1:52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3"/>
    </row>
    <row r="266" spans="1:52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3"/>
    </row>
    <row r="267" spans="1:52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3"/>
    </row>
    <row r="268" spans="1:52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3"/>
    </row>
    <row r="269" spans="1:52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3"/>
    </row>
    <row r="270" spans="1:52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3"/>
    </row>
    <row r="271" spans="1:52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3"/>
    </row>
    <row r="272" spans="1:52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3"/>
    </row>
    <row r="273" spans="1:52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3"/>
    </row>
    <row r="274" spans="1:52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3"/>
    </row>
    <row r="275" spans="1:52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3"/>
    </row>
    <row r="276" spans="1:52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3"/>
    </row>
    <row r="277" spans="1:52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3"/>
    </row>
    <row r="278" spans="1:52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3"/>
    </row>
    <row r="279" spans="1:52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3"/>
    </row>
    <row r="280" spans="1:52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3"/>
    </row>
    <row r="281" spans="1:52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3"/>
    </row>
    <row r="282" spans="1:52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3"/>
    </row>
    <row r="283" spans="1:52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3"/>
    </row>
    <row r="284" spans="1:52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3"/>
    </row>
    <row r="285" spans="1:52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3"/>
    </row>
    <row r="286" spans="1:52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3"/>
    </row>
    <row r="287" spans="1:52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3"/>
    </row>
    <row r="288" spans="1:52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3"/>
    </row>
    <row r="289" spans="1:52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3"/>
    </row>
    <row r="290" spans="1:52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3"/>
    </row>
    <row r="291" spans="1:52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3"/>
    </row>
    <row r="292" spans="1:52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3"/>
    </row>
    <row r="293" spans="1:52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3"/>
    </row>
    <row r="294" spans="1:52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3"/>
    </row>
    <row r="295" spans="1:52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3"/>
    </row>
    <row r="296" spans="1:52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3"/>
    </row>
    <row r="297" spans="1:52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3"/>
    </row>
    <row r="298" spans="1:52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3"/>
    </row>
    <row r="299" spans="1:52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3"/>
    </row>
    <row r="300" spans="1:52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3"/>
    </row>
    <row r="301" spans="1:52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3"/>
    </row>
    <row r="302" spans="1:52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3"/>
    </row>
    <row r="303" spans="1:52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3"/>
    </row>
    <row r="304" spans="1:52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3"/>
    </row>
    <row r="305" spans="1:52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3"/>
    </row>
    <row r="306" spans="1:52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3"/>
    </row>
    <row r="307" spans="1:52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3"/>
    </row>
    <row r="308" spans="1:52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3"/>
    </row>
    <row r="309" spans="1:52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3"/>
    </row>
    <row r="310" spans="1:52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3"/>
    </row>
    <row r="311" spans="1:52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3"/>
    </row>
    <row r="312" spans="1:52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3"/>
    </row>
    <row r="313" spans="1:52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3"/>
    </row>
    <row r="314" spans="1:52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3"/>
    </row>
    <row r="315" spans="1:52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3"/>
    </row>
    <row r="316" spans="1:52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3"/>
    </row>
    <row r="317" spans="1:52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3"/>
    </row>
    <row r="318" spans="1:52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3"/>
    </row>
    <row r="319" spans="1:52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3"/>
    </row>
    <row r="320" spans="1:52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3"/>
    </row>
    <row r="321" spans="1:52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3"/>
    </row>
    <row r="322" spans="1:52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3"/>
    </row>
    <row r="323" spans="1:52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3"/>
    </row>
    <row r="324" spans="1:52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3"/>
    </row>
    <row r="325" spans="1:52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3"/>
    </row>
    <row r="326" spans="1:52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3"/>
    </row>
    <row r="327" spans="1:52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3"/>
    </row>
    <row r="328" spans="1:52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3"/>
    </row>
    <row r="329" spans="1:52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3"/>
    </row>
    <row r="330" spans="1:52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3"/>
    </row>
    <row r="331" spans="1:52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3"/>
    </row>
    <row r="332" spans="1:52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3"/>
    </row>
    <row r="333" spans="1:52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3"/>
    </row>
    <row r="334" spans="1:52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3"/>
    </row>
    <row r="335" spans="1:52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3"/>
    </row>
    <row r="336" spans="1:52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3"/>
    </row>
    <row r="337" spans="1:52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3"/>
    </row>
    <row r="338" spans="1:52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3"/>
    </row>
    <row r="339" spans="1:52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3"/>
    </row>
    <row r="340" spans="1:52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3"/>
    </row>
    <row r="341" spans="1:52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3"/>
    </row>
    <row r="342" spans="1:52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3"/>
    </row>
    <row r="343" spans="1:52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3"/>
    </row>
    <row r="344" spans="1:52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3"/>
    </row>
    <row r="345" spans="1:52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3"/>
    </row>
    <row r="346" spans="1:52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3"/>
    </row>
    <row r="347" spans="1:52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3"/>
    </row>
    <row r="348" spans="1:52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3"/>
    </row>
    <row r="349" spans="1:52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3"/>
    </row>
    <row r="350" spans="1:52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3"/>
    </row>
    <row r="351" spans="1:52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3"/>
    </row>
    <row r="352" spans="1:52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3"/>
    </row>
    <row r="353" spans="1:52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3"/>
    </row>
    <row r="354" spans="1:52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3"/>
    </row>
    <row r="355" spans="1:52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3"/>
    </row>
    <row r="356" spans="1:52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3"/>
    </row>
    <row r="357" spans="1:52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3"/>
    </row>
    <row r="358" spans="1:52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3"/>
    </row>
    <row r="359" spans="1:52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3"/>
    </row>
    <row r="360" spans="1:52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3"/>
    </row>
    <row r="361" spans="1:52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3"/>
    </row>
    <row r="362" spans="1:52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3"/>
    </row>
    <row r="363" spans="1:52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3"/>
    </row>
    <row r="364" spans="1:52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3"/>
    </row>
    <row r="365" spans="1:52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3"/>
    </row>
    <row r="366" spans="1:52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3"/>
    </row>
    <row r="367" spans="1:52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3"/>
    </row>
    <row r="368" spans="1:52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3"/>
    </row>
    <row r="369" spans="1:52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3"/>
    </row>
    <row r="370" spans="1:52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3"/>
    </row>
    <row r="371" spans="1:52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3"/>
    </row>
    <row r="372" spans="1:52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3"/>
    </row>
    <row r="373" spans="1:52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3"/>
    </row>
    <row r="374" spans="1:52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3"/>
    </row>
    <row r="375" spans="1:52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3"/>
    </row>
    <row r="376" spans="1:52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3"/>
    </row>
    <row r="377" spans="1:52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3"/>
    </row>
    <row r="378" spans="1:52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3"/>
    </row>
    <row r="379" spans="1:52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3"/>
    </row>
    <row r="380" spans="1:52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3"/>
    </row>
    <row r="381" spans="1:52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3"/>
    </row>
    <row r="382" spans="1:52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3"/>
    </row>
    <row r="383" spans="1:52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3"/>
    </row>
    <row r="384" spans="1:52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3"/>
    </row>
    <row r="385" spans="1:52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3"/>
    </row>
    <row r="386" spans="1:52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3"/>
    </row>
    <row r="387" spans="1:52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3"/>
    </row>
    <row r="388" spans="1:52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3"/>
    </row>
    <row r="389" spans="1:52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3"/>
    </row>
    <row r="390" spans="1:52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3"/>
    </row>
    <row r="391" spans="1:52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3"/>
    </row>
    <row r="392" spans="1:52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3"/>
    </row>
    <row r="393" spans="1:52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3"/>
    </row>
    <row r="394" spans="1:52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3"/>
    </row>
    <row r="395" spans="1:52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3"/>
    </row>
    <row r="396" spans="1:52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3"/>
    </row>
    <row r="397" spans="1:52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3"/>
    </row>
    <row r="398" spans="1:52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3"/>
    </row>
    <row r="399" spans="1:52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3"/>
    </row>
    <row r="400" spans="1:52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3"/>
    </row>
    <row r="401" spans="1:52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3"/>
    </row>
    <row r="402" spans="1:52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3"/>
    </row>
    <row r="403" spans="1:52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3"/>
    </row>
    <row r="404" spans="1:52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3"/>
    </row>
    <row r="405" spans="1:52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3"/>
    </row>
    <row r="406" spans="1:52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3"/>
    </row>
    <row r="407" spans="1:52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3"/>
    </row>
    <row r="408" spans="1:52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3"/>
    </row>
    <row r="409" spans="1:52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3"/>
    </row>
    <row r="410" spans="1:52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3"/>
    </row>
    <row r="411" spans="1:52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3"/>
    </row>
    <row r="412" spans="1:52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3"/>
    </row>
    <row r="413" spans="1:52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3"/>
    </row>
    <row r="414" spans="1:52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3"/>
    </row>
    <row r="415" spans="1:52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3"/>
    </row>
    <row r="416" spans="1:52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3"/>
    </row>
    <row r="417" spans="1:52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3"/>
    </row>
    <row r="418" spans="1:52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3"/>
    </row>
    <row r="419" spans="1:52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3"/>
    </row>
    <row r="420" spans="1:52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3"/>
    </row>
    <row r="421" spans="1:52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3"/>
    </row>
    <row r="422" spans="1:52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3"/>
    </row>
    <row r="423" spans="1:52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3"/>
    </row>
    <row r="424" spans="1:52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3"/>
    </row>
    <row r="425" spans="1:52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3"/>
    </row>
    <row r="426" spans="1:52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3"/>
    </row>
    <row r="427" spans="1:52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3"/>
    </row>
    <row r="428" spans="1:52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3"/>
    </row>
    <row r="429" spans="1:52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3"/>
    </row>
    <row r="430" spans="1:52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3"/>
    </row>
    <row r="431" spans="1:52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3"/>
    </row>
    <row r="432" spans="1:52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3"/>
    </row>
    <row r="433" spans="1:52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3"/>
    </row>
    <row r="434" spans="1:52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3"/>
    </row>
    <row r="435" spans="1:52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3"/>
    </row>
    <row r="436" spans="1:52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3"/>
    </row>
    <row r="437" spans="1:52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3"/>
    </row>
    <row r="438" spans="1:52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3"/>
    </row>
    <row r="439" spans="1:52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3"/>
    </row>
    <row r="440" spans="1:52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3"/>
    </row>
    <row r="441" spans="1:52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3"/>
    </row>
    <row r="442" spans="1:52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3"/>
    </row>
    <row r="443" spans="1:52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3"/>
    </row>
    <row r="444" spans="1:52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3"/>
    </row>
    <row r="445" spans="1:52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3"/>
    </row>
    <row r="446" spans="1:52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3"/>
    </row>
    <row r="447" spans="1:52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3"/>
    </row>
    <row r="448" spans="1:52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3"/>
    </row>
    <row r="449" spans="1:52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3"/>
    </row>
    <row r="450" spans="1:52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3"/>
    </row>
    <row r="451" spans="1:52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3"/>
    </row>
    <row r="452" spans="1:52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3"/>
    </row>
    <row r="453" spans="1:52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3"/>
    </row>
    <row r="454" spans="1:52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3"/>
    </row>
    <row r="455" spans="1:52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3"/>
    </row>
    <row r="456" spans="1:52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3"/>
    </row>
    <row r="457" spans="1:52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3"/>
    </row>
    <row r="458" spans="1:52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3"/>
    </row>
    <row r="459" spans="1:52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3"/>
    </row>
    <row r="460" spans="1:52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3"/>
    </row>
    <row r="461" spans="1:52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3"/>
    </row>
    <row r="462" spans="1:52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3"/>
    </row>
    <row r="463" spans="1:52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3"/>
    </row>
    <row r="464" spans="1:52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3"/>
    </row>
    <row r="465" spans="1:52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3"/>
    </row>
    <row r="466" spans="1:52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3"/>
    </row>
    <row r="467" spans="1:52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3"/>
    </row>
    <row r="468" spans="1:52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3"/>
    </row>
    <row r="469" spans="1:52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3"/>
    </row>
    <row r="470" spans="1:52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3"/>
    </row>
    <row r="471" spans="1:52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3"/>
    </row>
    <row r="472" spans="1:52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3"/>
    </row>
    <row r="473" spans="1:52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3"/>
    </row>
    <row r="474" spans="1:52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3"/>
    </row>
    <row r="475" spans="1:52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3"/>
    </row>
    <row r="476" spans="1:52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3"/>
    </row>
    <row r="477" spans="1:52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3"/>
    </row>
    <row r="478" spans="1:52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3"/>
    </row>
    <row r="479" spans="1:52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3"/>
    </row>
    <row r="480" spans="1:52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3"/>
    </row>
    <row r="481" spans="1:52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3"/>
    </row>
    <row r="482" spans="1:52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3"/>
    </row>
    <row r="483" spans="1:52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3"/>
    </row>
    <row r="484" spans="1:52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3"/>
    </row>
    <row r="485" spans="1:52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3"/>
    </row>
    <row r="486" spans="1:52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3"/>
    </row>
    <row r="487" spans="1:52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3"/>
    </row>
    <row r="488" spans="1:52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3"/>
    </row>
    <row r="489" spans="1:52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3"/>
    </row>
    <row r="490" spans="1:52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3"/>
    </row>
    <row r="491" spans="1:52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3"/>
    </row>
    <row r="492" spans="1:52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3"/>
    </row>
    <row r="493" spans="1:52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3"/>
    </row>
    <row r="494" spans="1:52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3"/>
    </row>
    <row r="495" spans="1:52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3"/>
    </row>
    <row r="496" spans="1:52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3"/>
    </row>
    <row r="497" spans="1:52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3"/>
    </row>
    <row r="498" spans="1:52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3"/>
    </row>
    <row r="499" spans="1:52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3"/>
    </row>
    <row r="500" spans="1:52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3"/>
    </row>
    <row r="501" spans="1:52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3"/>
    </row>
    <row r="502" spans="1:52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3"/>
    </row>
    <row r="503" spans="1:52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3"/>
    </row>
    <row r="504" spans="1:52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3"/>
    </row>
    <row r="505" spans="1:52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3"/>
    </row>
    <row r="506" spans="1:52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3"/>
    </row>
    <row r="507" spans="1:52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3"/>
    </row>
    <row r="508" spans="1:52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3"/>
    </row>
    <row r="509" spans="1:52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3"/>
    </row>
    <row r="510" spans="1:52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3"/>
    </row>
    <row r="511" spans="1:52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3"/>
    </row>
    <row r="512" spans="1:52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3"/>
    </row>
    <row r="513" spans="1:52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3"/>
    </row>
    <row r="514" spans="1:52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3"/>
    </row>
    <row r="515" spans="1:52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3"/>
    </row>
    <row r="516" spans="1:52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3"/>
    </row>
    <row r="517" spans="1:52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3"/>
    </row>
    <row r="518" spans="1:52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3"/>
    </row>
    <row r="519" spans="1:52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3"/>
    </row>
    <row r="520" spans="1:52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3"/>
    </row>
    <row r="521" spans="1:52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3"/>
    </row>
    <row r="522" spans="1:52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3"/>
    </row>
    <row r="523" spans="1:52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3"/>
    </row>
    <row r="524" spans="1:52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3"/>
    </row>
    <row r="525" spans="1:52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3"/>
    </row>
    <row r="526" spans="1:52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3"/>
    </row>
    <row r="527" spans="1:52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3"/>
    </row>
    <row r="528" spans="1:52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3"/>
    </row>
    <row r="529" spans="1:52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3"/>
    </row>
    <row r="530" spans="1:52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3"/>
    </row>
    <row r="531" spans="1:52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3"/>
    </row>
    <row r="532" spans="1:52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3"/>
    </row>
    <row r="533" spans="1:52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3"/>
    </row>
    <row r="534" spans="1:52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3"/>
    </row>
    <row r="535" spans="1:52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3"/>
    </row>
    <row r="536" spans="1:52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3"/>
    </row>
    <row r="537" spans="1:52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3"/>
    </row>
    <row r="538" spans="1:52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3"/>
    </row>
    <row r="539" spans="1:52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3"/>
    </row>
    <row r="540" spans="1:52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3"/>
    </row>
    <row r="541" spans="1:52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3"/>
    </row>
    <row r="542" spans="1:52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3"/>
    </row>
    <row r="543" spans="1:52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3"/>
    </row>
    <row r="544" spans="1:52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3"/>
    </row>
    <row r="545" spans="1:52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3"/>
    </row>
    <row r="546" spans="1:52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3"/>
    </row>
    <row r="547" spans="1:52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3"/>
    </row>
    <row r="548" spans="1:52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3"/>
    </row>
    <row r="549" spans="1:52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3"/>
    </row>
    <row r="550" spans="1:52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3"/>
    </row>
    <row r="551" spans="1:52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3"/>
    </row>
    <row r="552" spans="1:52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3"/>
    </row>
    <row r="553" spans="1:52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3"/>
    </row>
    <row r="554" spans="1:52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3"/>
    </row>
    <row r="555" spans="1:52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3"/>
    </row>
    <row r="556" spans="1:52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3"/>
    </row>
    <row r="557" spans="1:52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3"/>
    </row>
    <row r="558" spans="1:52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3"/>
    </row>
    <row r="559" spans="1:52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3"/>
    </row>
    <row r="560" spans="1:52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3"/>
    </row>
    <row r="561" spans="1:52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3"/>
    </row>
    <row r="562" spans="1:52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3"/>
    </row>
    <row r="563" spans="1:52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3"/>
    </row>
    <row r="564" spans="1:52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3"/>
    </row>
    <row r="565" spans="1:52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3"/>
    </row>
    <row r="566" spans="1:52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3"/>
    </row>
    <row r="567" spans="1:52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3"/>
    </row>
    <row r="568" spans="1:52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3"/>
    </row>
    <row r="569" spans="1:52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3"/>
    </row>
    <row r="570" spans="1:52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3"/>
    </row>
    <row r="571" spans="1:52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3"/>
    </row>
    <row r="572" spans="1:52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3"/>
    </row>
    <row r="573" spans="1:52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3"/>
    </row>
    <row r="574" spans="1:52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3"/>
    </row>
    <row r="575" spans="1:52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3"/>
    </row>
    <row r="576" spans="1:52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3"/>
    </row>
    <row r="577" spans="1:52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3"/>
    </row>
    <row r="578" spans="1:52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3"/>
    </row>
    <row r="579" spans="1:52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3"/>
    </row>
    <row r="580" spans="1:52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3"/>
    </row>
    <row r="581" spans="1:52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3"/>
    </row>
    <row r="582" spans="1:52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3"/>
    </row>
    <row r="583" spans="1:52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3"/>
    </row>
    <row r="584" spans="1:52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3"/>
    </row>
    <row r="585" spans="1:52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3"/>
    </row>
    <row r="586" spans="1:52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3"/>
    </row>
    <row r="587" spans="1:52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3"/>
    </row>
    <row r="588" spans="1:52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3"/>
    </row>
    <row r="589" spans="1:52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3"/>
    </row>
    <row r="590" spans="1:52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3"/>
    </row>
    <row r="591" spans="1:52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3"/>
    </row>
    <row r="592" spans="1:52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3"/>
    </row>
    <row r="593" spans="1:52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3"/>
    </row>
    <row r="594" spans="1:52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3"/>
    </row>
    <row r="595" spans="1:52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3"/>
    </row>
    <row r="596" spans="1:52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3"/>
    </row>
    <row r="597" spans="1:52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3"/>
    </row>
    <row r="598" spans="1:52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3"/>
    </row>
    <row r="599" spans="1:52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3"/>
    </row>
    <row r="600" spans="1:52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3"/>
    </row>
    <row r="601" spans="1:52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3"/>
    </row>
    <row r="602" spans="1:52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3"/>
    </row>
    <row r="603" spans="1:52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3"/>
    </row>
    <row r="604" spans="1:52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3"/>
    </row>
    <row r="605" spans="1:52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3"/>
    </row>
    <row r="606" spans="1:52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3"/>
    </row>
    <row r="607" spans="1:52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3"/>
    </row>
    <row r="608" spans="1:52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3"/>
    </row>
    <row r="609" spans="1:52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3"/>
    </row>
    <row r="610" spans="1:52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3"/>
    </row>
    <row r="611" spans="1:52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3"/>
    </row>
    <row r="612" spans="1:52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3"/>
    </row>
    <row r="613" spans="1:52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3"/>
    </row>
    <row r="614" spans="1:52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3"/>
    </row>
    <row r="615" spans="1:52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3"/>
    </row>
    <row r="616" spans="1:52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3"/>
    </row>
    <row r="617" spans="1:52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3"/>
    </row>
    <row r="618" spans="1:52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3"/>
    </row>
    <row r="619" spans="1:52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3"/>
    </row>
    <row r="620" spans="1:52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3"/>
    </row>
    <row r="621" spans="1:52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3"/>
    </row>
    <row r="622" spans="1:52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3"/>
    </row>
    <row r="623" spans="1:52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3"/>
    </row>
    <row r="624" spans="1:52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3"/>
    </row>
    <row r="625" spans="1:52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3"/>
    </row>
    <row r="626" spans="1:52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3"/>
    </row>
    <row r="627" spans="1:52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3"/>
    </row>
    <row r="628" spans="1:52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3"/>
    </row>
    <row r="629" spans="1:52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3"/>
    </row>
    <row r="630" spans="1:52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3"/>
    </row>
    <row r="631" spans="1:52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3"/>
    </row>
    <row r="632" spans="1:52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3"/>
    </row>
    <row r="633" spans="1:52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3"/>
    </row>
    <row r="634" spans="1:52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3"/>
    </row>
    <row r="635" spans="1:52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3"/>
    </row>
    <row r="636" spans="1:52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3"/>
    </row>
    <row r="637" spans="1:52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3"/>
    </row>
    <row r="638" spans="1:52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3"/>
    </row>
    <row r="639" spans="1:52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3"/>
    </row>
    <row r="640" spans="1:52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3"/>
    </row>
    <row r="641" spans="1:52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3"/>
    </row>
    <row r="642" spans="1:52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3"/>
    </row>
    <row r="643" spans="1:52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3"/>
    </row>
    <row r="644" spans="1:52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3"/>
    </row>
    <row r="645" spans="1:52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3"/>
    </row>
    <row r="646" spans="1:52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3"/>
    </row>
    <row r="647" spans="1:52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3"/>
    </row>
    <row r="648" spans="1:52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3"/>
    </row>
    <row r="649" spans="1:52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3"/>
    </row>
    <row r="650" spans="1:52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3"/>
    </row>
    <row r="651" spans="1:52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3"/>
    </row>
    <row r="652" spans="1:52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3"/>
    </row>
    <row r="653" spans="1:52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3"/>
    </row>
    <row r="654" spans="1:52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3"/>
    </row>
    <row r="655" spans="1:52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3"/>
    </row>
    <row r="656" spans="1:52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3"/>
    </row>
    <row r="657" spans="1:52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3"/>
    </row>
    <row r="658" spans="1:52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3"/>
    </row>
    <row r="659" spans="1:52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3"/>
    </row>
    <row r="660" spans="1:52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3"/>
    </row>
    <row r="661" spans="1:52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3"/>
    </row>
    <row r="662" spans="1:52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3"/>
    </row>
    <row r="663" spans="1:52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3"/>
    </row>
    <row r="664" spans="1:52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3"/>
    </row>
    <row r="665" spans="1:52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3"/>
    </row>
    <row r="666" spans="1:52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3"/>
    </row>
    <row r="667" spans="1:52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3"/>
    </row>
    <row r="668" spans="1:52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3"/>
    </row>
    <row r="669" spans="1:52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3"/>
    </row>
    <row r="670" spans="1:52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3"/>
    </row>
    <row r="671" spans="1:52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3"/>
    </row>
    <row r="672" spans="1:52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3"/>
    </row>
    <row r="673" spans="1:52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3"/>
    </row>
    <row r="674" spans="1:52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3"/>
    </row>
    <row r="675" spans="1:52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3"/>
    </row>
    <row r="676" spans="1:52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3"/>
    </row>
    <row r="677" spans="1:52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3"/>
    </row>
    <row r="678" spans="1:52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3"/>
    </row>
    <row r="679" spans="1:52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3"/>
    </row>
    <row r="680" spans="1:52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3"/>
    </row>
    <row r="681" spans="1:52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3"/>
    </row>
    <row r="682" spans="1:52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3"/>
    </row>
    <row r="683" spans="1:52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3"/>
    </row>
    <row r="684" spans="1:52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3"/>
    </row>
    <row r="685" spans="1:52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3"/>
    </row>
    <row r="686" spans="1:52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3"/>
    </row>
    <row r="687" spans="1:52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3"/>
    </row>
    <row r="688" spans="1:52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3"/>
    </row>
    <row r="689" spans="1:52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3"/>
    </row>
    <row r="690" spans="1:52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3"/>
    </row>
    <row r="691" spans="1:52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3"/>
    </row>
    <row r="692" spans="1:52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3"/>
    </row>
    <row r="693" spans="1:52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3"/>
    </row>
    <row r="694" spans="1:52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3"/>
    </row>
    <row r="695" spans="1:52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3"/>
    </row>
    <row r="696" spans="1:52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3"/>
    </row>
    <row r="697" spans="1:52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3"/>
    </row>
    <row r="698" spans="1:52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3"/>
    </row>
    <row r="699" spans="1:52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3"/>
    </row>
    <row r="700" spans="1:52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3"/>
    </row>
    <row r="701" spans="1:52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3"/>
    </row>
    <row r="702" spans="1:52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3"/>
    </row>
    <row r="703" spans="1:52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3"/>
    </row>
    <row r="704" spans="1:52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3"/>
    </row>
    <row r="705" spans="1:52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3"/>
    </row>
    <row r="706" spans="1:52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3"/>
    </row>
    <row r="707" spans="1:52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3"/>
    </row>
    <row r="708" spans="1:52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3"/>
    </row>
    <row r="709" spans="1:52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3"/>
    </row>
    <row r="710" spans="1:52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3"/>
    </row>
    <row r="711" spans="1:52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3"/>
    </row>
    <row r="712" spans="1:52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3"/>
    </row>
    <row r="713" spans="1:52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3"/>
    </row>
    <row r="714" spans="1:52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3"/>
    </row>
    <row r="715" spans="1:52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3"/>
    </row>
    <row r="716" spans="1:52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3"/>
    </row>
    <row r="717" spans="1:52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3"/>
    </row>
    <row r="718" spans="1:52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3"/>
    </row>
    <row r="719" spans="1:52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3"/>
    </row>
    <row r="720" spans="1:52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3"/>
    </row>
    <row r="721" spans="1:52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3"/>
    </row>
    <row r="722" spans="1:52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3"/>
    </row>
    <row r="723" spans="1:52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3"/>
    </row>
    <row r="724" spans="1:52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3"/>
    </row>
    <row r="725" spans="1:52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3"/>
    </row>
    <row r="726" spans="1:52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3"/>
    </row>
    <row r="727" spans="1:52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3"/>
    </row>
    <row r="728" spans="1:52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3"/>
    </row>
    <row r="729" spans="1:52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3"/>
    </row>
    <row r="730" spans="1:52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3"/>
    </row>
    <row r="731" spans="1:52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3"/>
    </row>
    <row r="732" spans="1:52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3"/>
    </row>
    <row r="733" spans="1:52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3"/>
    </row>
    <row r="734" spans="1:52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3"/>
    </row>
    <row r="735" spans="1:52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3"/>
    </row>
    <row r="736" spans="1:52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3"/>
    </row>
    <row r="737" spans="1:52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3"/>
    </row>
    <row r="738" spans="1:52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3"/>
    </row>
    <row r="739" spans="1:52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3"/>
    </row>
    <row r="740" spans="1:52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3"/>
    </row>
    <row r="741" spans="1:52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3"/>
    </row>
    <row r="742" spans="1:52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3"/>
    </row>
    <row r="743" spans="1:52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3"/>
    </row>
    <row r="744" spans="1:52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3"/>
    </row>
    <row r="745" spans="1:52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3"/>
    </row>
    <row r="746" spans="1:52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3"/>
    </row>
    <row r="747" spans="1:52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3"/>
    </row>
    <row r="748" spans="1:52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3"/>
    </row>
    <row r="749" spans="1:52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3"/>
    </row>
    <row r="750" spans="1:52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3"/>
    </row>
    <row r="751" spans="1:52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3"/>
    </row>
    <row r="752" spans="1:52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3"/>
    </row>
    <row r="753" spans="1:52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3"/>
    </row>
    <row r="754" spans="1:52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3"/>
    </row>
    <row r="755" spans="1:52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3"/>
    </row>
    <row r="756" spans="1:52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3"/>
    </row>
    <row r="757" spans="1:52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3"/>
    </row>
    <row r="758" spans="1:52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3"/>
    </row>
    <row r="759" spans="1:52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3"/>
    </row>
    <row r="760" spans="1:52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3"/>
    </row>
    <row r="761" spans="1:52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3"/>
    </row>
    <row r="762" spans="1:52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3"/>
    </row>
    <row r="763" spans="1:52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3"/>
    </row>
    <row r="764" spans="1:52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3"/>
    </row>
    <row r="765" spans="1:52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3"/>
    </row>
    <row r="766" spans="1:52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3"/>
    </row>
    <row r="767" spans="1:52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3"/>
    </row>
    <row r="768" spans="1:52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3"/>
    </row>
    <row r="769" spans="1:52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3"/>
    </row>
    <row r="770" spans="1:52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3"/>
    </row>
    <row r="771" spans="1:52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3"/>
    </row>
    <row r="772" spans="1:52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3"/>
    </row>
    <row r="773" spans="1:52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3"/>
    </row>
    <row r="774" spans="1:52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3"/>
    </row>
    <row r="775" spans="1:52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3"/>
    </row>
    <row r="776" spans="1:52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3"/>
    </row>
    <row r="777" spans="1:52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3"/>
    </row>
    <row r="778" spans="1:52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3"/>
    </row>
    <row r="779" spans="1:52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3"/>
    </row>
    <row r="780" spans="1:52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3"/>
    </row>
    <row r="781" spans="1:52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3"/>
    </row>
    <row r="782" spans="1:52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3"/>
    </row>
    <row r="783" spans="1:52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3"/>
    </row>
    <row r="784" spans="1:52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3"/>
    </row>
    <row r="785" spans="1:52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3"/>
    </row>
    <row r="786" spans="1:52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3"/>
    </row>
    <row r="787" spans="1:52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3"/>
    </row>
    <row r="788" spans="1:52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3"/>
    </row>
    <row r="789" spans="1:52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3"/>
    </row>
    <row r="790" spans="1:52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3"/>
    </row>
    <row r="791" spans="1:52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3"/>
    </row>
    <row r="792" spans="1:52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3"/>
    </row>
    <row r="793" spans="1:52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3"/>
    </row>
    <row r="794" spans="1:52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3"/>
    </row>
    <row r="795" spans="1:52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3"/>
    </row>
    <row r="796" spans="1:52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3"/>
    </row>
    <row r="797" spans="1:52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3"/>
    </row>
    <row r="798" spans="1:52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3"/>
    </row>
    <row r="799" spans="1:52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3"/>
    </row>
    <row r="800" spans="1:52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3"/>
    </row>
    <row r="801" spans="1:52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3"/>
    </row>
    <row r="802" spans="1:52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3"/>
    </row>
    <row r="803" spans="1:52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3"/>
    </row>
    <row r="804" spans="1:52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3"/>
    </row>
    <row r="805" spans="1:52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3"/>
    </row>
    <row r="806" spans="1:52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3"/>
    </row>
    <row r="807" spans="1:52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3"/>
    </row>
    <row r="808" spans="1:52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3"/>
    </row>
    <row r="809" spans="1:52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3"/>
    </row>
    <row r="810" spans="1:52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3"/>
    </row>
    <row r="811" spans="1:52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3"/>
    </row>
    <row r="812" spans="1:52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3"/>
    </row>
    <row r="813" spans="1:52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3"/>
    </row>
    <row r="814" spans="1:52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3"/>
    </row>
    <row r="815" spans="1:52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3"/>
    </row>
    <row r="816" spans="1:52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3"/>
    </row>
    <row r="817" spans="1:52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3"/>
    </row>
    <row r="818" spans="1:52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3"/>
    </row>
    <row r="819" spans="1:52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3"/>
    </row>
    <row r="820" spans="1:52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3"/>
    </row>
    <row r="821" spans="1:52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3"/>
    </row>
    <row r="822" spans="1:52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3"/>
    </row>
    <row r="823" spans="1:52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3"/>
    </row>
    <row r="824" spans="1:52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3"/>
    </row>
    <row r="825" spans="1:52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3"/>
    </row>
    <row r="826" spans="1:52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3"/>
    </row>
    <row r="827" spans="1:52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3"/>
    </row>
    <row r="828" spans="1:52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3"/>
    </row>
    <row r="829" spans="1:52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3"/>
    </row>
    <row r="830" spans="1:52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3"/>
    </row>
    <row r="831" spans="1:52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3"/>
    </row>
    <row r="832" spans="1:52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3"/>
    </row>
    <row r="833" spans="1:52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3"/>
    </row>
    <row r="834" spans="1:52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3"/>
    </row>
    <row r="835" spans="1:52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3"/>
    </row>
    <row r="836" spans="1:52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3"/>
    </row>
    <row r="837" spans="1:52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3"/>
    </row>
    <row r="838" spans="1:52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3"/>
    </row>
    <row r="839" spans="1:52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3"/>
    </row>
    <row r="840" spans="1:52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3"/>
    </row>
    <row r="841" spans="1:52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3"/>
    </row>
    <row r="842" spans="1:52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3"/>
    </row>
    <row r="843" spans="1:52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3"/>
    </row>
    <row r="844" spans="1:52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3"/>
    </row>
    <row r="845" spans="1:52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3"/>
    </row>
    <row r="846" spans="1:52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3"/>
    </row>
    <row r="847" spans="1:52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3"/>
    </row>
    <row r="848" spans="1:52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3"/>
    </row>
    <row r="849" spans="1:52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3"/>
    </row>
    <row r="850" spans="1:52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3"/>
    </row>
    <row r="851" spans="1:52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3"/>
    </row>
    <row r="852" spans="1:52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3"/>
    </row>
    <row r="853" spans="1:52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3"/>
    </row>
    <row r="854" spans="1:52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3"/>
    </row>
    <row r="855" spans="1:52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3"/>
    </row>
    <row r="856" spans="1:52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3"/>
    </row>
    <row r="857" spans="1:52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3"/>
    </row>
    <row r="858" spans="1:52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3"/>
    </row>
    <row r="859" spans="1:52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3"/>
    </row>
    <row r="860" spans="1:52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3"/>
    </row>
    <row r="861" spans="1:52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3"/>
    </row>
    <row r="862" spans="1:52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3"/>
    </row>
    <row r="863" spans="1:52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3"/>
    </row>
    <row r="864" spans="1:52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3"/>
    </row>
    <row r="865" spans="1:52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3"/>
    </row>
    <row r="866" spans="1:52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3"/>
    </row>
    <row r="867" spans="1:52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3"/>
    </row>
    <row r="868" spans="1:52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3"/>
    </row>
    <row r="869" spans="1:52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3"/>
    </row>
    <row r="870" spans="1:52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3"/>
    </row>
    <row r="871" spans="1:52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3"/>
    </row>
    <row r="872" spans="1:52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3"/>
    </row>
    <row r="873" spans="1:52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3"/>
    </row>
    <row r="874" spans="1:52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3"/>
    </row>
    <row r="875" spans="1:52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3"/>
    </row>
    <row r="876" spans="1:52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3"/>
    </row>
    <row r="877" spans="1:52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3"/>
    </row>
    <row r="878" spans="1:52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3"/>
    </row>
    <row r="879" spans="1:52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3"/>
    </row>
    <row r="880" spans="1:52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3"/>
    </row>
    <row r="881" spans="1:52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3"/>
    </row>
    <row r="882" spans="1:52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3"/>
    </row>
    <row r="883" spans="1:52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3"/>
    </row>
    <row r="884" spans="1:52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3"/>
    </row>
    <row r="885" spans="1:52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3"/>
    </row>
    <row r="886" spans="1:52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3"/>
    </row>
    <row r="887" spans="1:52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3"/>
    </row>
    <row r="888" spans="1:52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3"/>
    </row>
    <row r="889" spans="1:52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3"/>
    </row>
    <row r="890" spans="1:52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3"/>
    </row>
    <row r="891" spans="1:52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3"/>
    </row>
    <row r="892" spans="1:52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3"/>
    </row>
    <row r="893" spans="1:52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3"/>
    </row>
    <row r="894" spans="1:52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3"/>
    </row>
    <row r="895" spans="1:52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3"/>
    </row>
    <row r="896" spans="1:52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3"/>
    </row>
    <row r="897" spans="1:52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3"/>
    </row>
    <row r="898" spans="1:52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3"/>
    </row>
    <row r="899" spans="1:52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3"/>
    </row>
    <row r="900" spans="1:52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3"/>
    </row>
    <row r="901" spans="1:52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3"/>
    </row>
    <row r="902" spans="1:52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3"/>
    </row>
    <row r="903" spans="1:52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3"/>
    </row>
    <row r="904" spans="1:52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3"/>
    </row>
    <row r="905" spans="1:52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3"/>
    </row>
    <row r="906" spans="1:52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3"/>
    </row>
    <row r="907" spans="1:52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3"/>
    </row>
    <row r="908" spans="1:52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3"/>
    </row>
    <row r="909" spans="1:52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3"/>
    </row>
    <row r="910" spans="1:52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3"/>
    </row>
    <row r="911" spans="1:52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3"/>
    </row>
    <row r="912" spans="1:52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3"/>
    </row>
    <row r="913" spans="1:52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3"/>
    </row>
    <row r="914" spans="1:52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3"/>
    </row>
    <row r="915" spans="1:52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3"/>
    </row>
    <row r="916" spans="1:52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3"/>
    </row>
    <row r="917" spans="1:52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3"/>
    </row>
    <row r="918" spans="1:52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3"/>
    </row>
    <row r="919" spans="1:52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3"/>
    </row>
    <row r="920" spans="1:52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3"/>
    </row>
    <row r="921" spans="1:52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3"/>
    </row>
    <row r="922" spans="1:52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3"/>
    </row>
    <row r="923" spans="1:52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3"/>
    </row>
    <row r="924" spans="1:52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3"/>
    </row>
    <row r="925" spans="1:52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3"/>
    </row>
    <row r="926" spans="1:52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3"/>
    </row>
    <row r="927" spans="1:52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3"/>
    </row>
    <row r="928" spans="1:52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3"/>
    </row>
    <row r="929" spans="1:52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3"/>
    </row>
    <row r="930" spans="1:52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3"/>
    </row>
    <row r="931" spans="1:52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3"/>
    </row>
    <row r="932" spans="1:52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3"/>
    </row>
    <row r="933" spans="1:52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3"/>
    </row>
    <row r="934" spans="1:52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3"/>
    </row>
    <row r="935" spans="1:52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3"/>
    </row>
    <row r="936" spans="1:52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3"/>
    </row>
    <row r="937" spans="1:52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3"/>
    </row>
    <row r="938" spans="1:52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3"/>
    </row>
    <row r="939" spans="1:52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3"/>
    </row>
    <row r="940" spans="1:52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3"/>
    </row>
    <row r="941" spans="1:52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3"/>
    </row>
    <row r="942" spans="1:52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3"/>
    </row>
    <row r="943" spans="1:52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3"/>
    </row>
    <row r="944" spans="1:52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3"/>
    </row>
    <row r="945" spans="1:52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3"/>
    </row>
    <row r="946" spans="1:52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3"/>
    </row>
    <row r="947" spans="1:52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3"/>
    </row>
    <row r="948" spans="1:52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3"/>
    </row>
    <row r="949" spans="1:52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3"/>
    </row>
    <row r="950" spans="1:52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3"/>
    </row>
    <row r="951" spans="1:52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3"/>
    </row>
    <row r="952" spans="1:52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3"/>
    </row>
    <row r="953" spans="1:52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3"/>
    </row>
    <row r="954" spans="1:52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3"/>
    </row>
    <row r="955" spans="1:52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3"/>
    </row>
    <row r="956" spans="1:52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3"/>
    </row>
    <row r="957" spans="1:52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3"/>
    </row>
    <row r="958" spans="1:52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3"/>
    </row>
    <row r="959" spans="1:52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3"/>
    </row>
    <row r="960" spans="1:52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3"/>
    </row>
    <row r="961" spans="1:52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3"/>
    </row>
    <row r="962" spans="1:52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3"/>
    </row>
    <row r="963" spans="1:52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3"/>
    </row>
    <row r="964" spans="1:52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3"/>
    </row>
    <row r="965" spans="1:52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3"/>
    </row>
    <row r="966" spans="1:52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3"/>
    </row>
    <row r="967" spans="1:52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3"/>
    </row>
    <row r="968" spans="1:52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3"/>
    </row>
    <row r="969" spans="1:52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3"/>
    </row>
    <row r="970" spans="1:52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3"/>
    </row>
    <row r="971" spans="1:52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3"/>
    </row>
    <row r="972" spans="1:52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3"/>
    </row>
    <row r="973" spans="1:52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3"/>
    </row>
    <row r="974" spans="1:52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3"/>
    </row>
    <row r="975" spans="1:52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3"/>
    </row>
    <row r="976" spans="1:52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3"/>
    </row>
    <row r="977" spans="1:52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3"/>
    </row>
    <row r="978" spans="1:52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3"/>
    </row>
    <row r="979" spans="1:52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3"/>
    </row>
    <row r="980" spans="1:52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3"/>
    </row>
    <row r="981" spans="1:52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3"/>
    </row>
    <row r="982" spans="1:52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3"/>
    </row>
    <row r="983" spans="1:52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3"/>
    </row>
    <row r="984" spans="1:52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3"/>
    </row>
    <row r="985" spans="1:52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3"/>
    </row>
    <row r="986" spans="1:52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3"/>
    </row>
    <row r="987" spans="1:52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3"/>
    </row>
    <row r="988" spans="1:52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3"/>
    </row>
    <row r="989" spans="1:52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3"/>
    </row>
    <row r="990" spans="1:52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3"/>
    </row>
    <row r="991" spans="1:52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3"/>
    </row>
    <row r="992" spans="1:52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3"/>
    </row>
    <row r="993" spans="1:52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3"/>
    </row>
    <row r="994" spans="1:52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3"/>
    </row>
    <row r="995" spans="1:52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3"/>
    </row>
    <row r="996" spans="1:52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3"/>
    </row>
    <row r="997" spans="1:52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3"/>
    </row>
    <row r="998" spans="1:52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3"/>
    </row>
    <row r="999" spans="1:52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3"/>
    </row>
    <row r="1000" spans="1:52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000"/>
  <sheetViews>
    <sheetView tabSelected="1" zoomScale="130" zoomScaleNormal="130" workbookViewId="0">
      <selection activeCell="E118" sqref="E118"/>
    </sheetView>
  </sheetViews>
  <sheetFormatPr defaultColWidth="11.5703125" defaultRowHeight="15" customHeight="1" x14ac:dyDescent="0.25"/>
  <cols>
    <col min="1" max="1" width="14.140625" style="48" customWidth="1"/>
    <col min="2" max="32" width="11" style="48" customWidth="1"/>
    <col min="33" max="1004" width="14.42578125" style="48" customWidth="1"/>
    <col min="1005" max="16384" width="11.5703125" style="48"/>
  </cols>
  <sheetData>
    <row r="1" spans="1:38" s="48" customFormat="1" ht="14.25" customHeight="1" x14ac:dyDescent="0.25">
      <c r="A1" s="46"/>
      <c r="B1" s="46" t="s">
        <v>51</v>
      </c>
      <c r="C1" s="46"/>
      <c r="D1" s="46"/>
      <c r="E1" s="47"/>
      <c r="F1" s="47"/>
      <c r="G1" s="47"/>
      <c r="H1" s="46"/>
      <c r="I1" s="46" t="s">
        <v>52</v>
      </c>
      <c r="J1" s="46"/>
      <c r="K1" s="46"/>
      <c r="L1" s="46"/>
      <c r="M1" s="46"/>
      <c r="N1" s="46"/>
      <c r="O1" s="46"/>
      <c r="P1" s="46" t="s">
        <v>53</v>
      </c>
      <c r="Q1" s="46"/>
      <c r="R1" s="46"/>
      <c r="S1" s="46"/>
      <c r="T1" s="46"/>
      <c r="U1" s="46"/>
      <c r="V1" s="46"/>
      <c r="W1" s="46" t="s">
        <v>54</v>
      </c>
      <c r="X1" s="46"/>
      <c r="Y1" s="46"/>
      <c r="Z1" s="46"/>
      <c r="AA1" s="46"/>
      <c r="AB1" s="46"/>
      <c r="AC1" s="46"/>
      <c r="AD1" s="46"/>
      <c r="AE1" s="46"/>
      <c r="AF1" s="46"/>
      <c r="AG1" s="46" t="s">
        <v>50</v>
      </c>
      <c r="AH1" s="46"/>
      <c r="AI1" s="46"/>
      <c r="AJ1" s="46"/>
      <c r="AK1" s="46"/>
      <c r="AL1" s="46"/>
    </row>
    <row r="2" spans="1:38" s="48" customFormat="1" ht="14.25" customHeight="1" x14ac:dyDescent="0.25">
      <c r="A2" s="49" t="s">
        <v>0</v>
      </c>
      <c r="B2" s="49" t="s">
        <v>368</v>
      </c>
      <c r="C2" s="49" t="s">
        <v>369</v>
      </c>
      <c r="D2" s="49" t="s">
        <v>370</v>
      </c>
      <c r="E2" s="49" t="s">
        <v>371</v>
      </c>
      <c r="F2" s="49" t="s">
        <v>372</v>
      </c>
      <c r="G2" s="49" t="s">
        <v>373</v>
      </c>
      <c r="H2" s="49" t="s">
        <v>374</v>
      </c>
      <c r="I2" s="49" t="s">
        <v>375</v>
      </c>
      <c r="J2" s="49" t="s">
        <v>376</v>
      </c>
      <c r="K2" s="49" t="s">
        <v>377</v>
      </c>
      <c r="L2" s="49" t="s">
        <v>378</v>
      </c>
      <c r="M2" s="49" t="s">
        <v>379</v>
      </c>
      <c r="N2" s="49" t="s">
        <v>380</v>
      </c>
      <c r="O2" s="49" t="s">
        <v>381</v>
      </c>
      <c r="P2" s="49" t="s">
        <v>382</v>
      </c>
      <c r="Q2" s="49" t="s">
        <v>383</v>
      </c>
      <c r="R2" s="49" t="s">
        <v>384</v>
      </c>
      <c r="S2" s="49" t="s">
        <v>385</v>
      </c>
      <c r="T2" s="49" t="s">
        <v>386</v>
      </c>
      <c r="U2" s="49" t="s">
        <v>387</v>
      </c>
      <c r="V2" s="49" t="s">
        <v>388</v>
      </c>
      <c r="W2" s="49" t="s">
        <v>389</v>
      </c>
      <c r="X2" s="49" t="s">
        <v>390</v>
      </c>
      <c r="Y2" s="49" t="s">
        <v>391</v>
      </c>
      <c r="Z2" s="49" t="s">
        <v>392</v>
      </c>
      <c r="AA2" s="49" t="s">
        <v>393</v>
      </c>
      <c r="AB2" s="49" t="s">
        <v>394</v>
      </c>
      <c r="AC2" s="49" t="s">
        <v>395</v>
      </c>
      <c r="AD2" s="49" t="s">
        <v>396</v>
      </c>
      <c r="AE2" s="49" t="s">
        <v>397</v>
      </c>
      <c r="AF2" s="49" t="s">
        <v>398</v>
      </c>
      <c r="AG2" s="49" t="s">
        <v>412</v>
      </c>
      <c r="AH2" s="49" t="s">
        <v>413</v>
      </c>
      <c r="AI2" s="49" t="s">
        <v>414</v>
      </c>
      <c r="AJ2" s="49" t="s">
        <v>415</v>
      </c>
      <c r="AK2" s="49" t="s">
        <v>416</v>
      </c>
      <c r="AL2" s="49" t="s">
        <v>417</v>
      </c>
    </row>
    <row r="3" spans="1:38" s="48" customFormat="1" ht="14.25" customHeight="1" x14ac:dyDescent="0.25">
      <c r="A3" s="50" t="s">
        <v>95</v>
      </c>
      <c r="B3" s="51">
        <v>24.9</v>
      </c>
      <c r="C3" s="51">
        <v>8.5</v>
      </c>
      <c r="D3" s="52"/>
      <c r="E3" s="53">
        <v>134</v>
      </c>
      <c r="F3" s="54">
        <v>6.85</v>
      </c>
      <c r="G3" s="54">
        <v>6.33</v>
      </c>
      <c r="H3" s="52"/>
      <c r="I3" s="55">
        <v>107.07</v>
      </c>
      <c r="J3" s="56">
        <v>0</v>
      </c>
      <c r="K3" s="51">
        <f>AVERAGE(1,2)</f>
        <v>1.5</v>
      </c>
      <c r="L3" s="51">
        <v>16</v>
      </c>
      <c r="M3" s="51">
        <f>AVERAGE(15,16,10)</f>
        <v>13.666666666666666</v>
      </c>
      <c r="N3" s="51">
        <f>AVERAGE(16,16,16,16)</f>
        <v>16</v>
      </c>
      <c r="O3" s="55">
        <v>3.64</v>
      </c>
      <c r="P3" s="51">
        <f t="shared" ref="P3:P8" si="0">AVERAGE(100,100,100,100)</f>
        <v>100</v>
      </c>
      <c r="Q3" s="51">
        <f t="shared" ref="Q3:V8" si="1">AVERAGE(0,0,0,0)</f>
        <v>0</v>
      </c>
      <c r="R3" s="51">
        <f t="shared" si="1"/>
        <v>0</v>
      </c>
      <c r="S3" s="51">
        <f t="shared" si="1"/>
        <v>0</v>
      </c>
      <c r="T3" s="51">
        <f t="shared" si="1"/>
        <v>0</v>
      </c>
      <c r="U3" s="51">
        <f t="shared" si="1"/>
        <v>0</v>
      </c>
      <c r="V3" s="51">
        <f t="shared" si="1"/>
        <v>0</v>
      </c>
      <c r="W3" s="51">
        <f>AVERAGE(5,5,5,5)</f>
        <v>5</v>
      </c>
      <c r="X3" s="51">
        <f>AVERAGE(0,0,0,0)</f>
        <v>0</v>
      </c>
      <c r="Y3" s="51">
        <f>AVERAGE(5,5,5,5)</f>
        <v>5</v>
      </c>
      <c r="Z3" s="51">
        <f>AVERAGE(90,90,90,90)</f>
        <v>90</v>
      </c>
      <c r="AA3" s="51">
        <f>AVERAGE(10,10,10,10)</f>
        <v>10</v>
      </c>
      <c r="AB3" s="51">
        <f t="shared" ref="AB3:AB8" si="2">AVERAGE(0,0,0,0)</f>
        <v>0</v>
      </c>
      <c r="AC3" s="51">
        <f>AVERAGE(5,5,5,5)</f>
        <v>5</v>
      </c>
      <c r="AD3" s="51">
        <f>AVERAGE(0,0,0,0)</f>
        <v>0</v>
      </c>
      <c r="AE3" s="51">
        <f>AVERAGE(20,20,20,20)</f>
        <v>20</v>
      </c>
      <c r="AF3" s="51">
        <f>AVERAGE(10,10,10,10)</f>
        <v>10</v>
      </c>
      <c r="AG3" s="51">
        <v>64.319999999999993</v>
      </c>
      <c r="AH3" s="57">
        <v>0</v>
      </c>
      <c r="AI3" s="57">
        <v>0</v>
      </c>
      <c r="AJ3" s="57">
        <v>0</v>
      </c>
      <c r="AK3" s="57">
        <v>0</v>
      </c>
      <c r="AL3" s="52"/>
    </row>
    <row r="4" spans="1:38" s="48" customFormat="1" ht="14.25" customHeight="1" x14ac:dyDescent="0.25">
      <c r="A4" s="50" t="s">
        <v>100</v>
      </c>
      <c r="B4" s="51">
        <v>25.1</v>
      </c>
      <c r="C4" s="51">
        <v>8.1</v>
      </c>
      <c r="D4" s="52"/>
      <c r="E4" s="53">
        <v>164.4</v>
      </c>
      <c r="F4" s="54">
        <v>10.7</v>
      </c>
      <c r="G4" s="54">
        <v>7.46</v>
      </c>
      <c r="H4" s="52"/>
      <c r="I4" s="55">
        <v>107.07</v>
      </c>
      <c r="J4" s="58">
        <v>2.5000000000000001E-2</v>
      </c>
      <c r="K4" s="51">
        <f>AVERAGE(1,1)</f>
        <v>1</v>
      </c>
      <c r="L4" s="51">
        <v>16</v>
      </c>
      <c r="M4" s="51">
        <f>AVERAGE(15,16,10)</f>
        <v>13.666666666666666</v>
      </c>
      <c r="N4" s="51">
        <f>AVERAGE(16,16,16,16)</f>
        <v>16</v>
      </c>
      <c r="O4" s="55">
        <v>3.64</v>
      </c>
      <c r="P4" s="51">
        <f t="shared" si="0"/>
        <v>100</v>
      </c>
      <c r="Q4" s="51">
        <f t="shared" si="1"/>
        <v>0</v>
      </c>
      <c r="R4" s="51">
        <f t="shared" si="1"/>
        <v>0</v>
      </c>
      <c r="S4" s="51">
        <f t="shared" si="1"/>
        <v>0</v>
      </c>
      <c r="T4" s="51">
        <f t="shared" si="1"/>
        <v>0</v>
      </c>
      <c r="U4" s="51">
        <f t="shared" si="1"/>
        <v>0</v>
      </c>
      <c r="V4" s="51">
        <f t="shared" si="1"/>
        <v>0</v>
      </c>
      <c r="W4" s="51">
        <f>AVERAGE(5,5,5,5)</f>
        <v>5</v>
      </c>
      <c r="X4" s="51">
        <f>AVERAGE(0,0,0,0)</f>
        <v>0</v>
      </c>
      <c r="Y4" s="51">
        <f>AVERAGE(5,5,5,5)</f>
        <v>5</v>
      </c>
      <c r="Z4" s="51">
        <f>AVERAGE(90,90,90,90)</f>
        <v>90</v>
      </c>
      <c r="AA4" s="51">
        <f>AVERAGE(10,10,10,10)</f>
        <v>10</v>
      </c>
      <c r="AB4" s="51">
        <f t="shared" si="2"/>
        <v>0</v>
      </c>
      <c r="AC4" s="51">
        <f>AVERAGE(5,5,5,5)</f>
        <v>5</v>
      </c>
      <c r="AD4" s="51">
        <f>AVERAGE(0,0,0,0)</f>
        <v>0</v>
      </c>
      <c r="AE4" s="51">
        <f>AVERAGE(20,20,20,20)</f>
        <v>20</v>
      </c>
      <c r="AF4" s="51">
        <f>AVERAGE(10,10,10,10)</f>
        <v>10</v>
      </c>
      <c r="AG4" s="51">
        <v>39.32</v>
      </c>
      <c r="AH4" s="57">
        <v>0</v>
      </c>
      <c r="AI4" s="51">
        <v>8.2899999999999991</v>
      </c>
      <c r="AJ4" s="57">
        <v>0</v>
      </c>
      <c r="AK4" s="57">
        <v>0</v>
      </c>
      <c r="AL4" s="52"/>
    </row>
    <row r="5" spans="1:38" s="48" customFormat="1" ht="14.25" customHeight="1" x14ac:dyDescent="0.25">
      <c r="A5" s="50" t="s">
        <v>101</v>
      </c>
      <c r="B5" s="51">
        <v>27.3</v>
      </c>
      <c r="C5" s="51">
        <v>7.8</v>
      </c>
      <c r="D5" s="52"/>
      <c r="E5" s="53">
        <v>140.9</v>
      </c>
      <c r="F5" s="54">
        <v>4.62</v>
      </c>
      <c r="G5" s="54">
        <v>7.15</v>
      </c>
      <c r="H5" s="52"/>
      <c r="I5" s="55">
        <v>107.07</v>
      </c>
      <c r="J5" s="58">
        <v>2.5000000000000001E-2</v>
      </c>
      <c r="K5" s="51">
        <f>AVERAGE(1,1)</f>
        <v>1</v>
      </c>
      <c r="L5" s="51">
        <v>16</v>
      </c>
      <c r="M5" s="51">
        <f>AVERAGE(15,16,10)</f>
        <v>13.666666666666666</v>
      </c>
      <c r="N5" s="51">
        <f>AVERAGE(16,16,16,16)</f>
        <v>16</v>
      </c>
      <c r="O5" s="55">
        <v>3.64</v>
      </c>
      <c r="P5" s="51">
        <f t="shared" si="0"/>
        <v>100</v>
      </c>
      <c r="Q5" s="51">
        <f t="shared" si="1"/>
        <v>0</v>
      </c>
      <c r="R5" s="51">
        <f t="shared" si="1"/>
        <v>0</v>
      </c>
      <c r="S5" s="51">
        <f t="shared" si="1"/>
        <v>0</v>
      </c>
      <c r="T5" s="51">
        <f t="shared" si="1"/>
        <v>0</v>
      </c>
      <c r="U5" s="51">
        <f t="shared" si="1"/>
        <v>0</v>
      </c>
      <c r="V5" s="51">
        <f t="shared" si="1"/>
        <v>0</v>
      </c>
      <c r="W5" s="51">
        <f>AVERAGE(5,5,5,5)</f>
        <v>5</v>
      </c>
      <c r="X5" s="51">
        <f>AVERAGE(0,0,0,0)</f>
        <v>0</v>
      </c>
      <c r="Y5" s="51">
        <f>AVERAGE(5,5,5,5)</f>
        <v>5</v>
      </c>
      <c r="Z5" s="51">
        <f>AVERAGE(90,90,90,90)</f>
        <v>90</v>
      </c>
      <c r="AA5" s="51">
        <f>AVERAGE(10,10,10,10)</f>
        <v>10</v>
      </c>
      <c r="AB5" s="51">
        <f t="shared" si="2"/>
        <v>0</v>
      </c>
      <c r="AC5" s="51">
        <f>AVERAGE(5,5,5,5)</f>
        <v>5</v>
      </c>
      <c r="AD5" s="51">
        <f>AVERAGE(0,0,0,0)</f>
        <v>0</v>
      </c>
      <c r="AE5" s="51">
        <f>AVERAGE(20,20,20,20)</f>
        <v>20</v>
      </c>
      <c r="AF5" s="51">
        <f>AVERAGE(10,10,10,10)</f>
        <v>10</v>
      </c>
      <c r="AG5" s="51">
        <v>60.68</v>
      </c>
      <c r="AH5" s="57">
        <v>0</v>
      </c>
      <c r="AI5" s="51">
        <v>9.7100000000000009</v>
      </c>
      <c r="AJ5" s="57">
        <v>0</v>
      </c>
      <c r="AK5" s="57">
        <v>0</v>
      </c>
      <c r="AL5" s="52"/>
    </row>
    <row r="6" spans="1:38" s="48" customFormat="1" ht="14.25" customHeight="1" x14ac:dyDescent="0.25">
      <c r="A6" s="50" t="s">
        <v>102</v>
      </c>
      <c r="B6" s="51">
        <v>25.3</v>
      </c>
      <c r="C6" s="51">
        <v>7.8</v>
      </c>
      <c r="D6" s="52"/>
      <c r="E6" s="53">
        <v>154.1</v>
      </c>
      <c r="F6" s="54">
        <v>2.14</v>
      </c>
      <c r="G6" s="54">
        <v>6.83</v>
      </c>
      <c r="H6" s="52"/>
      <c r="I6" s="55">
        <v>112.84</v>
      </c>
      <c r="J6" s="56">
        <f>1/(AVERAGE(36.96,23.3,24.92))</f>
        <v>3.521953510213665E-2</v>
      </c>
      <c r="K6" s="51">
        <f>AVERAGE(2,3)</f>
        <v>2.5</v>
      </c>
      <c r="L6" s="51">
        <v>31</v>
      </c>
      <c r="M6" s="51">
        <f>AVERAGE(15,31,15)</f>
        <v>20.333333333333332</v>
      </c>
      <c r="N6" s="51">
        <f>AVERAGE(30,30,30,30)</f>
        <v>30</v>
      </c>
      <c r="O6" s="55">
        <v>4.4000000000000004</v>
      </c>
      <c r="P6" s="51">
        <f t="shared" si="0"/>
        <v>100</v>
      </c>
      <c r="Q6" s="51">
        <f t="shared" si="1"/>
        <v>0</v>
      </c>
      <c r="R6" s="51">
        <f t="shared" si="1"/>
        <v>0</v>
      </c>
      <c r="S6" s="51">
        <f t="shared" si="1"/>
        <v>0</v>
      </c>
      <c r="T6" s="51">
        <f t="shared" si="1"/>
        <v>0</v>
      </c>
      <c r="U6" s="51">
        <f t="shared" si="1"/>
        <v>0</v>
      </c>
      <c r="V6" s="51">
        <f t="shared" si="1"/>
        <v>0</v>
      </c>
      <c r="W6" s="51">
        <f>AVERAGE(30,30,30,30)</f>
        <v>30</v>
      </c>
      <c r="X6" s="51">
        <f>AVERAGE(5,5,5,5)</f>
        <v>5</v>
      </c>
      <c r="Y6" s="51">
        <f>AVERAGE(5,5,5,5)</f>
        <v>5</v>
      </c>
      <c r="Z6" s="51">
        <f>AVERAGE(80,80,80,80)</f>
        <v>80</v>
      </c>
      <c r="AA6" s="51">
        <f>AVERAGE(5,5,5,5)</f>
        <v>5</v>
      </c>
      <c r="AB6" s="51">
        <f t="shared" si="2"/>
        <v>0</v>
      </c>
      <c r="AC6" s="51">
        <f>AVERAGE(0,0,0,0)</f>
        <v>0</v>
      </c>
      <c r="AD6" s="51">
        <f>AVERAGE(5,5,5,5)</f>
        <v>5</v>
      </c>
      <c r="AE6" s="51">
        <f>AVERAGE(0,0,0,0)</f>
        <v>0</v>
      </c>
      <c r="AF6" s="51">
        <f>AVERAGE(5,5,5,5)</f>
        <v>5</v>
      </c>
      <c r="AG6" s="51">
        <v>52.05</v>
      </c>
      <c r="AH6" s="57">
        <v>0</v>
      </c>
      <c r="AI6" s="51">
        <v>12.57</v>
      </c>
      <c r="AJ6" s="57">
        <v>0</v>
      </c>
      <c r="AK6" s="51">
        <v>3</v>
      </c>
      <c r="AL6" s="52"/>
    </row>
    <row r="7" spans="1:38" s="48" customFormat="1" ht="14.25" customHeight="1" x14ac:dyDescent="0.25">
      <c r="A7" s="50" t="s">
        <v>103</v>
      </c>
      <c r="B7" s="51">
        <v>27.5</v>
      </c>
      <c r="C7" s="51">
        <v>7.2</v>
      </c>
      <c r="D7" s="52"/>
      <c r="E7" s="53">
        <v>156.80000000000001</v>
      </c>
      <c r="F7" s="54">
        <v>2.12</v>
      </c>
      <c r="G7" s="54">
        <v>7.73</v>
      </c>
      <c r="H7" s="52"/>
      <c r="I7" s="55">
        <v>112.84</v>
      </c>
      <c r="J7" s="56">
        <f>1/(AVERAGE(36.96,23.3,24.92))</f>
        <v>3.521953510213665E-2</v>
      </c>
      <c r="K7" s="51">
        <f>AVERAGE(2,3)</f>
        <v>2.5</v>
      </c>
      <c r="L7" s="51">
        <v>31</v>
      </c>
      <c r="M7" s="51">
        <f>AVERAGE(15,31,15)</f>
        <v>20.333333333333332</v>
      </c>
      <c r="N7" s="51">
        <f>AVERAGE(30,30,30,30)</f>
        <v>30</v>
      </c>
      <c r="O7" s="55">
        <v>4.4000000000000004</v>
      </c>
      <c r="P7" s="51">
        <f t="shared" si="0"/>
        <v>100</v>
      </c>
      <c r="Q7" s="51">
        <f t="shared" si="1"/>
        <v>0</v>
      </c>
      <c r="R7" s="51">
        <f t="shared" si="1"/>
        <v>0</v>
      </c>
      <c r="S7" s="51">
        <f t="shared" si="1"/>
        <v>0</v>
      </c>
      <c r="T7" s="51">
        <f t="shared" si="1"/>
        <v>0</v>
      </c>
      <c r="U7" s="51">
        <f t="shared" si="1"/>
        <v>0</v>
      </c>
      <c r="V7" s="51">
        <f t="shared" si="1"/>
        <v>0</v>
      </c>
      <c r="W7" s="51">
        <f>AVERAGE(30,30,30,30)</f>
        <v>30</v>
      </c>
      <c r="X7" s="51">
        <f>AVERAGE(5,5,5,5)</f>
        <v>5</v>
      </c>
      <c r="Y7" s="51">
        <f>AVERAGE(15,15,15,15)</f>
        <v>15</v>
      </c>
      <c r="Z7" s="51">
        <f>AVERAGE(85,85,85,85)</f>
        <v>85</v>
      </c>
      <c r="AA7" s="51">
        <f>AVERAGE(1,1,1,1)</f>
        <v>1</v>
      </c>
      <c r="AB7" s="51">
        <f t="shared" si="2"/>
        <v>0</v>
      </c>
      <c r="AC7" s="51">
        <f>AVERAGE(1,1,1,1)</f>
        <v>1</v>
      </c>
      <c r="AD7" s="51">
        <f>AVERAGE(15,15,15,15)</f>
        <v>15</v>
      </c>
      <c r="AE7" s="51">
        <f>AVERAGE(1,1,1,1)</f>
        <v>1</v>
      </c>
      <c r="AF7" s="51">
        <f>AVERAGE(5,5,5,5)</f>
        <v>5</v>
      </c>
      <c r="AG7" s="51">
        <v>77.05</v>
      </c>
      <c r="AH7" s="57">
        <v>0</v>
      </c>
      <c r="AI7" s="51">
        <v>6.86</v>
      </c>
      <c r="AJ7" s="57">
        <v>0</v>
      </c>
      <c r="AK7" s="51">
        <v>10.33</v>
      </c>
      <c r="AL7" s="52"/>
    </row>
    <row r="8" spans="1:38" s="48" customFormat="1" ht="14.25" customHeight="1" x14ac:dyDescent="0.25">
      <c r="A8" s="50" t="s">
        <v>104</v>
      </c>
      <c r="B8" s="51">
        <v>26.8</v>
      </c>
      <c r="C8" s="51">
        <v>7.6</v>
      </c>
      <c r="D8" s="52"/>
      <c r="E8" s="53">
        <v>134.1</v>
      </c>
      <c r="F8" s="54">
        <v>14.1</v>
      </c>
      <c r="G8" s="54">
        <v>5.87</v>
      </c>
      <c r="H8" s="52"/>
      <c r="I8" s="55">
        <v>112.84</v>
      </c>
      <c r="J8" s="56">
        <f>1/(AVERAGE(36.96,23.3,24.92))</f>
        <v>3.521953510213665E-2</v>
      </c>
      <c r="K8" s="51">
        <f>AVERAGE(2,3)</f>
        <v>2.5</v>
      </c>
      <c r="L8" s="51">
        <v>29</v>
      </c>
      <c r="M8" s="51">
        <f>AVERAGE(36,29,20)</f>
        <v>28.333333333333332</v>
      </c>
      <c r="N8" s="51">
        <f>AVERAGE(30,30,30,30)</f>
        <v>30</v>
      </c>
      <c r="O8" s="55">
        <v>2.2999999999999998</v>
      </c>
      <c r="P8" s="51">
        <f t="shared" si="0"/>
        <v>100</v>
      </c>
      <c r="Q8" s="51">
        <f t="shared" si="1"/>
        <v>0</v>
      </c>
      <c r="R8" s="51">
        <f t="shared" si="1"/>
        <v>0</v>
      </c>
      <c r="S8" s="51">
        <f t="shared" si="1"/>
        <v>0</v>
      </c>
      <c r="T8" s="51">
        <f t="shared" si="1"/>
        <v>0</v>
      </c>
      <c r="U8" s="51">
        <f t="shared" si="1"/>
        <v>0</v>
      </c>
      <c r="V8" s="51">
        <f t="shared" si="1"/>
        <v>0</v>
      </c>
      <c r="W8" s="51">
        <f>AVERAGE(0,0,0,0)</f>
        <v>0</v>
      </c>
      <c r="X8" s="51">
        <f>AVERAGE(5,5,5,5)</f>
        <v>5</v>
      </c>
      <c r="Y8" s="51">
        <f>AVERAGE(5,5,5,5)</f>
        <v>5</v>
      </c>
      <c r="Z8" s="51">
        <f>AVERAGE(80,80,80,80)</f>
        <v>80</v>
      </c>
      <c r="AA8" s="51">
        <f>AVERAGE(5,5,5,5)</f>
        <v>5</v>
      </c>
      <c r="AB8" s="51">
        <f t="shared" si="2"/>
        <v>0</v>
      </c>
      <c r="AC8" s="51">
        <f>AVERAGE(0,0,0,0)</f>
        <v>0</v>
      </c>
      <c r="AD8" s="51">
        <f>AVERAGE(5,5,5,5)</f>
        <v>5</v>
      </c>
      <c r="AE8" s="51">
        <f>AVERAGE(0,0,0,0)</f>
        <v>0</v>
      </c>
      <c r="AF8" s="51">
        <f>AVERAGE(5,5,5,5)</f>
        <v>5</v>
      </c>
      <c r="AG8" s="51">
        <v>47.5</v>
      </c>
      <c r="AH8" s="57">
        <v>0</v>
      </c>
      <c r="AI8" s="51">
        <v>6.86</v>
      </c>
      <c r="AJ8" s="57">
        <v>0</v>
      </c>
      <c r="AK8" s="51">
        <v>0.33</v>
      </c>
      <c r="AL8" s="52"/>
    </row>
    <row r="9" spans="1:38" s="48" customFormat="1" ht="14.25" customHeight="1" x14ac:dyDescent="0.25">
      <c r="A9" s="50" t="s">
        <v>105</v>
      </c>
      <c r="B9" s="51">
        <v>24.9</v>
      </c>
      <c r="C9" s="51">
        <v>7.7</v>
      </c>
      <c r="D9" s="52"/>
      <c r="E9" s="53">
        <v>98.28</v>
      </c>
      <c r="F9" s="54">
        <v>1.51</v>
      </c>
      <c r="G9" s="54">
        <v>5.76</v>
      </c>
      <c r="H9" s="52"/>
      <c r="I9" s="55">
        <v>89.046999999999997</v>
      </c>
      <c r="J9" s="56">
        <f>1/(AVERAGE(39.91,50.26))</f>
        <v>2.218032605079295E-2</v>
      </c>
      <c r="K9" s="51">
        <f>AVERAGE(2,3)</f>
        <v>2.5</v>
      </c>
      <c r="L9" s="51">
        <v>22</v>
      </c>
      <c r="M9" s="51">
        <f>AVERAGE(11,22,15)</f>
        <v>16</v>
      </c>
      <c r="N9" s="51">
        <f>AVERAGE(42,42,42,42)</f>
        <v>42</v>
      </c>
      <c r="O9" s="55">
        <v>2.1</v>
      </c>
      <c r="P9" s="51">
        <f>AVERAGE(90,90,90,90)</f>
        <v>90</v>
      </c>
      <c r="Q9" s="51">
        <f>AVERAGE(10,10,10,10)</f>
        <v>10</v>
      </c>
      <c r="R9" s="51">
        <f t="shared" ref="R9:V20" si="3">AVERAGE(0,0,0,0)</f>
        <v>0</v>
      </c>
      <c r="S9" s="51">
        <f t="shared" si="3"/>
        <v>0</v>
      </c>
      <c r="T9" s="51">
        <f t="shared" si="3"/>
        <v>0</v>
      </c>
      <c r="U9" s="51">
        <f t="shared" si="3"/>
        <v>0</v>
      </c>
      <c r="V9" s="51">
        <f t="shared" si="3"/>
        <v>0</v>
      </c>
      <c r="W9" s="51">
        <f>AVERAGE(0,0,0,0)</f>
        <v>0</v>
      </c>
      <c r="X9" s="51">
        <f>AVERAGE(5,5,5,5)</f>
        <v>5</v>
      </c>
      <c r="Y9" s="51">
        <f>AVERAGE(0,0,0,0)</f>
        <v>0</v>
      </c>
      <c r="Z9" s="51">
        <f>AVERAGE(90,90,90,90)</f>
        <v>90</v>
      </c>
      <c r="AA9" s="51">
        <f>AVERAGE(30,30,30,30)</f>
        <v>30</v>
      </c>
      <c r="AB9" s="51">
        <f>AVERAGE(1,1,1,1)</f>
        <v>1</v>
      </c>
      <c r="AC9" s="51">
        <f>AVERAGE(1,1,1,1)</f>
        <v>1</v>
      </c>
      <c r="AD9" s="51">
        <f>AVERAGE(15,15,15,15)</f>
        <v>15</v>
      </c>
      <c r="AE9" s="51">
        <f>AVERAGE(5,5,5,5)</f>
        <v>5</v>
      </c>
      <c r="AF9" s="51">
        <f>AVERAGE(10,10,10,10)</f>
        <v>10</v>
      </c>
      <c r="AG9" s="51">
        <v>33.409999999999997</v>
      </c>
      <c r="AH9" s="57">
        <v>0</v>
      </c>
      <c r="AI9" s="57">
        <v>0</v>
      </c>
      <c r="AJ9" s="57">
        <v>0</v>
      </c>
      <c r="AK9" s="57">
        <v>0</v>
      </c>
      <c r="AL9" s="52"/>
    </row>
    <row r="10" spans="1:38" s="48" customFormat="1" ht="14.25" customHeight="1" x14ac:dyDescent="0.25">
      <c r="A10" s="50" t="s">
        <v>106</v>
      </c>
      <c r="B10" s="51">
        <v>25.3</v>
      </c>
      <c r="C10" s="51">
        <v>7.9</v>
      </c>
      <c r="D10" s="52"/>
      <c r="E10" s="53">
        <v>160.19999999999999</v>
      </c>
      <c r="F10" s="54">
        <v>9.25</v>
      </c>
      <c r="G10" s="54">
        <v>6.05</v>
      </c>
      <c r="H10" s="52"/>
      <c r="I10" s="55">
        <v>89.046999999999997</v>
      </c>
      <c r="J10" s="56">
        <f>1/(AVERAGE(10.23,10.75,8.77,9.38,8.2,8.77,8.46))</f>
        <v>0.10842627013630732</v>
      </c>
      <c r="K10" s="51">
        <f>AVERAGE(1,2)</f>
        <v>1.5</v>
      </c>
      <c r="L10" s="51">
        <v>20</v>
      </c>
      <c r="M10" s="51">
        <f>AVERAGE(25,20,16)</f>
        <v>20.333333333333332</v>
      </c>
      <c r="N10" s="51">
        <f>AVERAGE(29,29,29,29)</f>
        <v>29</v>
      </c>
      <c r="O10" s="55">
        <v>1.1399999999999999</v>
      </c>
      <c r="P10" s="51">
        <f>AVERAGE(90,90,90,90)</f>
        <v>90</v>
      </c>
      <c r="Q10" s="51">
        <f>AVERAGE(10,10,10,10)</f>
        <v>10</v>
      </c>
      <c r="R10" s="51">
        <f t="shared" si="3"/>
        <v>0</v>
      </c>
      <c r="S10" s="51">
        <f t="shared" si="3"/>
        <v>0</v>
      </c>
      <c r="T10" s="51">
        <f t="shared" si="3"/>
        <v>0</v>
      </c>
      <c r="U10" s="51">
        <f t="shared" si="3"/>
        <v>0</v>
      </c>
      <c r="V10" s="51">
        <f t="shared" si="3"/>
        <v>0</v>
      </c>
      <c r="W10" s="51">
        <f>AVERAGE(0,0,0,0)</f>
        <v>0</v>
      </c>
      <c r="X10" s="51">
        <f>AVERAGE(0,0,0,0)</f>
        <v>0</v>
      </c>
      <c r="Y10" s="51">
        <f>AVERAGE(0,0,0,0)</f>
        <v>0</v>
      </c>
      <c r="Z10" s="51">
        <f>AVERAGE(85,85,85,85)</f>
        <v>85</v>
      </c>
      <c r="AA10" s="51">
        <f>AVERAGE(5,5,5,5)</f>
        <v>5</v>
      </c>
      <c r="AB10" s="51">
        <f>AVERAGE(20,20,20,20)</f>
        <v>20</v>
      </c>
      <c r="AC10" s="51">
        <f>AVERAGE(1,1,1,1)</f>
        <v>1</v>
      </c>
      <c r="AD10" s="51">
        <f>AVERAGE(10,10,10,10)</f>
        <v>10</v>
      </c>
      <c r="AE10" s="51">
        <f>AVERAGE(10,10,10,10)</f>
        <v>10</v>
      </c>
      <c r="AF10" s="51">
        <f>AVERAGE(1,1,1,1)</f>
        <v>1</v>
      </c>
      <c r="AG10" s="51">
        <v>115.68</v>
      </c>
      <c r="AH10" s="57">
        <v>0</v>
      </c>
      <c r="AI10" s="51">
        <v>12.57</v>
      </c>
      <c r="AJ10" s="51">
        <v>3</v>
      </c>
      <c r="AK10" s="51">
        <v>150.33000000000001</v>
      </c>
      <c r="AL10" s="52"/>
    </row>
    <row r="11" spans="1:38" s="48" customFormat="1" ht="14.25" customHeight="1" x14ac:dyDescent="0.25">
      <c r="A11" s="50" t="s">
        <v>107</v>
      </c>
      <c r="B11" s="51">
        <v>25.5</v>
      </c>
      <c r="C11" s="51">
        <v>8</v>
      </c>
      <c r="D11" s="52"/>
      <c r="E11" s="53">
        <v>128.5</v>
      </c>
      <c r="F11" s="54">
        <v>2.52</v>
      </c>
      <c r="G11" s="54">
        <v>4.55</v>
      </c>
      <c r="H11" s="52"/>
      <c r="I11" s="55">
        <v>89.046999999999997</v>
      </c>
      <c r="J11" s="56">
        <f>1/(AVERAGE(10.59,13,13.52,13.42,10.82,7.62,11.28))</f>
        <v>8.7227414330218078E-2</v>
      </c>
      <c r="K11" s="51">
        <f>AVERAGE(2,3)</f>
        <v>2.5</v>
      </c>
      <c r="L11" s="51">
        <v>26</v>
      </c>
      <c r="M11" s="51">
        <f>AVERAGE(21,26,21)</f>
        <v>22.666666666666668</v>
      </c>
      <c r="N11" s="51">
        <f>AVERAGE(15,15,15,15)</f>
        <v>15</v>
      </c>
      <c r="O11" s="55">
        <v>1.8</v>
      </c>
      <c r="P11" s="51">
        <f>AVERAGE(90,90,90,90)</f>
        <v>90</v>
      </c>
      <c r="Q11" s="51">
        <f>AVERAGE(10,10,10,10)</f>
        <v>10</v>
      </c>
      <c r="R11" s="51">
        <f t="shared" si="3"/>
        <v>0</v>
      </c>
      <c r="S11" s="51">
        <f t="shared" si="3"/>
        <v>0</v>
      </c>
      <c r="T11" s="51">
        <f t="shared" si="3"/>
        <v>0</v>
      </c>
      <c r="U11" s="51">
        <f t="shared" si="3"/>
        <v>0</v>
      </c>
      <c r="V11" s="51">
        <f t="shared" si="3"/>
        <v>0</v>
      </c>
      <c r="W11" s="51">
        <f>AVERAGE(0,0,0,0)</f>
        <v>0</v>
      </c>
      <c r="X11" s="51">
        <f>AVERAGE(1,1,1,1)</f>
        <v>1</v>
      </c>
      <c r="Y11" s="51">
        <f>AVERAGE(10,10,10,10)</f>
        <v>10</v>
      </c>
      <c r="Z11" s="51">
        <f>AVERAGE(80,80,80,80)</f>
        <v>80</v>
      </c>
      <c r="AA11" s="51">
        <f>AVERAGE(25,25,25,25)</f>
        <v>25</v>
      </c>
      <c r="AB11" s="51">
        <f>AVERAGE(5,5,5,5)</f>
        <v>5</v>
      </c>
      <c r="AC11" s="51">
        <f>AVERAGE(5,5,5,5)</f>
        <v>5</v>
      </c>
      <c r="AD11" s="51">
        <f>AVERAGE(5,5,5,5)</f>
        <v>5</v>
      </c>
      <c r="AE11" s="51">
        <f>AVERAGE(5,5,5,5)</f>
        <v>5</v>
      </c>
      <c r="AF11" s="51">
        <f>AVERAGE(0,0,0,0)</f>
        <v>0</v>
      </c>
      <c r="AG11" s="51">
        <v>67.05</v>
      </c>
      <c r="AH11" s="57">
        <v>0</v>
      </c>
      <c r="AI11" s="51">
        <v>4</v>
      </c>
      <c r="AJ11" s="57">
        <v>0</v>
      </c>
      <c r="AK11" s="57">
        <v>0</v>
      </c>
      <c r="AL11" s="52"/>
    </row>
    <row r="12" spans="1:38" s="48" customFormat="1" ht="14.25" customHeight="1" x14ac:dyDescent="0.25">
      <c r="A12" s="50" t="s">
        <v>108</v>
      </c>
      <c r="B12" s="51">
        <v>28.5</v>
      </c>
      <c r="C12" s="51">
        <v>8.4</v>
      </c>
      <c r="D12" s="52"/>
      <c r="E12" s="53">
        <v>161.30000000000001</v>
      </c>
      <c r="F12" s="54">
        <v>6.26</v>
      </c>
      <c r="G12" s="54">
        <v>6</v>
      </c>
      <c r="H12" s="52"/>
      <c r="I12" s="55">
        <v>89.058999999999997</v>
      </c>
      <c r="J12" s="56">
        <v>0</v>
      </c>
      <c r="K12" s="51">
        <f>AVERAGE(2,2)</f>
        <v>2</v>
      </c>
      <c r="L12" s="53">
        <v>56</v>
      </c>
      <c r="M12" s="51">
        <f>AVERAGE(49,56,49)</f>
        <v>51.333333333333336</v>
      </c>
      <c r="N12" s="51">
        <f>AVERAGE(49,49,49,49)</f>
        <v>49</v>
      </c>
      <c r="O12" s="55">
        <v>14.6</v>
      </c>
      <c r="P12" s="51">
        <f>AVERAGE(80,80,80,80)</f>
        <v>80</v>
      </c>
      <c r="Q12" s="51">
        <f>AVERAGE(20,20,20,20)</f>
        <v>20</v>
      </c>
      <c r="R12" s="51">
        <f t="shared" si="3"/>
        <v>0</v>
      </c>
      <c r="S12" s="51">
        <f t="shared" si="3"/>
        <v>0</v>
      </c>
      <c r="T12" s="51">
        <f t="shared" si="3"/>
        <v>0</v>
      </c>
      <c r="U12" s="51">
        <f t="shared" si="3"/>
        <v>0</v>
      </c>
      <c r="V12" s="51">
        <f t="shared" si="3"/>
        <v>0</v>
      </c>
      <c r="W12" s="51">
        <f>AVERAGE(60,60,60,60)</f>
        <v>60</v>
      </c>
      <c r="X12" s="51">
        <f>AVERAGE(50,50,50,50)</f>
        <v>50</v>
      </c>
      <c r="Y12" s="51">
        <f>AVERAGE(0,0,0,0)</f>
        <v>0</v>
      </c>
      <c r="Z12" s="51">
        <f>AVERAGE(30,30,30,30)</f>
        <v>30</v>
      </c>
      <c r="AA12" s="51">
        <f>AVERAGE(30,30,30,30)</f>
        <v>30</v>
      </c>
      <c r="AB12" s="51">
        <f>AVERAGE(0,0,0,0)</f>
        <v>0</v>
      </c>
      <c r="AC12" s="51">
        <f>AVERAGE(15,15,15,15)</f>
        <v>15</v>
      </c>
      <c r="AD12" s="51">
        <f>AVERAGE(0,0,0,0)</f>
        <v>0</v>
      </c>
      <c r="AE12" s="51">
        <f>AVERAGE(10,10,10,10)</f>
        <v>10</v>
      </c>
      <c r="AF12" s="51">
        <f>AVERAGE(20,20,20,20)</f>
        <v>20</v>
      </c>
      <c r="AG12" s="51">
        <v>92.95</v>
      </c>
      <c r="AH12" s="57">
        <v>0</v>
      </c>
      <c r="AI12" s="51">
        <v>14</v>
      </c>
      <c r="AJ12" s="57">
        <v>0</v>
      </c>
      <c r="AK12" s="51">
        <v>27</v>
      </c>
      <c r="AL12" s="52"/>
    </row>
    <row r="13" spans="1:38" s="48" customFormat="1" ht="14.25" customHeight="1" x14ac:dyDescent="0.25">
      <c r="A13" s="50" t="s">
        <v>110</v>
      </c>
      <c r="B13" s="51">
        <v>27.8</v>
      </c>
      <c r="C13" s="51">
        <v>7.7</v>
      </c>
      <c r="D13" s="52"/>
      <c r="E13" s="47">
        <v>161.80000000000001</v>
      </c>
      <c r="F13" s="54">
        <v>6.8</v>
      </c>
      <c r="G13" s="54">
        <v>5.93</v>
      </c>
      <c r="H13" s="52"/>
      <c r="I13" s="55">
        <v>89.058999999999997</v>
      </c>
      <c r="J13" s="56">
        <v>0</v>
      </c>
      <c r="K13" s="51">
        <f>AVERAGE(2,2)</f>
        <v>2</v>
      </c>
      <c r="L13" s="51">
        <v>56</v>
      </c>
      <c r="M13" s="51">
        <f>AVERAGE(49,56,49)</f>
        <v>51.333333333333336</v>
      </c>
      <c r="N13" s="51">
        <f>AVERAGE(87,87,87,87)</f>
        <v>87</v>
      </c>
      <c r="O13" s="55">
        <v>14.6</v>
      </c>
      <c r="P13" s="51">
        <f>AVERAGE(80,80,80,80)</f>
        <v>80</v>
      </c>
      <c r="Q13" s="51">
        <f>AVERAGE(20,20,20,20)</f>
        <v>20</v>
      </c>
      <c r="R13" s="51">
        <f t="shared" si="3"/>
        <v>0</v>
      </c>
      <c r="S13" s="51">
        <f t="shared" si="3"/>
        <v>0</v>
      </c>
      <c r="T13" s="51">
        <f t="shared" si="3"/>
        <v>0</v>
      </c>
      <c r="U13" s="53">
        <f t="shared" si="3"/>
        <v>0</v>
      </c>
      <c r="V13" s="51">
        <f t="shared" si="3"/>
        <v>0</v>
      </c>
      <c r="W13" s="51">
        <f>AVERAGE(25,25,25,25)</f>
        <v>25</v>
      </c>
      <c r="X13" s="51">
        <f>AVERAGE(20,20,20,20)</f>
        <v>20</v>
      </c>
      <c r="Y13" s="51">
        <f>AVERAGE(5,5,5,5)</f>
        <v>5</v>
      </c>
      <c r="Z13" s="51">
        <f>AVERAGE(30,30,30,30)</f>
        <v>30</v>
      </c>
      <c r="AA13" s="51">
        <f>AVERAGE(20,20,20,20)</f>
        <v>20</v>
      </c>
      <c r="AB13" s="51">
        <f>AVERAGE(0,0,0,0)</f>
        <v>0</v>
      </c>
      <c r="AC13" s="51">
        <f>AVERAGE(20,20,20,20)</f>
        <v>20</v>
      </c>
      <c r="AD13" s="51">
        <f>AVERAGE(0,0,0,0)</f>
        <v>0</v>
      </c>
      <c r="AE13" s="51">
        <f>AVERAGE(15,15,15,15)</f>
        <v>15</v>
      </c>
      <c r="AF13" s="51">
        <f>AVERAGE(20,20,20,20)</f>
        <v>20</v>
      </c>
      <c r="AG13" s="51">
        <v>68.86</v>
      </c>
      <c r="AH13" s="57">
        <v>0</v>
      </c>
      <c r="AI13" s="51">
        <v>11.14</v>
      </c>
      <c r="AJ13" s="57">
        <v>0</v>
      </c>
      <c r="AK13" s="57">
        <v>0</v>
      </c>
      <c r="AL13" s="52"/>
    </row>
    <row r="14" spans="1:38" s="48" customFormat="1" ht="14.25" customHeight="1" x14ac:dyDescent="0.25">
      <c r="A14" s="50" t="s">
        <v>111</v>
      </c>
      <c r="B14" s="53">
        <v>27</v>
      </c>
      <c r="C14" s="51">
        <v>6.5</v>
      </c>
      <c r="D14" s="52"/>
      <c r="E14" s="47">
        <v>158.80000000000001</v>
      </c>
      <c r="F14" s="54">
        <v>6.13</v>
      </c>
      <c r="G14" s="54">
        <v>5.87</v>
      </c>
      <c r="H14" s="52"/>
      <c r="I14" s="55">
        <v>89.058999999999997</v>
      </c>
      <c r="J14" s="58">
        <v>0</v>
      </c>
      <c r="K14" s="51">
        <f>AVERAGE(2,2)</f>
        <v>2</v>
      </c>
      <c r="L14" s="51">
        <v>38</v>
      </c>
      <c r="M14" s="51">
        <f>AVERAGE(26,38,26)</f>
        <v>30</v>
      </c>
      <c r="N14" s="51">
        <f>AVERAGE(24,24,20,20)</f>
        <v>22</v>
      </c>
      <c r="O14" s="59">
        <v>14.6</v>
      </c>
      <c r="P14" s="60">
        <v>80</v>
      </c>
      <c r="Q14" s="60">
        <v>20</v>
      </c>
      <c r="R14" s="51">
        <f t="shared" si="3"/>
        <v>0</v>
      </c>
      <c r="S14" s="51">
        <f t="shared" si="3"/>
        <v>0</v>
      </c>
      <c r="T14" s="51">
        <f t="shared" si="3"/>
        <v>0</v>
      </c>
      <c r="U14" s="51">
        <f t="shared" si="3"/>
        <v>0</v>
      </c>
      <c r="V14" s="51">
        <f t="shared" si="3"/>
        <v>0</v>
      </c>
      <c r="W14" s="51">
        <f>AVERAGE(15,15,30,30)</f>
        <v>22.5</v>
      </c>
      <c r="X14" s="51">
        <f>AVERAGE(15,15,80,80)</f>
        <v>47.5</v>
      </c>
      <c r="Y14" s="51">
        <f>AVERAGE(5,5,5,5)</f>
        <v>5</v>
      </c>
      <c r="Z14" s="51">
        <f>AVERAGE(30,30,30,30)</f>
        <v>30</v>
      </c>
      <c r="AA14" s="51">
        <f>AVERAGE(30,30,30,30)</f>
        <v>30</v>
      </c>
      <c r="AB14" s="60">
        <v>0</v>
      </c>
      <c r="AC14" s="60">
        <v>15</v>
      </c>
      <c r="AD14" s="51">
        <f>AVERAGE(0,0,0,0)</f>
        <v>0</v>
      </c>
      <c r="AE14" s="51">
        <f>AVERAGE(10,10,10,10)</f>
        <v>10</v>
      </c>
      <c r="AF14" s="60">
        <v>20</v>
      </c>
      <c r="AG14" s="51">
        <v>82.95</v>
      </c>
      <c r="AH14" s="57">
        <v>0</v>
      </c>
      <c r="AI14" s="51">
        <v>31.14</v>
      </c>
      <c r="AJ14" s="57">
        <v>0</v>
      </c>
      <c r="AK14" s="57">
        <v>0</v>
      </c>
      <c r="AL14" s="52"/>
    </row>
    <row r="15" spans="1:38" s="48" customFormat="1" ht="14.25" customHeight="1" x14ac:dyDescent="0.25">
      <c r="A15" s="50" t="s">
        <v>112</v>
      </c>
      <c r="B15" s="51">
        <v>27.3</v>
      </c>
      <c r="C15" s="51">
        <v>7.9</v>
      </c>
      <c r="D15" s="52"/>
      <c r="E15" s="47">
        <v>165.5</v>
      </c>
      <c r="F15" s="54">
        <v>17.2</v>
      </c>
      <c r="G15" s="54">
        <v>6.59</v>
      </c>
      <c r="H15" s="52"/>
      <c r="I15" s="55">
        <v>71.022999999999996</v>
      </c>
      <c r="J15" s="56">
        <f>1/(AVERAGE(4,4,3,3,3,4,4))</f>
        <v>0.27999999999999997</v>
      </c>
      <c r="K15" s="51">
        <f>AVERAGE(3,3)</f>
        <v>3</v>
      </c>
      <c r="L15" s="51">
        <v>21</v>
      </c>
      <c r="M15" s="53">
        <f>AVERAGE(16,21,10)</f>
        <v>15.666666666666666</v>
      </c>
      <c r="N15" s="51">
        <f>AVERAGE(20,20,20,20)</f>
        <v>20</v>
      </c>
      <c r="O15" s="54">
        <v>0.81</v>
      </c>
      <c r="P15" s="51">
        <f>AVERAGE(80,80,80,80)</f>
        <v>80</v>
      </c>
      <c r="Q15" s="51">
        <f>AVERAGE(20,20,20,20)</f>
        <v>20</v>
      </c>
      <c r="R15" s="51">
        <f t="shared" si="3"/>
        <v>0</v>
      </c>
      <c r="S15" s="51">
        <f t="shared" si="3"/>
        <v>0</v>
      </c>
      <c r="T15" s="51">
        <f t="shared" si="3"/>
        <v>0</v>
      </c>
      <c r="U15" s="51">
        <f t="shared" si="3"/>
        <v>0</v>
      </c>
      <c r="V15" s="51">
        <f t="shared" si="3"/>
        <v>0</v>
      </c>
      <c r="W15" s="51">
        <f t="shared" ref="W15:X17" si="4">AVERAGE(0,0,0,0)</f>
        <v>0</v>
      </c>
      <c r="X15" s="51">
        <f t="shared" si="4"/>
        <v>0</v>
      </c>
      <c r="Y15" s="51">
        <f>AVERAGE(10,10,10,10)</f>
        <v>10</v>
      </c>
      <c r="Z15" s="51">
        <f>AVERAGE(80,80,80,80)</f>
        <v>80</v>
      </c>
      <c r="AA15" s="51">
        <f>AVERAGE(30,30,30,30)</f>
        <v>30</v>
      </c>
      <c r="AB15" s="51">
        <f t="shared" ref="AB15:AB20" si="5">AVERAGE(0,0,0,0)</f>
        <v>0</v>
      </c>
      <c r="AC15" s="51">
        <f t="shared" ref="AC15:AC20" si="6">AVERAGE(0,0,0,0)</f>
        <v>0</v>
      </c>
      <c r="AD15" s="51">
        <f>AVERAGE(50,50,50,50)</f>
        <v>50</v>
      </c>
      <c r="AE15" s="51">
        <f>AVERAGE(0,0,0,0)</f>
        <v>0</v>
      </c>
      <c r="AF15" s="51">
        <f>AVERAGE(1,1,1,1)</f>
        <v>1</v>
      </c>
      <c r="AG15" s="51">
        <v>77.95</v>
      </c>
      <c r="AH15" s="57">
        <v>0</v>
      </c>
      <c r="AI15" s="51">
        <v>18.29</v>
      </c>
      <c r="AJ15" s="57">
        <v>0</v>
      </c>
      <c r="AK15" s="51">
        <v>22</v>
      </c>
      <c r="AL15" s="52"/>
    </row>
    <row r="16" spans="1:38" s="48" customFormat="1" ht="14.25" customHeight="1" x14ac:dyDescent="0.25">
      <c r="A16" s="50" t="s">
        <v>114</v>
      </c>
      <c r="B16" s="51">
        <v>26.9</v>
      </c>
      <c r="C16" s="51">
        <v>7.8</v>
      </c>
      <c r="D16" s="52"/>
      <c r="E16" s="47">
        <v>163.19999999999999</v>
      </c>
      <c r="F16" s="54">
        <v>17.7</v>
      </c>
      <c r="G16" s="54">
        <v>6.59</v>
      </c>
      <c r="H16" s="52"/>
      <c r="I16" s="55">
        <v>71.022999999999996</v>
      </c>
      <c r="J16" s="56">
        <f>1/(AVERAGE(7,4,3,3,3,3,5))</f>
        <v>0.25</v>
      </c>
      <c r="K16" s="51">
        <f>AVERAGE(3,3)</f>
        <v>3</v>
      </c>
      <c r="L16" s="51">
        <v>22</v>
      </c>
      <c r="M16" s="53">
        <f>AVERAGE(11,22,12)</f>
        <v>15</v>
      </c>
      <c r="N16" s="51">
        <f>AVERAGE(20,20,20,20)</f>
        <v>20</v>
      </c>
      <c r="O16" s="54">
        <v>1.6</v>
      </c>
      <c r="P16" s="51">
        <f>AVERAGE(60,60,60,60)</f>
        <v>60</v>
      </c>
      <c r="Q16" s="51">
        <f>AVERAGE(40,40,40,40)</f>
        <v>40</v>
      </c>
      <c r="R16" s="51">
        <f t="shared" si="3"/>
        <v>0</v>
      </c>
      <c r="S16" s="51">
        <f t="shared" si="3"/>
        <v>0</v>
      </c>
      <c r="T16" s="51">
        <f t="shared" si="3"/>
        <v>0</v>
      </c>
      <c r="U16" s="51">
        <f t="shared" si="3"/>
        <v>0</v>
      </c>
      <c r="V16" s="51">
        <f t="shared" si="3"/>
        <v>0</v>
      </c>
      <c r="W16" s="51">
        <f t="shared" si="4"/>
        <v>0</v>
      </c>
      <c r="X16" s="51">
        <f t="shared" si="4"/>
        <v>0</v>
      </c>
      <c r="Y16" s="51">
        <f>AVERAGE(20,20,20,20)</f>
        <v>20</v>
      </c>
      <c r="Z16" s="51">
        <f>AVERAGE(70,70,70,70)</f>
        <v>70</v>
      </c>
      <c r="AA16" s="51">
        <f>AVERAGE(1,1,1,1)</f>
        <v>1</v>
      </c>
      <c r="AB16" s="51">
        <f t="shared" si="5"/>
        <v>0</v>
      </c>
      <c r="AC16" s="51">
        <f t="shared" si="6"/>
        <v>0</v>
      </c>
      <c r="AD16" s="51">
        <f>AVERAGE(90,90,90,90)</f>
        <v>90</v>
      </c>
      <c r="AE16" s="51">
        <f>AVERAGE(0,0,0,0)</f>
        <v>0</v>
      </c>
      <c r="AF16" s="51">
        <f>AVERAGE(10,10,10,10)</f>
        <v>10</v>
      </c>
      <c r="AG16" s="51">
        <v>99.32</v>
      </c>
      <c r="AH16" s="57">
        <v>0</v>
      </c>
      <c r="AI16" s="51">
        <v>16.86</v>
      </c>
      <c r="AJ16" s="57">
        <v>0</v>
      </c>
      <c r="AK16" s="51">
        <v>20.329999999999998</v>
      </c>
      <c r="AL16" s="52"/>
    </row>
    <row r="17" spans="1:38" s="48" customFormat="1" ht="14.25" customHeight="1" x14ac:dyDescent="0.25">
      <c r="A17" s="50" t="s">
        <v>115</v>
      </c>
      <c r="B17" s="51">
        <v>26.6</v>
      </c>
      <c r="C17" s="51">
        <v>7.9</v>
      </c>
      <c r="D17" s="52"/>
      <c r="E17" s="47">
        <v>161.19999999999999</v>
      </c>
      <c r="F17" s="54">
        <v>17.5</v>
      </c>
      <c r="G17" s="54">
        <v>6.59</v>
      </c>
      <c r="H17" s="52"/>
      <c r="I17" s="55">
        <v>71.022999999999996</v>
      </c>
      <c r="J17" s="56">
        <f>1/(AVERAGE(9,2,2,2,2,2,2,2))</f>
        <v>0.34782608695652173</v>
      </c>
      <c r="K17" s="51">
        <f>AVERAGE(2,2)</f>
        <v>2</v>
      </c>
      <c r="L17" s="51">
        <v>20</v>
      </c>
      <c r="M17" s="53">
        <f>AVERAGE(20,20,19)</f>
        <v>19.666666666666668</v>
      </c>
      <c r="N17" s="51">
        <f>AVERAGE(20,20,20,20)</f>
        <v>20</v>
      </c>
      <c r="O17" s="54">
        <v>1.33</v>
      </c>
      <c r="P17" s="51">
        <f>AVERAGE(70,70,70,70)</f>
        <v>70</v>
      </c>
      <c r="Q17" s="51">
        <f>AVERAGE(30,30,30,30)</f>
        <v>30</v>
      </c>
      <c r="R17" s="51">
        <f t="shared" si="3"/>
        <v>0</v>
      </c>
      <c r="S17" s="51">
        <f t="shared" si="3"/>
        <v>0</v>
      </c>
      <c r="T17" s="51">
        <f t="shared" si="3"/>
        <v>0</v>
      </c>
      <c r="U17" s="51">
        <f t="shared" si="3"/>
        <v>0</v>
      </c>
      <c r="V17" s="51">
        <f t="shared" si="3"/>
        <v>0</v>
      </c>
      <c r="W17" s="51">
        <f t="shared" si="4"/>
        <v>0</v>
      </c>
      <c r="X17" s="51">
        <f t="shared" si="4"/>
        <v>0</v>
      </c>
      <c r="Y17" s="51">
        <f>AVERAGE(20,20,20,20)</f>
        <v>20</v>
      </c>
      <c r="Z17" s="51">
        <f>AVERAGE(60,60,60,60)</f>
        <v>60</v>
      </c>
      <c r="AA17" s="51">
        <f>AVERAGE(10,10,10,10)</f>
        <v>10</v>
      </c>
      <c r="AB17" s="51">
        <f t="shared" si="5"/>
        <v>0</v>
      </c>
      <c r="AC17" s="51">
        <f t="shared" si="6"/>
        <v>0</v>
      </c>
      <c r="AD17" s="51">
        <f>AVERAGE(90,90,90,90)</f>
        <v>90</v>
      </c>
      <c r="AE17" s="51">
        <f>AVERAGE(10,10,10,10)</f>
        <v>10</v>
      </c>
      <c r="AF17" s="51">
        <f>AVERAGE(30,30,30,30)</f>
        <v>30</v>
      </c>
      <c r="AG17" s="51">
        <v>65.23</v>
      </c>
      <c r="AH17" s="57">
        <v>0</v>
      </c>
      <c r="AI17" s="51">
        <v>19.71</v>
      </c>
      <c r="AJ17" s="57">
        <v>0</v>
      </c>
      <c r="AK17" s="51">
        <v>15.33</v>
      </c>
      <c r="AL17" s="52"/>
    </row>
    <row r="18" spans="1:38" s="48" customFormat="1" ht="14.25" customHeight="1" x14ac:dyDescent="0.25">
      <c r="A18" s="50" t="s">
        <v>116</v>
      </c>
      <c r="B18" s="51">
        <v>26.5</v>
      </c>
      <c r="C18" s="51">
        <v>5.0999999999999996</v>
      </c>
      <c r="D18" s="52"/>
      <c r="E18" s="47">
        <v>155.19999999999999</v>
      </c>
      <c r="F18" s="54">
        <v>24.2</v>
      </c>
      <c r="G18" s="54">
        <v>7.26</v>
      </c>
      <c r="H18" s="52"/>
      <c r="I18" s="55">
        <v>41.473999999999997</v>
      </c>
      <c r="J18" s="56">
        <f>1/(AVERAGE(51,40))</f>
        <v>2.197802197802198E-2</v>
      </c>
      <c r="K18" s="51">
        <f>AVERAGE(1,2)</f>
        <v>1.5</v>
      </c>
      <c r="L18" s="51">
        <v>47</v>
      </c>
      <c r="M18" s="53">
        <f>AVERAGE(40,47,35)</f>
        <v>40.666666666666664</v>
      </c>
      <c r="N18" s="51">
        <f>AVERAGE(52,52,52,52)</f>
        <v>52</v>
      </c>
      <c r="O18" s="54">
        <v>7.2</v>
      </c>
      <c r="P18" s="51">
        <f>AVERAGE(20,20,20,20)</f>
        <v>20</v>
      </c>
      <c r="Q18" s="51">
        <f>AVERAGE(80,80,80,80)</f>
        <v>80</v>
      </c>
      <c r="R18" s="51">
        <f t="shared" si="3"/>
        <v>0</v>
      </c>
      <c r="S18" s="51">
        <f t="shared" si="3"/>
        <v>0</v>
      </c>
      <c r="T18" s="51">
        <f t="shared" si="3"/>
        <v>0</v>
      </c>
      <c r="U18" s="51">
        <f t="shared" si="3"/>
        <v>0</v>
      </c>
      <c r="V18" s="51">
        <f t="shared" si="3"/>
        <v>0</v>
      </c>
      <c r="W18" s="51">
        <f>AVERAGE(5,5,5,5)</f>
        <v>5</v>
      </c>
      <c r="X18" s="51">
        <f>AVERAGE(10,10,10,10)</f>
        <v>10</v>
      </c>
      <c r="Y18" s="51">
        <f>AVERAGE(5,5,5,5)</f>
        <v>5</v>
      </c>
      <c r="Z18" s="51">
        <f>AVERAGE(5,5,5,5)</f>
        <v>5</v>
      </c>
      <c r="AA18" s="51">
        <f>AVERAGE(10,10,10,10)</f>
        <v>10</v>
      </c>
      <c r="AB18" s="51">
        <f t="shared" si="5"/>
        <v>0</v>
      </c>
      <c r="AC18" s="51">
        <f t="shared" si="6"/>
        <v>0</v>
      </c>
      <c r="AD18" s="51">
        <v>0</v>
      </c>
      <c r="AE18" s="51">
        <f>AVERAGE(5,5,5,5)</f>
        <v>5</v>
      </c>
      <c r="AF18" s="51">
        <f>AVERAGE(10,10,10,10)</f>
        <v>10</v>
      </c>
      <c r="AG18" s="51">
        <v>203.86</v>
      </c>
      <c r="AH18" s="57">
        <v>0</v>
      </c>
      <c r="AI18" s="51">
        <v>8.2899999999999991</v>
      </c>
      <c r="AJ18" s="57">
        <v>0</v>
      </c>
      <c r="AK18" s="51">
        <v>47</v>
      </c>
      <c r="AL18" s="52"/>
    </row>
    <row r="19" spans="1:38" s="48" customFormat="1" ht="14.25" customHeight="1" x14ac:dyDescent="0.25">
      <c r="A19" s="50" t="s">
        <v>118</v>
      </c>
      <c r="B19" s="51">
        <v>26.3</v>
      </c>
      <c r="C19" s="51">
        <v>6.1</v>
      </c>
      <c r="D19" s="52"/>
      <c r="E19" s="47">
        <v>157.9</v>
      </c>
      <c r="F19" s="54">
        <v>34.799999999999997</v>
      </c>
      <c r="G19" s="54">
        <v>6.71</v>
      </c>
      <c r="H19" s="52"/>
      <c r="I19" s="55">
        <v>41.473999999999997</v>
      </c>
      <c r="J19" s="56">
        <f>1/(AVERAGE(51,40))</f>
        <v>2.197802197802198E-2</v>
      </c>
      <c r="K19" s="51">
        <f>AVERAGE(2,2)</f>
        <v>2</v>
      </c>
      <c r="L19" s="51">
        <v>47</v>
      </c>
      <c r="M19" s="53">
        <f>AVERAGE(40,47,35)</f>
        <v>40.666666666666664</v>
      </c>
      <c r="N19" s="51">
        <f>AVERAGE(38,38,38,38)</f>
        <v>38</v>
      </c>
      <c r="O19" s="54">
        <v>7.2</v>
      </c>
      <c r="P19" s="51">
        <f>AVERAGE(20,20,20,20)</f>
        <v>20</v>
      </c>
      <c r="Q19" s="51">
        <f>AVERAGE(80,80,80,80)</f>
        <v>80</v>
      </c>
      <c r="R19" s="51">
        <f t="shared" si="3"/>
        <v>0</v>
      </c>
      <c r="S19" s="51">
        <f t="shared" si="3"/>
        <v>0</v>
      </c>
      <c r="T19" s="51">
        <f t="shared" si="3"/>
        <v>0</v>
      </c>
      <c r="U19" s="51">
        <f t="shared" si="3"/>
        <v>0</v>
      </c>
      <c r="V19" s="51">
        <f t="shared" si="3"/>
        <v>0</v>
      </c>
      <c r="W19" s="51">
        <f>AVERAGE(0,0,0,0)</f>
        <v>0</v>
      </c>
      <c r="X19" s="51">
        <f>AVERAGE(1,1,1,1)</f>
        <v>1</v>
      </c>
      <c r="Y19" s="51">
        <f>AVERAGE(10,10,10,10)</f>
        <v>10</v>
      </c>
      <c r="Z19" s="51">
        <f>AVERAGE(20,20,20,20)</f>
        <v>20</v>
      </c>
      <c r="AA19" s="51">
        <f>AVERAGE(5,5,5,5)</f>
        <v>5</v>
      </c>
      <c r="AB19" s="51">
        <f t="shared" si="5"/>
        <v>0</v>
      </c>
      <c r="AC19" s="51">
        <f t="shared" si="6"/>
        <v>0</v>
      </c>
      <c r="AD19" s="51">
        <f>AVERAGE(10,10,10,10)</f>
        <v>10</v>
      </c>
      <c r="AE19" s="51">
        <f>AVERAGE(5,5,5,5)</f>
        <v>5</v>
      </c>
      <c r="AF19" s="51">
        <f>AVERAGE(15,15,15,15)</f>
        <v>15</v>
      </c>
      <c r="AG19" s="51">
        <v>277.5</v>
      </c>
      <c r="AH19" s="57">
        <v>0</v>
      </c>
      <c r="AI19" s="51">
        <v>5.43</v>
      </c>
      <c r="AJ19" s="57">
        <v>0</v>
      </c>
      <c r="AK19" s="51">
        <v>55.33</v>
      </c>
      <c r="AL19" s="52"/>
    </row>
    <row r="20" spans="1:38" s="48" customFormat="1" ht="14.25" customHeight="1" x14ac:dyDescent="0.25">
      <c r="A20" s="50" t="s">
        <v>119</v>
      </c>
      <c r="B20" s="51">
        <v>26.2</v>
      </c>
      <c r="C20" s="51">
        <v>4.9000000000000004</v>
      </c>
      <c r="D20" s="52"/>
      <c r="E20" s="47">
        <v>149.69999999999999</v>
      </c>
      <c r="F20" s="54">
        <v>29.9</v>
      </c>
      <c r="G20" s="54">
        <v>6.61</v>
      </c>
      <c r="H20" s="52"/>
      <c r="I20" s="55">
        <v>41.473999999999997</v>
      </c>
      <c r="J20" s="56">
        <f>1/(AVERAGE(51,40))</f>
        <v>2.197802197802198E-2</v>
      </c>
      <c r="K20" s="51">
        <f>AVERAGE(1,1)</f>
        <v>1</v>
      </c>
      <c r="L20" s="51">
        <v>47</v>
      </c>
      <c r="M20" s="53">
        <f>AVERAGE(40,47,35)</f>
        <v>40.666666666666664</v>
      </c>
      <c r="N20" s="51">
        <f>AVERAGE(46,46,46,46)</f>
        <v>46</v>
      </c>
      <c r="O20" s="54">
        <v>7.2</v>
      </c>
      <c r="P20" s="51">
        <f>AVERAGE(50,50,50,50)</f>
        <v>50</v>
      </c>
      <c r="Q20" s="51">
        <f>AVERAGE(50,50,50,50)</f>
        <v>50</v>
      </c>
      <c r="R20" s="51">
        <f t="shared" si="3"/>
        <v>0</v>
      </c>
      <c r="S20" s="51">
        <f t="shared" si="3"/>
        <v>0</v>
      </c>
      <c r="T20" s="51">
        <f t="shared" si="3"/>
        <v>0</v>
      </c>
      <c r="U20" s="51">
        <f t="shared" si="3"/>
        <v>0</v>
      </c>
      <c r="V20" s="51">
        <f t="shared" si="3"/>
        <v>0</v>
      </c>
      <c r="W20" s="51">
        <f>AVERAGE(0,0,0,0)</f>
        <v>0</v>
      </c>
      <c r="X20" s="51">
        <f>AVERAGE(30,30,30,30)</f>
        <v>30</v>
      </c>
      <c r="Y20" s="51">
        <f>AVERAGE(0,0,0,0)</f>
        <v>0</v>
      </c>
      <c r="Z20" s="51">
        <f>AVERAGE(0,0,0,0)</f>
        <v>0</v>
      </c>
      <c r="AA20" s="51">
        <f>AVERAGE(1,1,1,1)</f>
        <v>1</v>
      </c>
      <c r="AB20" s="51">
        <f t="shared" si="5"/>
        <v>0</v>
      </c>
      <c r="AC20" s="51">
        <f t="shared" si="6"/>
        <v>0</v>
      </c>
      <c r="AD20" s="51">
        <f>AVERAGE(0,0,0,0)</f>
        <v>0</v>
      </c>
      <c r="AE20" s="51">
        <f>AVERAGE(5,5,5,5)</f>
        <v>5</v>
      </c>
      <c r="AF20" s="51">
        <f>AVERAGE(5,5,5,5)</f>
        <v>5</v>
      </c>
      <c r="AG20" s="51">
        <v>249.77</v>
      </c>
      <c r="AH20" s="57">
        <v>0</v>
      </c>
      <c r="AI20" s="51">
        <v>16.86</v>
      </c>
      <c r="AJ20" s="57">
        <v>0</v>
      </c>
      <c r="AK20" s="51">
        <v>13.67</v>
      </c>
      <c r="AL20" s="52"/>
    </row>
    <row r="21" spans="1:38" s="48" customFormat="1" ht="14.25" customHeight="1" x14ac:dyDescent="0.25">
      <c r="A21" s="50" t="s">
        <v>120</v>
      </c>
      <c r="B21" s="52"/>
      <c r="C21" s="52"/>
      <c r="D21" s="52"/>
      <c r="E21" s="52"/>
      <c r="F21" s="52"/>
      <c r="G21" s="52"/>
      <c r="H21" s="52"/>
      <c r="I21" s="55">
        <v>96</v>
      </c>
      <c r="J21" s="52"/>
      <c r="K21" s="51">
        <f>AVERAGE(2,3)</f>
        <v>2.5</v>
      </c>
      <c r="L21" s="52"/>
      <c r="M21" s="52"/>
      <c r="N21" s="52"/>
      <c r="O21" s="55">
        <v>18.3</v>
      </c>
      <c r="P21" s="51">
        <v>0</v>
      </c>
      <c r="Q21" s="51">
        <v>100</v>
      </c>
      <c r="R21" s="51">
        <v>0</v>
      </c>
      <c r="S21" s="51">
        <v>0</v>
      </c>
      <c r="T21" s="51">
        <v>0</v>
      </c>
      <c r="U21" s="51">
        <v>0</v>
      </c>
      <c r="V21" s="51">
        <v>0</v>
      </c>
      <c r="W21" s="51">
        <v>0</v>
      </c>
      <c r="X21" s="51">
        <v>0</v>
      </c>
      <c r="Y21" s="51">
        <v>0</v>
      </c>
      <c r="Z21" s="51">
        <v>0</v>
      </c>
      <c r="AA21" s="51">
        <v>0</v>
      </c>
      <c r="AB21" s="51">
        <v>0</v>
      </c>
      <c r="AC21" s="51">
        <v>0</v>
      </c>
      <c r="AD21" s="51">
        <v>0</v>
      </c>
      <c r="AE21" s="51">
        <v>0</v>
      </c>
      <c r="AF21" s="51">
        <v>0</v>
      </c>
      <c r="AG21" s="52"/>
      <c r="AH21" s="52"/>
      <c r="AI21" s="52"/>
      <c r="AJ21" s="52"/>
      <c r="AK21" s="52"/>
      <c r="AL21" s="52"/>
    </row>
    <row r="22" spans="1:38" s="48" customFormat="1" ht="14.25" customHeight="1" x14ac:dyDescent="0.25">
      <c r="A22" s="50" t="s">
        <v>125</v>
      </c>
      <c r="B22" s="52"/>
      <c r="C22" s="52"/>
      <c r="D22" s="52"/>
      <c r="E22" s="52"/>
      <c r="F22" s="52"/>
      <c r="G22" s="52"/>
      <c r="H22" s="52"/>
      <c r="I22" s="55">
        <v>96</v>
      </c>
      <c r="J22" s="52"/>
      <c r="K22" s="51">
        <f>AVERAGE(2,3)</f>
        <v>2.5</v>
      </c>
      <c r="L22" s="52"/>
      <c r="M22" s="52"/>
      <c r="N22" s="52"/>
      <c r="O22" s="46">
        <v>14.69</v>
      </c>
      <c r="P22" s="51">
        <v>0</v>
      </c>
      <c r="Q22" s="51">
        <v>100</v>
      </c>
      <c r="R22" s="51">
        <v>0</v>
      </c>
      <c r="S22" s="51">
        <v>0</v>
      </c>
      <c r="T22" s="51">
        <v>0</v>
      </c>
      <c r="U22" s="51">
        <v>0</v>
      </c>
      <c r="V22" s="51">
        <v>0</v>
      </c>
      <c r="W22" s="51">
        <v>0</v>
      </c>
      <c r="X22" s="51">
        <v>0</v>
      </c>
      <c r="Y22" s="51">
        <v>0</v>
      </c>
      <c r="Z22" s="51">
        <v>0</v>
      </c>
      <c r="AA22" s="51">
        <v>0</v>
      </c>
      <c r="AB22" s="51">
        <v>0</v>
      </c>
      <c r="AC22" s="51">
        <v>0</v>
      </c>
      <c r="AD22" s="51">
        <v>0</v>
      </c>
      <c r="AE22" s="51">
        <v>0</v>
      </c>
      <c r="AF22" s="51">
        <v>0</v>
      </c>
      <c r="AG22" s="52"/>
      <c r="AH22" s="52"/>
      <c r="AI22" s="52"/>
      <c r="AJ22" s="52"/>
      <c r="AK22" s="52"/>
      <c r="AL22" s="52"/>
    </row>
    <row r="23" spans="1:38" s="48" customFormat="1" ht="14.25" customHeight="1" x14ac:dyDescent="0.25">
      <c r="A23" s="50" t="s">
        <v>126</v>
      </c>
      <c r="B23" s="52"/>
      <c r="C23" s="52"/>
      <c r="D23" s="52"/>
      <c r="E23" s="52"/>
      <c r="F23" s="52"/>
      <c r="G23" s="52"/>
      <c r="H23" s="52"/>
      <c r="I23" s="55">
        <v>96</v>
      </c>
      <c r="J23" s="52"/>
      <c r="K23" s="51">
        <f>AVERAGE(2,3)</f>
        <v>2.5</v>
      </c>
      <c r="L23" s="52"/>
      <c r="M23" s="52"/>
      <c r="N23" s="52"/>
      <c r="O23" s="46">
        <v>14.69</v>
      </c>
      <c r="P23" s="51">
        <v>0</v>
      </c>
      <c r="Q23" s="51">
        <v>100</v>
      </c>
      <c r="R23" s="51">
        <v>0</v>
      </c>
      <c r="S23" s="51">
        <v>0</v>
      </c>
      <c r="T23" s="51">
        <v>0</v>
      </c>
      <c r="U23" s="51">
        <v>0</v>
      </c>
      <c r="V23" s="51">
        <v>0</v>
      </c>
      <c r="W23" s="51">
        <v>0</v>
      </c>
      <c r="X23" s="51">
        <v>0</v>
      </c>
      <c r="Y23" s="51">
        <v>0</v>
      </c>
      <c r="Z23" s="51">
        <v>0</v>
      </c>
      <c r="AA23" s="51">
        <v>0</v>
      </c>
      <c r="AB23" s="51">
        <v>0</v>
      </c>
      <c r="AC23" s="51">
        <v>0</v>
      </c>
      <c r="AD23" s="51">
        <v>0</v>
      </c>
      <c r="AE23" s="51">
        <v>0</v>
      </c>
      <c r="AF23" s="51">
        <v>0</v>
      </c>
      <c r="AG23" s="52"/>
      <c r="AH23" s="52"/>
      <c r="AI23" s="52"/>
      <c r="AJ23" s="52"/>
      <c r="AK23" s="52"/>
      <c r="AL23" s="52"/>
    </row>
    <row r="24" spans="1:38" s="48" customFormat="1" ht="14.25" customHeight="1" x14ac:dyDescent="0.25">
      <c r="A24" s="50" t="s">
        <v>127</v>
      </c>
      <c r="B24" s="46">
        <v>26.5</v>
      </c>
      <c r="C24" s="46">
        <v>6.8</v>
      </c>
      <c r="D24" s="52"/>
      <c r="E24" s="47">
        <v>120.2</v>
      </c>
      <c r="F24" s="53">
        <v>8</v>
      </c>
      <c r="G24" s="54">
        <v>6.44</v>
      </c>
      <c r="H24" s="52"/>
      <c r="I24" s="55">
        <v>80</v>
      </c>
      <c r="J24" s="56">
        <f>1/(AVERAGE(8.64,6.68,4.63,6.03,4.33,4.77,4.56,4.44,4.77,4.41))</f>
        <v>0.18775816748028543</v>
      </c>
      <c r="K24" s="53">
        <f>AVERAGE(1,1)</f>
        <v>1</v>
      </c>
      <c r="L24" s="51">
        <v>6</v>
      </c>
      <c r="M24" s="53">
        <f>AVERAGE(5,6,5)</f>
        <v>5.333333333333333</v>
      </c>
      <c r="N24" s="51">
        <f>AVERAGE(6,6,6,6)</f>
        <v>6</v>
      </c>
      <c r="O24" s="54">
        <v>0.19</v>
      </c>
      <c r="P24" s="51">
        <f>AVERAGE(90,90,90,90)</f>
        <v>90</v>
      </c>
      <c r="Q24" s="51">
        <f>AVERAGE(10,10,10,10)</f>
        <v>10</v>
      </c>
      <c r="R24" s="51">
        <f t="shared" ref="R24:Y26" si="7">AVERAGE(0,0,0,0)</f>
        <v>0</v>
      </c>
      <c r="S24" s="51">
        <f t="shared" si="7"/>
        <v>0</v>
      </c>
      <c r="T24" s="51">
        <f t="shared" si="7"/>
        <v>0</v>
      </c>
      <c r="U24" s="51">
        <f t="shared" si="7"/>
        <v>0</v>
      </c>
      <c r="V24" s="51">
        <f t="shared" si="7"/>
        <v>0</v>
      </c>
      <c r="W24" s="51">
        <f t="shared" si="7"/>
        <v>0</v>
      </c>
      <c r="X24" s="51">
        <f t="shared" si="7"/>
        <v>0</v>
      </c>
      <c r="Y24" s="51">
        <f t="shared" si="7"/>
        <v>0</v>
      </c>
      <c r="Z24" s="51">
        <f>AVERAGE(90,90,90,90)</f>
        <v>90</v>
      </c>
      <c r="AA24" s="51">
        <f>AVERAGE(5,5,5,5)</f>
        <v>5</v>
      </c>
      <c r="AB24" s="51">
        <f>AVERAGE(0,0,0,0)</f>
        <v>0</v>
      </c>
      <c r="AC24" s="51">
        <f>AVERAGE(0,0,0,0)</f>
        <v>0</v>
      </c>
      <c r="AD24" s="51">
        <f>AVERAGE(5,5,5,5)</f>
        <v>5</v>
      </c>
      <c r="AE24" s="51">
        <f>AVERAGE(5,5,5,5)</f>
        <v>5</v>
      </c>
      <c r="AF24" s="51">
        <f>AVERAGE(3,3,3,3)</f>
        <v>3</v>
      </c>
      <c r="AG24" s="51">
        <v>64.318181818181799</v>
      </c>
      <c r="AH24" s="51">
        <v>1.79411764705882</v>
      </c>
      <c r="AI24" s="51">
        <v>1379.7142857142901</v>
      </c>
      <c r="AJ24" s="51">
        <v>7.28571428571429</v>
      </c>
      <c r="AK24" s="51">
        <v>8.6666666666666696</v>
      </c>
      <c r="AL24" s="52"/>
    </row>
    <row r="25" spans="1:38" s="48" customFormat="1" ht="14.25" customHeight="1" x14ac:dyDescent="0.25">
      <c r="A25" s="50" t="s">
        <v>131</v>
      </c>
      <c r="B25" s="46">
        <v>26.7</v>
      </c>
      <c r="C25" s="46">
        <v>8.1</v>
      </c>
      <c r="D25" s="52"/>
      <c r="E25" s="47">
        <v>122.8</v>
      </c>
      <c r="F25" s="53">
        <v>2</v>
      </c>
      <c r="G25" s="54">
        <v>6.07</v>
      </c>
      <c r="H25" s="52"/>
      <c r="I25" s="55">
        <v>80</v>
      </c>
      <c r="J25" s="56">
        <f>1/(AVERAGE(8.13,7.7,5.41,7.9,7.59,5.3,5,98))</f>
        <v>5.5161001172171271E-2</v>
      </c>
      <c r="K25" s="47">
        <f>AVERAGE(1,2)</f>
        <v>1.5</v>
      </c>
      <c r="L25" s="51">
        <v>10</v>
      </c>
      <c r="M25" s="53">
        <f>AVERAGE(6,10,5)</f>
        <v>7</v>
      </c>
      <c r="N25" s="51">
        <f>AVERAGE(9,9,9,9)</f>
        <v>9</v>
      </c>
      <c r="O25" s="47">
        <v>0.53</v>
      </c>
      <c r="P25" s="51">
        <f>AVERAGE(90,90,90,90)</f>
        <v>90</v>
      </c>
      <c r="Q25" s="51">
        <f>AVERAGE(10,10,10,10)</f>
        <v>10</v>
      </c>
      <c r="R25" s="51">
        <f t="shared" si="7"/>
        <v>0</v>
      </c>
      <c r="S25" s="51">
        <f t="shared" si="7"/>
        <v>0</v>
      </c>
      <c r="T25" s="51">
        <f t="shared" si="7"/>
        <v>0</v>
      </c>
      <c r="U25" s="51">
        <f t="shared" si="7"/>
        <v>0</v>
      </c>
      <c r="V25" s="51">
        <f t="shared" si="7"/>
        <v>0</v>
      </c>
      <c r="W25" s="51">
        <f t="shared" si="7"/>
        <v>0</v>
      </c>
      <c r="X25" s="51">
        <f t="shared" si="7"/>
        <v>0</v>
      </c>
      <c r="Y25" s="51">
        <f t="shared" si="7"/>
        <v>0</v>
      </c>
      <c r="Z25" s="51">
        <f>AVERAGE(85,85,85,85)</f>
        <v>85</v>
      </c>
      <c r="AA25" s="51">
        <f>AVERAGE(15,15,15,15)</f>
        <v>15</v>
      </c>
      <c r="AB25" s="51">
        <f>AVERAGE(0,0,0,0)</f>
        <v>0</v>
      </c>
      <c r="AC25" s="51">
        <f>AVERAGE(0,0,0,0)</f>
        <v>0</v>
      </c>
      <c r="AD25" s="51">
        <f>AVERAGE(5,5,5,5)</f>
        <v>5</v>
      </c>
      <c r="AE25" s="51">
        <f>AVERAGE(10,10,10,10)</f>
        <v>10</v>
      </c>
      <c r="AF25" s="51">
        <f>AVERAGE(10,10,10,10)</f>
        <v>10</v>
      </c>
      <c r="AG25" s="51">
        <v>101.59090909090899</v>
      </c>
      <c r="AH25" s="51">
        <v>2.3823529411764701</v>
      </c>
      <c r="AI25" s="51">
        <v>922.57142857142901</v>
      </c>
      <c r="AJ25" s="51">
        <v>7.28571428571429</v>
      </c>
      <c r="AK25" s="51">
        <v>8.6666666666666696</v>
      </c>
      <c r="AL25" s="52"/>
    </row>
    <row r="26" spans="1:38" s="48" customFormat="1" ht="14.25" customHeight="1" x14ac:dyDescent="0.25">
      <c r="A26" s="50" t="s">
        <v>132</v>
      </c>
      <c r="B26" s="46">
        <v>27.4</v>
      </c>
      <c r="C26" s="46">
        <v>8.1</v>
      </c>
      <c r="D26" s="52"/>
      <c r="E26" s="47">
        <v>129.80000000000001</v>
      </c>
      <c r="F26" s="53">
        <v>10</v>
      </c>
      <c r="G26" s="54">
        <v>5.8</v>
      </c>
      <c r="H26" s="52"/>
      <c r="I26" s="55">
        <v>80</v>
      </c>
      <c r="J26" s="56">
        <f>1/(AVERAGE(9.62,9.97,7.65,8.9,8.14,9.27,9.76))</f>
        <v>0.11056705101879641</v>
      </c>
      <c r="K26" s="47">
        <f>AVERAGE(1,2)</f>
        <v>1.5</v>
      </c>
      <c r="L26" s="51">
        <v>20</v>
      </c>
      <c r="M26" s="53">
        <f>AVERAGE(16,20,15)</f>
        <v>17</v>
      </c>
      <c r="N26" s="51">
        <f>AVERAGE(15,15,15,15)</f>
        <v>15</v>
      </c>
      <c r="O26" s="47">
        <v>1.0900000000000001</v>
      </c>
      <c r="P26" s="51">
        <f>AVERAGE(90,90,90,90)</f>
        <v>90</v>
      </c>
      <c r="Q26" s="51">
        <f>AVERAGE(10,10,10,10)</f>
        <v>10</v>
      </c>
      <c r="R26" s="51">
        <f t="shared" si="7"/>
        <v>0</v>
      </c>
      <c r="S26" s="51">
        <f t="shared" si="7"/>
        <v>0</v>
      </c>
      <c r="T26" s="51">
        <f t="shared" si="7"/>
        <v>0</v>
      </c>
      <c r="U26" s="51">
        <f t="shared" si="7"/>
        <v>0</v>
      </c>
      <c r="V26" s="51">
        <f t="shared" si="7"/>
        <v>0</v>
      </c>
      <c r="W26" s="51">
        <f t="shared" si="7"/>
        <v>0</v>
      </c>
      <c r="X26" s="51">
        <f t="shared" si="7"/>
        <v>0</v>
      </c>
      <c r="Y26" s="51">
        <f t="shared" si="7"/>
        <v>0</v>
      </c>
      <c r="Z26" s="51">
        <f>AVERAGE(90,90,90,90)</f>
        <v>90</v>
      </c>
      <c r="AA26" s="51">
        <f>AVERAGE(10,10,10,10)</f>
        <v>10</v>
      </c>
      <c r="AB26" s="51">
        <f t="shared" ref="AB26:AB59" si="8">AVERAGE(0,0,0,0)</f>
        <v>0</v>
      </c>
      <c r="AC26" s="51">
        <f>AVERAGE(5,5,5,5)</f>
        <v>5</v>
      </c>
      <c r="AD26" s="51">
        <f>AVERAGE(0,0,0,0)</f>
        <v>0</v>
      </c>
      <c r="AE26" s="51">
        <f>AVERAGE(5,5,5,5)</f>
        <v>5</v>
      </c>
      <c r="AF26" s="51">
        <f>AVERAGE(10,10,10,10)</f>
        <v>10</v>
      </c>
      <c r="AG26" s="51">
        <v>82.5</v>
      </c>
      <c r="AH26" s="51">
        <v>1.5</v>
      </c>
      <c r="AI26" s="51">
        <v>94</v>
      </c>
      <c r="AJ26" s="51">
        <v>8.7142857142857206</v>
      </c>
      <c r="AK26" s="51">
        <v>12</v>
      </c>
      <c r="AL26" s="52"/>
    </row>
    <row r="27" spans="1:38" s="48" customFormat="1" ht="14.25" customHeight="1" x14ac:dyDescent="0.25">
      <c r="A27" s="50" t="s">
        <v>133</v>
      </c>
      <c r="B27" s="46">
        <v>27.2</v>
      </c>
      <c r="C27" s="46">
        <v>6.8</v>
      </c>
      <c r="D27" s="52"/>
      <c r="E27" s="47">
        <v>115.2</v>
      </c>
      <c r="F27" s="53">
        <v>10</v>
      </c>
      <c r="G27" s="54">
        <v>6.01</v>
      </c>
      <c r="H27" s="52"/>
      <c r="I27" s="55">
        <v>87</v>
      </c>
      <c r="J27" s="56">
        <f>1/(AVERAGE(3.91,4.53,3.65,3.27,3.84,5.16,3.44))</f>
        <v>0.25179856115107913</v>
      </c>
      <c r="K27" s="53">
        <f>AVERAGE(1,1)</f>
        <v>1</v>
      </c>
      <c r="L27" s="51">
        <v>18</v>
      </c>
      <c r="M27" s="53">
        <f>AVERAGE(10,18,10)</f>
        <v>12.666666666666666</v>
      </c>
      <c r="N27" s="51">
        <f>AVERAGE(11,11,11,11)</f>
        <v>11</v>
      </c>
      <c r="O27" s="54">
        <v>0.9</v>
      </c>
      <c r="P27" s="51">
        <f>AVERAGE(10,10,10,10)</f>
        <v>10</v>
      </c>
      <c r="Q27" s="51">
        <f>AVERAGE(90,90,90,90)</f>
        <v>90</v>
      </c>
      <c r="R27" s="51">
        <f t="shared" ref="R27:X27" si="9">AVERAGE(0,0,0,0)</f>
        <v>0</v>
      </c>
      <c r="S27" s="51">
        <f t="shared" si="9"/>
        <v>0</v>
      </c>
      <c r="T27" s="51">
        <f t="shared" si="9"/>
        <v>0</v>
      </c>
      <c r="U27" s="51">
        <f t="shared" si="9"/>
        <v>0</v>
      </c>
      <c r="V27" s="51">
        <f t="shared" si="9"/>
        <v>0</v>
      </c>
      <c r="W27" s="51">
        <f t="shared" si="9"/>
        <v>0</v>
      </c>
      <c r="X27" s="51">
        <f t="shared" si="9"/>
        <v>0</v>
      </c>
      <c r="Y27" s="51">
        <f>AVERAGE(5,5,5,5)</f>
        <v>5</v>
      </c>
      <c r="Z27" s="51">
        <f>AVERAGE(80,80,80,80)</f>
        <v>80</v>
      </c>
      <c r="AA27" s="51">
        <f>AVERAGE(5,5,5,5)</f>
        <v>5</v>
      </c>
      <c r="AB27" s="51">
        <f t="shared" si="8"/>
        <v>0</v>
      </c>
      <c r="AC27" s="51">
        <f t="shared" ref="AC27:AC59" si="10">AVERAGE(0,0,0,0)</f>
        <v>0</v>
      </c>
      <c r="AD27" s="51">
        <f>AVERAGE(10,10,10,10)</f>
        <v>10</v>
      </c>
      <c r="AE27" s="51">
        <f>AVERAGE(10,10,10,10)</f>
        <v>10</v>
      </c>
      <c r="AF27" s="51">
        <f>AVERAGE(5,5,5,5)</f>
        <v>5</v>
      </c>
      <c r="AG27" s="51">
        <v>73.409090909090907</v>
      </c>
      <c r="AH27" s="51">
        <v>1.20588235294118</v>
      </c>
      <c r="AI27" s="51">
        <v>144</v>
      </c>
      <c r="AJ27" s="51">
        <v>0.14285714285714299</v>
      </c>
      <c r="AK27" s="51">
        <v>0.33333333333333398</v>
      </c>
      <c r="AL27" s="52"/>
    </row>
    <row r="28" spans="1:38" s="48" customFormat="1" ht="14.25" customHeight="1" x14ac:dyDescent="0.25">
      <c r="A28" s="50" t="s">
        <v>135</v>
      </c>
      <c r="B28" s="46">
        <v>27.1</v>
      </c>
      <c r="C28" s="46">
        <v>7.5</v>
      </c>
      <c r="D28" s="52"/>
      <c r="E28" s="47">
        <v>122.4</v>
      </c>
      <c r="F28" s="53">
        <v>8</v>
      </c>
      <c r="G28" s="54">
        <v>6</v>
      </c>
      <c r="H28" s="52"/>
      <c r="I28" s="55">
        <v>87</v>
      </c>
      <c r="J28" s="56">
        <f>1/(AVERAGE(4.61,4.47,5.16))</f>
        <v>0.21067415730337077</v>
      </c>
      <c r="K28" s="53">
        <f>AVERAGE(2,2)</f>
        <v>2</v>
      </c>
      <c r="L28" s="51">
        <v>13</v>
      </c>
      <c r="M28" s="53">
        <f>AVERAGE(11,13,7)</f>
        <v>10.333333333333334</v>
      </c>
      <c r="N28" s="51">
        <f>AVERAGE(14,14,14,14)</f>
        <v>14</v>
      </c>
      <c r="O28" s="47">
        <v>1.08</v>
      </c>
      <c r="P28" s="51">
        <f>AVERAGE(10,10,10,10)</f>
        <v>10</v>
      </c>
      <c r="Q28" s="51">
        <f>AVERAGE(90,90,90,90)</f>
        <v>90</v>
      </c>
      <c r="R28" s="51">
        <f t="shared" ref="R28:V31" si="11">AVERAGE(0,0,0,0)</f>
        <v>0</v>
      </c>
      <c r="S28" s="51">
        <f t="shared" si="11"/>
        <v>0</v>
      </c>
      <c r="T28" s="51">
        <f t="shared" si="11"/>
        <v>0</v>
      </c>
      <c r="U28" s="51">
        <f t="shared" si="11"/>
        <v>0</v>
      </c>
      <c r="V28" s="51">
        <f t="shared" si="11"/>
        <v>0</v>
      </c>
      <c r="W28" s="51">
        <f>AVERAGE(5,5,5,5)</f>
        <v>5</v>
      </c>
      <c r="X28" s="51">
        <f t="shared" ref="X28:Y35" si="12">AVERAGE(0,0,0,0)</f>
        <v>0</v>
      </c>
      <c r="Y28" s="51">
        <f t="shared" si="12"/>
        <v>0</v>
      </c>
      <c r="Z28" s="51">
        <f>AVERAGE(30,30,30,30)</f>
        <v>30</v>
      </c>
      <c r="AA28" s="51">
        <f>AVERAGE(10,10,10,10)</f>
        <v>10</v>
      </c>
      <c r="AB28" s="51">
        <f t="shared" si="8"/>
        <v>0</v>
      </c>
      <c r="AC28" s="51">
        <f t="shared" si="10"/>
        <v>0</v>
      </c>
      <c r="AD28" s="51">
        <f>AVERAGE(5,5,5,5)</f>
        <v>5</v>
      </c>
      <c r="AE28" s="51">
        <f>AVERAGE(0,0,0,0)</f>
        <v>0</v>
      </c>
      <c r="AF28" s="51">
        <f>AVERAGE(10,10,10,10)</f>
        <v>10</v>
      </c>
      <c r="AG28" s="51">
        <v>52.954545454545503</v>
      </c>
      <c r="AH28" s="51">
        <v>23.264705882352899</v>
      </c>
      <c r="AI28" s="51">
        <v>165.42857142857099</v>
      </c>
      <c r="AJ28" s="51">
        <v>5.8571428571428603</v>
      </c>
      <c r="AK28" s="51">
        <v>7</v>
      </c>
      <c r="AL28" s="52"/>
    </row>
    <row r="29" spans="1:38" s="48" customFormat="1" ht="14.25" customHeight="1" x14ac:dyDescent="0.25">
      <c r="A29" s="50" t="s">
        <v>136</v>
      </c>
      <c r="B29" s="51">
        <v>27</v>
      </c>
      <c r="C29" s="46">
        <v>6.6</v>
      </c>
      <c r="D29" s="52"/>
      <c r="E29" s="47">
        <v>111.4</v>
      </c>
      <c r="F29" s="53">
        <v>2</v>
      </c>
      <c r="G29" s="54">
        <v>6.19</v>
      </c>
      <c r="H29" s="52"/>
      <c r="I29" s="55">
        <v>87</v>
      </c>
      <c r="J29" s="56">
        <f>1/(AVERAGE(28.6/0.5,17.42/0.5,20.88/0.5,26.9/0.5))</f>
        <v>2.1321961620469079E-2</v>
      </c>
      <c r="K29" s="53">
        <f>AVERAGE(2,2)</f>
        <v>2</v>
      </c>
      <c r="L29" s="51">
        <v>42</v>
      </c>
      <c r="M29" s="53">
        <f>AVERAGE(7,42,26)</f>
        <v>25</v>
      </c>
      <c r="N29" s="51">
        <f>AVERAGE(38,38,38,38)</f>
        <v>38</v>
      </c>
      <c r="O29" s="54">
        <v>1.5</v>
      </c>
      <c r="P29" s="51">
        <f>AVERAGE(80,80,80,80)</f>
        <v>80</v>
      </c>
      <c r="Q29" s="51">
        <f>AVERAGE(20,20,20,20)</f>
        <v>20</v>
      </c>
      <c r="R29" s="51">
        <f t="shared" si="11"/>
        <v>0</v>
      </c>
      <c r="S29" s="51">
        <f t="shared" si="11"/>
        <v>0</v>
      </c>
      <c r="T29" s="51">
        <f t="shared" si="11"/>
        <v>0</v>
      </c>
      <c r="U29" s="51">
        <f t="shared" si="11"/>
        <v>0</v>
      </c>
      <c r="V29" s="51">
        <f t="shared" si="11"/>
        <v>0</v>
      </c>
      <c r="W29" s="51">
        <f t="shared" ref="W29:W35" si="13">AVERAGE(0,0,0,0)</f>
        <v>0</v>
      </c>
      <c r="X29" s="51">
        <f t="shared" si="12"/>
        <v>0</v>
      </c>
      <c r="Y29" s="51">
        <f t="shared" si="12"/>
        <v>0</v>
      </c>
      <c r="Z29" s="51">
        <f>AVERAGE(40,40,40,40)</f>
        <v>40</v>
      </c>
      <c r="AA29" s="51">
        <f>AVERAGE(10,10,10,10)</f>
        <v>10</v>
      </c>
      <c r="AB29" s="51">
        <f t="shared" si="8"/>
        <v>0</v>
      </c>
      <c r="AC29" s="51">
        <f t="shared" si="10"/>
        <v>0</v>
      </c>
      <c r="AD29" s="51">
        <f>AVERAGE(15,15,15,15)</f>
        <v>15</v>
      </c>
      <c r="AE29" s="51">
        <f>AVERAGE(25,25,25,25)</f>
        <v>25</v>
      </c>
      <c r="AF29" s="51">
        <f>AVERAGE(15,15,15,15)</f>
        <v>15</v>
      </c>
      <c r="AG29" s="51">
        <v>55.227272727272698</v>
      </c>
      <c r="AH29" s="51">
        <v>20.323529411764699</v>
      </c>
      <c r="AI29" s="51">
        <v>189.71428571428601</v>
      </c>
      <c r="AJ29" s="51">
        <v>5.8571428571428603</v>
      </c>
      <c r="AK29" s="51">
        <v>7</v>
      </c>
      <c r="AL29" s="52"/>
    </row>
    <row r="30" spans="1:38" s="48" customFormat="1" ht="14.25" customHeight="1" x14ac:dyDescent="0.25">
      <c r="A30" s="50" t="s">
        <v>137</v>
      </c>
      <c r="B30" s="46">
        <v>27.5</v>
      </c>
      <c r="C30" s="46">
        <v>5.0999999999999996</v>
      </c>
      <c r="D30" s="52"/>
      <c r="E30" s="53">
        <v>145.69999999999999</v>
      </c>
      <c r="F30" s="53">
        <v>7</v>
      </c>
      <c r="G30" s="47">
        <v>5.99</v>
      </c>
      <c r="H30" s="52"/>
      <c r="I30" s="55">
        <v>76</v>
      </c>
      <c r="J30" s="56">
        <f>1/(AVERAGE(14.98,22.13,26.78))</f>
        <v>4.6955705118171855E-2</v>
      </c>
      <c r="K30" s="53">
        <f>AVERAGE(3,4)</f>
        <v>3.5</v>
      </c>
      <c r="L30" s="51">
        <v>20</v>
      </c>
      <c r="M30" s="53">
        <f>AVERAGE(10,20,19)</f>
        <v>16.333333333333332</v>
      </c>
      <c r="N30" s="51">
        <f>AVERAGE(13,13,13,13)</f>
        <v>13</v>
      </c>
      <c r="O30" s="47">
        <v>2.2400000000000002</v>
      </c>
      <c r="P30" s="51">
        <f>AVERAGE(5,5,5,5)</f>
        <v>5</v>
      </c>
      <c r="Q30" s="51">
        <f>AVERAGE(95,95,95,95)</f>
        <v>95</v>
      </c>
      <c r="R30" s="51">
        <f t="shared" si="11"/>
        <v>0</v>
      </c>
      <c r="S30" s="51">
        <f t="shared" si="11"/>
        <v>0</v>
      </c>
      <c r="T30" s="51">
        <f t="shared" si="11"/>
        <v>0</v>
      </c>
      <c r="U30" s="51">
        <f t="shared" si="11"/>
        <v>0</v>
      </c>
      <c r="V30" s="51">
        <f t="shared" si="11"/>
        <v>0</v>
      </c>
      <c r="W30" s="51">
        <f t="shared" si="13"/>
        <v>0</v>
      </c>
      <c r="X30" s="51">
        <f t="shared" si="12"/>
        <v>0</v>
      </c>
      <c r="Y30" s="51">
        <f t="shared" si="12"/>
        <v>0</v>
      </c>
      <c r="Z30" s="51">
        <f>AVERAGE(60,60,60,60)</f>
        <v>60</v>
      </c>
      <c r="AA30" s="51">
        <f>AVERAGE(5,5,5,5)</f>
        <v>5</v>
      </c>
      <c r="AB30" s="51">
        <f t="shared" si="8"/>
        <v>0</v>
      </c>
      <c r="AC30" s="51">
        <f t="shared" si="10"/>
        <v>0</v>
      </c>
      <c r="AD30" s="51">
        <f>AVERAGE(20,20,20,20)</f>
        <v>20</v>
      </c>
      <c r="AE30" s="51">
        <f>AVERAGE(15,15,15,15)</f>
        <v>15</v>
      </c>
      <c r="AF30" s="51">
        <f>AVERAGE(10,10,10,10)</f>
        <v>10</v>
      </c>
      <c r="AG30" s="51">
        <v>53.409090909090899</v>
      </c>
      <c r="AH30" s="51">
        <v>4.1470588235294104</v>
      </c>
      <c r="AI30" s="51">
        <v>1652.57142857143</v>
      </c>
      <c r="AJ30" s="51">
        <v>4.4285714285714297</v>
      </c>
      <c r="AK30" s="51">
        <v>5.3333333333333401</v>
      </c>
      <c r="AL30" s="52"/>
    </row>
    <row r="31" spans="1:38" s="48" customFormat="1" ht="14.25" customHeight="1" x14ac:dyDescent="0.25">
      <c r="A31" s="50" t="s">
        <v>139</v>
      </c>
      <c r="B31" s="46">
        <v>27.9</v>
      </c>
      <c r="C31" s="46">
        <v>6.5</v>
      </c>
      <c r="D31" s="52"/>
      <c r="E31" s="53">
        <v>117</v>
      </c>
      <c r="F31" s="53">
        <v>28</v>
      </c>
      <c r="G31" s="47">
        <v>6.46</v>
      </c>
      <c r="H31" s="52"/>
      <c r="I31" s="55">
        <v>76</v>
      </c>
      <c r="J31" s="56">
        <f>1/(AVERAGE(2.77,1.84,2.08,2.24,2.1,1.88,2.29))</f>
        <v>0.46052631578947373</v>
      </c>
      <c r="K31" s="53">
        <f>AVERAGE(3,3)</f>
        <v>3</v>
      </c>
      <c r="L31" s="51">
        <v>17</v>
      </c>
      <c r="M31" s="53">
        <f>AVERAGE(10,17,15)</f>
        <v>14</v>
      </c>
      <c r="N31" s="51">
        <f>AVERAGE(11,11,11,11)</f>
        <v>11</v>
      </c>
      <c r="O31" s="54">
        <v>1.4</v>
      </c>
      <c r="P31" s="51">
        <f>AVERAGE(5,5,5,5)</f>
        <v>5</v>
      </c>
      <c r="Q31" s="51">
        <f>AVERAGE(95,95,95,95)</f>
        <v>95</v>
      </c>
      <c r="R31" s="51">
        <f t="shared" si="11"/>
        <v>0</v>
      </c>
      <c r="S31" s="51">
        <f t="shared" si="11"/>
        <v>0</v>
      </c>
      <c r="T31" s="51">
        <f t="shared" si="11"/>
        <v>0</v>
      </c>
      <c r="U31" s="51">
        <f t="shared" si="11"/>
        <v>0</v>
      </c>
      <c r="V31" s="51">
        <f t="shared" si="11"/>
        <v>0</v>
      </c>
      <c r="W31" s="51">
        <f t="shared" si="13"/>
        <v>0</v>
      </c>
      <c r="X31" s="51">
        <f t="shared" si="12"/>
        <v>0</v>
      </c>
      <c r="Y31" s="51">
        <f t="shared" si="12"/>
        <v>0</v>
      </c>
      <c r="Z31" s="51">
        <f>AVERAGE(50,50,50,50)</f>
        <v>50</v>
      </c>
      <c r="AA31" s="51">
        <f>AVERAGE(5,5,5,5)</f>
        <v>5</v>
      </c>
      <c r="AB31" s="51">
        <f t="shared" si="8"/>
        <v>0</v>
      </c>
      <c r="AC31" s="51">
        <f t="shared" si="10"/>
        <v>0</v>
      </c>
      <c r="AD31" s="51">
        <f>AVERAGE(15,15,15,15)</f>
        <v>15</v>
      </c>
      <c r="AE31" s="51">
        <f>AVERAGE(15,15,15,15)</f>
        <v>15</v>
      </c>
      <c r="AF31" s="51">
        <f>AVERAGE(15,15,15,15)</f>
        <v>15</v>
      </c>
      <c r="AG31" s="51">
        <v>125.681818181818</v>
      </c>
      <c r="AH31" s="51">
        <v>6.2058823529411802</v>
      </c>
      <c r="AI31" s="51">
        <v>2046.8571428571399</v>
      </c>
      <c r="AJ31" s="51">
        <v>7.28571428571429</v>
      </c>
      <c r="AK31" s="51">
        <v>12</v>
      </c>
      <c r="AL31" s="52"/>
    </row>
    <row r="32" spans="1:38" s="48" customFormat="1" ht="14.25" customHeight="1" x14ac:dyDescent="0.25">
      <c r="A32" s="50" t="s">
        <v>140</v>
      </c>
      <c r="B32" s="51">
        <v>28</v>
      </c>
      <c r="C32" s="46">
        <v>6.8</v>
      </c>
      <c r="D32" s="52"/>
      <c r="E32" s="53">
        <v>184.2</v>
      </c>
      <c r="F32" s="53">
        <v>14</v>
      </c>
      <c r="G32" s="47">
        <v>6.31</v>
      </c>
      <c r="H32" s="52"/>
      <c r="I32" s="55">
        <v>76</v>
      </c>
      <c r="J32" s="56">
        <f>1/(AVERAGE(5.15,5.18,5.89,6.33,8.85,6.79,7))</f>
        <v>0.15490152688647932</v>
      </c>
      <c r="K32" s="53">
        <f>AVERAGE(3,3)</f>
        <v>3</v>
      </c>
      <c r="L32" s="51">
        <v>19</v>
      </c>
      <c r="M32" s="53">
        <f>AVERAGE(4,9,19)</f>
        <v>10.666666666666666</v>
      </c>
      <c r="N32" s="51">
        <f>AVERAGE(10,10,10,10)</f>
        <v>10</v>
      </c>
      <c r="O32" s="47">
        <v>0.96</v>
      </c>
      <c r="P32" s="51">
        <f>AVERAGE(5,5,5,5)</f>
        <v>5</v>
      </c>
      <c r="Q32" s="51">
        <f>AVERAGE(90,90,90,90)</f>
        <v>90</v>
      </c>
      <c r="R32" s="51">
        <f>AVERAGE(5,5,5,5)</f>
        <v>5</v>
      </c>
      <c r="S32" s="51">
        <f t="shared" ref="S32:V40" si="14">AVERAGE(0,0,0,0)</f>
        <v>0</v>
      </c>
      <c r="T32" s="51">
        <f t="shared" si="14"/>
        <v>0</v>
      </c>
      <c r="U32" s="51">
        <f t="shared" si="14"/>
        <v>0</v>
      </c>
      <c r="V32" s="51">
        <f t="shared" si="14"/>
        <v>0</v>
      </c>
      <c r="W32" s="51">
        <f t="shared" si="13"/>
        <v>0</v>
      </c>
      <c r="X32" s="51">
        <f t="shared" si="12"/>
        <v>0</v>
      </c>
      <c r="Y32" s="51">
        <f t="shared" si="12"/>
        <v>0</v>
      </c>
      <c r="Z32" s="51">
        <f>AVERAGE(60,60,60,60)</f>
        <v>60</v>
      </c>
      <c r="AA32" s="51">
        <f>AVERAGE(5,5,5,5)</f>
        <v>5</v>
      </c>
      <c r="AB32" s="51">
        <f t="shared" si="8"/>
        <v>0</v>
      </c>
      <c r="AC32" s="51">
        <f t="shared" si="10"/>
        <v>0</v>
      </c>
      <c r="AD32" s="51">
        <f>AVERAGE(10,10,10,10)</f>
        <v>10</v>
      </c>
      <c r="AE32" s="51">
        <f>AVERAGE(15,15,15,15)</f>
        <v>15</v>
      </c>
      <c r="AF32" s="51">
        <f>AVERAGE(15,15,15,15)</f>
        <v>15</v>
      </c>
      <c r="AG32" s="51">
        <v>103.40909090909101</v>
      </c>
      <c r="AH32" s="51">
        <v>4.7352941176470598</v>
      </c>
      <c r="AI32" s="51">
        <v>2309.7142857142899</v>
      </c>
      <c r="AJ32" s="51">
        <v>5.8571428571428603</v>
      </c>
      <c r="AK32" s="51">
        <v>7</v>
      </c>
      <c r="AL32" s="52"/>
    </row>
    <row r="33" spans="1:38" s="48" customFormat="1" ht="14.25" customHeight="1" x14ac:dyDescent="0.25">
      <c r="A33" s="50" t="s">
        <v>141</v>
      </c>
      <c r="B33" s="46">
        <v>29.3</v>
      </c>
      <c r="C33" s="46">
        <v>5.4</v>
      </c>
      <c r="D33" s="52"/>
      <c r="E33" s="53">
        <v>250.8</v>
      </c>
      <c r="F33" s="53">
        <v>11</v>
      </c>
      <c r="G33" s="47">
        <v>6.37</v>
      </c>
      <c r="H33" s="52"/>
      <c r="I33" s="55">
        <v>86</v>
      </c>
      <c r="J33" s="56">
        <f>1/(AVERAGE(6.79,6.23,6.76,5.91,6.23,5.73,6.35))</f>
        <v>0.15909090909090906</v>
      </c>
      <c r="K33" s="47">
        <f>AVERAGE(2,3)</f>
        <v>2.5</v>
      </c>
      <c r="L33" s="51">
        <v>30</v>
      </c>
      <c r="M33" s="53">
        <f>AVERAGE(21,30,27)</f>
        <v>26</v>
      </c>
      <c r="N33" s="51">
        <f>AVERAGE(14,14,14,14)</f>
        <v>14</v>
      </c>
      <c r="O33" s="47">
        <v>1.08</v>
      </c>
      <c r="P33" s="51">
        <f>AVERAGE(10,10,10,10)</f>
        <v>10</v>
      </c>
      <c r="Q33" s="51">
        <f>AVERAGE(90,90,90,90)</f>
        <v>90</v>
      </c>
      <c r="R33" s="51">
        <f>AVERAGE(0,0,0,0)</f>
        <v>0</v>
      </c>
      <c r="S33" s="51">
        <f t="shared" si="14"/>
        <v>0</v>
      </c>
      <c r="T33" s="51">
        <f t="shared" si="14"/>
        <v>0</v>
      </c>
      <c r="U33" s="51">
        <f t="shared" si="14"/>
        <v>0</v>
      </c>
      <c r="V33" s="51">
        <f t="shared" si="14"/>
        <v>0</v>
      </c>
      <c r="W33" s="51">
        <f t="shared" si="13"/>
        <v>0</v>
      </c>
      <c r="X33" s="51">
        <f t="shared" si="12"/>
        <v>0</v>
      </c>
      <c r="Y33" s="51">
        <f t="shared" si="12"/>
        <v>0</v>
      </c>
      <c r="Z33" s="51">
        <f>AVERAGE(40,40,40,40)</f>
        <v>40</v>
      </c>
      <c r="AA33" s="53">
        <f>AVERAGE(10,10,10,10)</f>
        <v>10</v>
      </c>
      <c r="AB33" s="51">
        <f t="shared" si="8"/>
        <v>0</v>
      </c>
      <c r="AC33" s="51">
        <f t="shared" si="10"/>
        <v>0</v>
      </c>
      <c r="AD33" s="51">
        <f>AVERAGE(5,5,5,5)</f>
        <v>5</v>
      </c>
      <c r="AE33" s="51">
        <f>AVERAGE(10,10,10,10)</f>
        <v>10</v>
      </c>
      <c r="AF33" s="51">
        <f>AVERAGE(10,10,10,10)</f>
        <v>10</v>
      </c>
      <c r="AG33" s="51">
        <v>173.863636363636</v>
      </c>
      <c r="AH33" s="51">
        <v>1.20588235294118</v>
      </c>
      <c r="AI33" s="51">
        <v>352.57142857142901</v>
      </c>
      <c r="AJ33" s="51">
        <v>5.8571428571428603</v>
      </c>
      <c r="AK33" s="51">
        <v>7</v>
      </c>
      <c r="AL33" s="52"/>
    </row>
    <row r="34" spans="1:38" s="48" customFormat="1" ht="14.25" customHeight="1" x14ac:dyDescent="0.25">
      <c r="A34" s="50" t="s">
        <v>144</v>
      </c>
      <c r="B34" s="46">
        <v>29.1</v>
      </c>
      <c r="C34" s="51">
        <v>5</v>
      </c>
      <c r="D34" s="52"/>
      <c r="E34" s="53">
        <v>232.3</v>
      </c>
      <c r="F34" s="53">
        <v>8</v>
      </c>
      <c r="G34" s="47">
        <v>6.27</v>
      </c>
      <c r="H34" s="52"/>
      <c r="I34" s="55">
        <v>86</v>
      </c>
      <c r="J34" s="56">
        <f>1/(AVERAGE(9.25,8.36,10.74,8.45,9.79,10.12,8.1))</f>
        <v>0.10800802345317083</v>
      </c>
      <c r="K34" s="47">
        <f>AVERAGE(2,3)</f>
        <v>2.5</v>
      </c>
      <c r="L34" s="51">
        <v>22</v>
      </c>
      <c r="M34" s="53">
        <f>AVERAGE(22,20,21)</f>
        <v>21</v>
      </c>
      <c r="N34" s="51">
        <f>AVERAGE(19,19,19,19)</f>
        <v>19</v>
      </c>
      <c r="O34" s="47">
        <v>0.56000000000000005</v>
      </c>
      <c r="P34" s="51">
        <f>AVERAGE(10,10,10,10)</f>
        <v>10</v>
      </c>
      <c r="Q34" s="51">
        <f>AVERAGE(90,90,90,90)</f>
        <v>90</v>
      </c>
      <c r="R34" s="51">
        <f>AVERAGE(0,0,0,0)</f>
        <v>0</v>
      </c>
      <c r="S34" s="51">
        <f t="shared" si="14"/>
        <v>0</v>
      </c>
      <c r="T34" s="51">
        <f t="shared" si="14"/>
        <v>0</v>
      </c>
      <c r="U34" s="51">
        <f t="shared" si="14"/>
        <v>0</v>
      </c>
      <c r="V34" s="51">
        <f t="shared" si="14"/>
        <v>0</v>
      </c>
      <c r="W34" s="51">
        <f t="shared" si="13"/>
        <v>0</v>
      </c>
      <c r="X34" s="51">
        <f t="shared" si="12"/>
        <v>0</v>
      </c>
      <c r="Y34" s="51">
        <f t="shared" si="12"/>
        <v>0</v>
      </c>
      <c r="Z34" s="53">
        <f>AVERAGE(40,40,40,40)</f>
        <v>40</v>
      </c>
      <c r="AA34" s="53">
        <f>AVERAGE(5,5,5,5)</f>
        <v>5</v>
      </c>
      <c r="AB34" s="51">
        <f t="shared" si="8"/>
        <v>0</v>
      </c>
      <c r="AC34" s="51">
        <f t="shared" si="10"/>
        <v>0</v>
      </c>
      <c r="AD34" s="51">
        <f>AVERAGE(0,0,0,0)</f>
        <v>0</v>
      </c>
      <c r="AE34" s="51">
        <f>AVERAGE(5,5,5,5)</f>
        <v>5</v>
      </c>
      <c r="AF34" s="51">
        <f>AVERAGE(5,5,5,5)</f>
        <v>5</v>
      </c>
      <c r="AG34" s="51">
        <v>141.136363636364</v>
      </c>
      <c r="AH34" s="51">
        <v>2.6764705882352899</v>
      </c>
      <c r="AI34" s="51">
        <v>908.28571428571399</v>
      </c>
      <c r="AJ34" s="51">
        <v>8.7142857142857206</v>
      </c>
      <c r="AK34" s="51">
        <v>15.3333333333333</v>
      </c>
      <c r="AL34" s="52"/>
    </row>
    <row r="35" spans="1:38" s="48" customFormat="1" ht="14.25" customHeight="1" x14ac:dyDescent="0.25">
      <c r="A35" s="50" t="s">
        <v>145</v>
      </c>
      <c r="B35" s="51">
        <v>29</v>
      </c>
      <c r="C35" s="46">
        <v>5.4</v>
      </c>
      <c r="D35" s="52"/>
      <c r="E35" s="53">
        <v>243</v>
      </c>
      <c r="F35" s="53">
        <v>21</v>
      </c>
      <c r="G35" s="47">
        <v>6.57</v>
      </c>
      <c r="H35" s="52"/>
      <c r="I35" s="55">
        <v>86</v>
      </c>
      <c r="J35" s="56">
        <f>1/(AVERAGE(10.79,9.69,10.11,12.72,11.58,10.95,11.72))</f>
        <v>9.0252707581227457E-2</v>
      </c>
      <c r="K35" s="47">
        <f>AVERAGE(1,2)</f>
        <v>1.5</v>
      </c>
      <c r="L35" s="51">
        <v>14</v>
      </c>
      <c r="M35" s="53">
        <f>AVERAGE(12,14,6)</f>
        <v>10.666666666666666</v>
      </c>
      <c r="N35" s="51">
        <f>AVERAGE(23,23,23,23)</f>
        <v>23</v>
      </c>
      <c r="O35" s="47">
        <v>1.1499999999999999</v>
      </c>
      <c r="P35" s="51">
        <f>AVERAGE(10,10,10,10)</f>
        <v>10</v>
      </c>
      <c r="Q35" s="51">
        <f>AVERAGE(80,80,80,80)</f>
        <v>80</v>
      </c>
      <c r="R35" s="51">
        <f>AVERAGE(10,10,10,10)</f>
        <v>10</v>
      </c>
      <c r="S35" s="51">
        <f t="shared" si="14"/>
        <v>0</v>
      </c>
      <c r="T35" s="51">
        <f t="shared" si="14"/>
        <v>0</v>
      </c>
      <c r="U35" s="51">
        <f t="shared" si="14"/>
        <v>0</v>
      </c>
      <c r="V35" s="51">
        <f t="shared" si="14"/>
        <v>0</v>
      </c>
      <c r="W35" s="51">
        <f t="shared" si="13"/>
        <v>0</v>
      </c>
      <c r="X35" s="51">
        <f t="shared" si="12"/>
        <v>0</v>
      </c>
      <c r="Y35" s="51">
        <f t="shared" si="12"/>
        <v>0</v>
      </c>
      <c r="Z35" s="53">
        <f>AVERAGE(40,40,40,40)</f>
        <v>40</v>
      </c>
      <c r="AA35" s="53">
        <f>AVERAGE(5,5,5,5)</f>
        <v>5</v>
      </c>
      <c r="AB35" s="51">
        <f t="shared" si="8"/>
        <v>0</v>
      </c>
      <c r="AC35" s="51">
        <f t="shared" si="10"/>
        <v>0</v>
      </c>
      <c r="AD35" s="51">
        <f>AVERAGE(10,10,10,10)</f>
        <v>10</v>
      </c>
      <c r="AE35" s="51">
        <f>AVERAGE(15,15,15,15)</f>
        <v>15</v>
      </c>
      <c r="AF35" s="51">
        <f>AVERAGE(25,25,25,25)</f>
        <v>25</v>
      </c>
      <c r="AG35" s="51">
        <v>191.59090909090901</v>
      </c>
      <c r="AH35" s="51">
        <v>2.6764705882352899</v>
      </c>
      <c r="AI35" s="51">
        <v>1044</v>
      </c>
      <c r="AJ35" s="51">
        <v>7.28571428571429</v>
      </c>
      <c r="AK35" s="51">
        <v>33.6666666666667</v>
      </c>
      <c r="AL35" s="52"/>
    </row>
    <row r="36" spans="1:38" s="48" customFormat="1" ht="14.25" customHeight="1" x14ac:dyDescent="0.25">
      <c r="A36" s="50" t="s">
        <v>146</v>
      </c>
      <c r="B36" s="46">
        <v>31.4</v>
      </c>
      <c r="C36" s="46">
        <v>7.1</v>
      </c>
      <c r="D36" s="52"/>
      <c r="E36" s="47">
        <v>139.1</v>
      </c>
      <c r="F36" s="53">
        <v>8</v>
      </c>
      <c r="G36" s="47">
        <v>6.5</v>
      </c>
      <c r="H36" s="52"/>
      <c r="I36" s="55">
        <v>76</v>
      </c>
      <c r="J36" s="56">
        <v>0</v>
      </c>
      <c r="K36" s="53">
        <f>AVERAGE(1,1)</f>
        <v>1</v>
      </c>
      <c r="L36" s="51">
        <v>200</v>
      </c>
      <c r="M36" s="53">
        <f>AVERAGE(40,40,40,40)</f>
        <v>40</v>
      </c>
      <c r="N36" s="51">
        <f>AVERAGE(18,18,18,18)</f>
        <v>18</v>
      </c>
      <c r="O36" s="47">
        <v>12.22</v>
      </c>
      <c r="P36" s="51">
        <f>AVERAGE(100,100,100,100)</f>
        <v>100</v>
      </c>
      <c r="Q36" s="51">
        <f t="shared" ref="Q36:R38" si="15">AVERAGE(0,0,0,0)</f>
        <v>0</v>
      </c>
      <c r="R36" s="51">
        <f t="shared" si="15"/>
        <v>0</v>
      </c>
      <c r="S36" s="51">
        <f t="shared" si="14"/>
        <v>0</v>
      </c>
      <c r="T36" s="51">
        <f t="shared" si="14"/>
        <v>0</v>
      </c>
      <c r="U36" s="51">
        <f t="shared" si="14"/>
        <v>0</v>
      </c>
      <c r="V36" s="51">
        <f t="shared" si="14"/>
        <v>0</v>
      </c>
      <c r="W36" s="51">
        <f>AVERAGE(0+25,0+25,0+25,0+25)</f>
        <v>25</v>
      </c>
      <c r="X36" s="51">
        <f>AVERAGE(50,50,50,50)</f>
        <v>50</v>
      </c>
      <c r="Y36" s="51">
        <f>AVERAGE(20,20,20,20)</f>
        <v>20</v>
      </c>
      <c r="Z36" s="51">
        <f>AVERAGE(5,5,5,5)</f>
        <v>5</v>
      </c>
      <c r="AA36" s="51">
        <f>AVERAGE(5,5,5,5)</f>
        <v>5</v>
      </c>
      <c r="AB36" s="51">
        <f t="shared" si="8"/>
        <v>0</v>
      </c>
      <c r="AC36" s="51">
        <f t="shared" si="10"/>
        <v>0</v>
      </c>
      <c r="AD36" s="51">
        <f>AVERAGE(5,5,5,5)</f>
        <v>5</v>
      </c>
      <c r="AE36" s="51">
        <f>AVERAGE(5,5,5,5)</f>
        <v>5</v>
      </c>
      <c r="AF36" s="51">
        <f>AVERAGE(5,5,5,5)</f>
        <v>5</v>
      </c>
      <c r="AG36" s="51">
        <v>61.590909090909101</v>
      </c>
      <c r="AH36" s="51">
        <v>10.323529411764699</v>
      </c>
      <c r="AI36" s="51">
        <v>4106.8571428571404</v>
      </c>
      <c r="AJ36" s="51">
        <v>7.28571428571429</v>
      </c>
      <c r="AK36" s="51">
        <v>10.3333333333333</v>
      </c>
      <c r="AL36" s="52"/>
    </row>
    <row r="37" spans="1:38" s="48" customFormat="1" ht="14.25" customHeight="1" x14ac:dyDescent="0.25">
      <c r="A37" s="50" t="s">
        <v>151</v>
      </c>
      <c r="B37" s="46">
        <v>32.700000000000003</v>
      </c>
      <c r="C37" s="46">
        <v>6.4</v>
      </c>
      <c r="D37" s="52"/>
      <c r="E37" s="47">
        <v>162.19999999999999</v>
      </c>
      <c r="F37" s="53">
        <v>5</v>
      </c>
      <c r="G37" s="47">
        <v>6.3</v>
      </c>
      <c r="H37" s="52"/>
      <c r="I37" s="55">
        <v>76</v>
      </c>
      <c r="J37" s="56">
        <v>0</v>
      </c>
      <c r="K37" s="53">
        <f>AVERAGE(1,1)</f>
        <v>1</v>
      </c>
      <c r="L37" s="51">
        <v>200</v>
      </c>
      <c r="M37" s="53">
        <f>AVERAGE(41,41,41,41)</f>
        <v>41</v>
      </c>
      <c r="N37" s="51">
        <f>AVERAGE(27,27,27,27)</f>
        <v>27</v>
      </c>
      <c r="O37" s="47">
        <v>8.4600000000000009</v>
      </c>
      <c r="P37" s="51">
        <f>AVERAGE(100,100,100,100)</f>
        <v>100</v>
      </c>
      <c r="Q37" s="51">
        <f t="shared" si="15"/>
        <v>0</v>
      </c>
      <c r="R37" s="51">
        <f t="shared" si="15"/>
        <v>0</v>
      </c>
      <c r="S37" s="51">
        <f t="shared" si="14"/>
        <v>0</v>
      </c>
      <c r="T37" s="51">
        <f t="shared" si="14"/>
        <v>0</v>
      </c>
      <c r="U37" s="51">
        <f t="shared" si="14"/>
        <v>0</v>
      </c>
      <c r="V37" s="51">
        <f t="shared" si="14"/>
        <v>0</v>
      </c>
      <c r="W37" s="51">
        <f>AVERAGE(25+25,25+25,25+25,25+25)</f>
        <v>50</v>
      </c>
      <c r="X37" s="51">
        <f>AVERAGE(50,50,50,50)</f>
        <v>50</v>
      </c>
      <c r="Y37" s="51">
        <f>AVERAGE(20,20,20,20)</f>
        <v>20</v>
      </c>
      <c r="Z37" s="51">
        <f>AVERAGE(0,0,0,0)</f>
        <v>0</v>
      </c>
      <c r="AA37" s="51">
        <f>AVERAGE(0,0,0,0)</f>
        <v>0</v>
      </c>
      <c r="AB37" s="51">
        <f t="shared" si="8"/>
        <v>0</v>
      </c>
      <c r="AC37" s="51">
        <f t="shared" si="10"/>
        <v>0</v>
      </c>
      <c r="AD37" s="51">
        <f t="shared" ref="AD37:AF38" si="16">AVERAGE(0,0,0,0)</f>
        <v>0</v>
      </c>
      <c r="AE37" s="51">
        <f t="shared" si="16"/>
        <v>0</v>
      </c>
      <c r="AF37" s="51">
        <f t="shared" si="16"/>
        <v>0</v>
      </c>
      <c r="AG37" s="51">
        <v>73.863636363636402</v>
      </c>
      <c r="AH37" s="51">
        <v>5.0294117647058796</v>
      </c>
      <c r="AI37" s="51">
        <v>322.57142857142901</v>
      </c>
      <c r="AJ37" s="51">
        <v>13</v>
      </c>
      <c r="AK37" s="51">
        <v>15.3333333333333</v>
      </c>
      <c r="AL37" s="52"/>
    </row>
    <row r="38" spans="1:38" s="48" customFormat="1" ht="14.25" customHeight="1" x14ac:dyDescent="0.25">
      <c r="A38" s="50" t="s">
        <v>152</v>
      </c>
      <c r="B38" s="46">
        <v>33.4</v>
      </c>
      <c r="C38" s="46">
        <v>7.3</v>
      </c>
      <c r="D38" s="52"/>
      <c r="E38" s="47">
        <v>156.4</v>
      </c>
      <c r="F38" s="53">
        <v>12</v>
      </c>
      <c r="G38" s="47">
        <v>6.8</v>
      </c>
      <c r="H38" s="52"/>
      <c r="I38" s="55">
        <v>76</v>
      </c>
      <c r="J38" s="56">
        <v>0</v>
      </c>
      <c r="K38" s="53">
        <f>AVERAGE(1,1)</f>
        <v>1</v>
      </c>
      <c r="L38" s="51">
        <v>200</v>
      </c>
      <c r="M38" s="53">
        <f>AVERAGE(42,42,42,42)</f>
        <v>42</v>
      </c>
      <c r="N38" s="51">
        <f>AVERAGE(33,33,33,33)</f>
        <v>33</v>
      </c>
      <c r="O38" s="47">
        <v>18.760000000000002</v>
      </c>
      <c r="P38" s="51">
        <f>AVERAGE(100,100,100,100)</f>
        <v>100</v>
      </c>
      <c r="Q38" s="51">
        <f t="shared" si="15"/>
        <v>0</v>
      </c>
      <c r="R38" s="51">
        <f t="shared" si="15"/>
        <v>0</v>
      </c>
      <c r="S38" s="51">
        <f t="shared" si="14"/>
        <v>0</v>
      </c>
      <c r="T38" s="51">
        <f t="shared" si="14"/>
        <v>0</v>
      </c>
      <c r="U38" s="51">
        <f t="shared" si="14"/>
        <v>0</v>
      </c>
      <c r="V38" s="51">
        <f t="shared" si="14"/>
        <v>0</v>
      </c>
      <c r="W38" s="51">
        <f>AVERAGE(30+20,30+20,30+20,30+20)</f>
        <v>50</v>
      </c>
      <c r="X38" s="51">
        <f>AVERAGE(40,40,40,40)</f>
        <v>40</v>
      </c>
      <c r="Y38" s="51">
        <f>AVERAGE(20,20,20,20)</f>
        <v>20</v>
      </c>
      <c r="Z38" s="51">
        <f>AVERAGE(0,0,0,0)</f>
        <v>0</v>
      </c>
      <c r="AA38" s="51">
        <f>AVERAGE(0,0,0,0)</f>
        <v>0</v>
      </c>
      <c r="AB38" s="51">
        <f t="shared" si="8"/>
        <v>0</v>
      </c>
      <c r="AC38" s="51">
        <f t="shared" si="10"/>
        <v>0</v>
      </c>
      <c r="AD38" s="51">
        <f t="shared" si="16"/>
        <v>0</v>
      </c>
      <c r="AE38" s="51">
        <f t="shared" si="16"/>
        <v>0</v>
      </c>
      <c r="AF38" s="51">
        <f t="shared" si="16"/>
        <v>0</v>
      </c>
      <c r="AG38" s="51">
        <v>67.954545454545496</v>
      </c>
      <c r="AH38" s="51">
        <v>4.7352941176470598</v>
      </c>
      <c r="AI38" s="51">
        <v>442.57142857142901</v>
      </c>
      <c r="AJ38" s="51">
        <v>75.857142857142904</v>
      </c>
      <c r="AK38" s="51">
        <v>170.333333333333</v>
      </c>
      <c r="AL38" s="52"/>
    </row>
    <row r="39" spans="1:38" s="48" customFormat="1" ht="14.25" customHeight="1" x14ac:dyDescent="0.25">
      <c r="A39" s="50" t="s">
        <v>153</v>
      </c>
      <c r="B39" s="46">
        <v>28.8</v>
      </c>
      <c r="C39" s="46">
        <v>6.1</v>
      </c>
      <c r="D39" s="52"/>
      <c r="E39" s="47">
        <v>127.9</v>
      </c>
      <c r="F39" s="47">
        <v>13.5</v>
      </c>
      <c r="G39" s="47">
        <v>6.6</v>
      </c>
      <c r="H39" s="52"/>
      <c r="I39" s="55">
        <v>49</v>
      </c>
      <c r="J39" s="56">
        <f>1/(AVERAGE(11.08,8.98,10.67,10.97,13.85,11.08,11.04,13.94,16.38,11.31))</f>
        <v>8.3822296730930418E-2</v>
      </c>
      <c r="K39" s="53">
        <f>AVERAGE(2,1)</f>
        <v>1.5</v>
      </c>
      <c r="L39" s="51">
        <v>100</v>
      </c>
      <c r="M39" s="53">
        <f>AVERAGE(100,98,98)</f>
        <v>98.666666666666671</v>
      </c>
      <c r="N39" s="51">
        <f>AVERAGE(100,100,100,100)</f>
        <v>100</v>
      </c>
      <c r="O39" s="54">
        <v>5.5</v>
      </c>
      <c r="P39" s="51">
        <f>AVERAGE(95,95,95,95)</f>
        <v>95</v>
      </c>
      <c r="Q39" s="51">
        <f>AVERAGE(5,5,5,5)</f>
        <v>5</v>
      </c>
      <c r="R39" s="51">
        <f>AVERAGE(0,0,0,0)</f>
        <v>0</v>
      </c>
      <c r="S39" s="51">
        <f t="shared" si="14"/>
        <v>0</v>
      </c>
      <c r="T39" s="51">
        <f t="shared" si="14"/>
        <v>0</v>
      </c>
      <c r="U39" s="51">
        <f t="shared" si="14"/>
        <v>0</v>
      </c>
      <c r="V39" s="51">
        <f t="shared" si="14"/>
        <v>0</v>
      </c>
      <c r="W39" s="51">
        <f>AVERAGE(0,0,0,0)</f>
        <v>0</v>
      </c>
      <c r="X39" s="51">
        <f>AVERAGE(5,5,5,5)</f>
        <v>5</v>
      </c>
      <c r="Y39" s="51">
        <f>AVERAGE(15,15,15,15)</f>
        <v>15</v>
      </c>
      <c r="Z39" s="51">
        <f>AVERAGE(10,10,10,10)</f>
        <v>10</v>
      </c>
      <c r="AA39" s="51">
        <f>AVERAGE(5,5,5,5)</f>
        <v>5</v>
      </c>
      <c r="AB39" s="51">
        <f t="shared" si="8"/>
        <v>0</v>
      </c>
      <c r="AC39" s="51">
        <f t="shared" si="10"/>
        <v>0</v>
      </c>
      <c r="AD39" s="51">
        <f>AVERAGE(15,15,15,15)</f>
        <v>15</v>
      </c>
      <c r="AE39" s="51">
        <f>AVERAGE(25,25,25,25)</f>
        <v>25</v>
      </c>
      <c r="AF39" s="51">
        <f>AVERAGE(20,20,20,20)</f>
        <v>20</v>
      </c>
      <c r="AG39" s="51">
        <v>80.227272727272705</v>
      </c>
      <c r="AH39" s="51">
        <v>2.6764705882352899</v>
      </c>
      <c r="AI39" s="51">
        <v>461.142857142857</v>
      </c>
      <c r="AJ39" s="51">
        <v>8.7142857142857206</v>
      </c>
      <c r="AK39" s="51">
        <v>12</v>
      </c>
      <c r="AL39" s="52"/>
    </row>
    <row r="40" spans="1:38" s="48" customFormat="1" ht="14.25" customHeight="1" x14ac:dyDescent="0.25">
      <c r="A40" s="50" t="s">
        <v>158</v>
      </c>
      <c r="B40" s="46">
        <v>29.1</v>
      </c>
      <c r="C40" s="46">
        <v>7.6</v>
      </c>
      <c r="D40" s="52"/>
      <c r="E40" s="47">
        <v>129.4</v>
      </c>
      <c r="F40" s="47">
        <v>14.6</v>
      </c>
      <c r="G40" s="47">
        <v>6.51</v>
      </c>
      <c r="H40" s="52"/>
      <c r="I40" s="55">
        <v>49</v>
      </c>
      <c r="J40" s="56">
        <f>1/(AVERAGE(9.43,9.44,7.99,11.27,10.08,10.25,10.15,8.25,9.99,8.74))</f>
        <v>0.10461345329009311</v>
      </c>
      <c r="K40" s="53">
        <f>AVERAGE(1,1)</f>
        <v>1</v>
      </c>
      <c r="L40" s="51">
        <v>82</v>
      </c>
      <c r="M40" s="53">
        <f>AVERAGE(64,82,64)</f>
        <v>70</v>
      </c>
      <c r="N40" s="51">
        <f>AVERAGE(74,74,74,74)</f>
        <v>74</v>
      </c>
      <c r="O40" s="54">
        <v>3.4</v>
      </c>
      <c r="P40" s="51">
        <f>AVERAGE(100,100,100,100)</f>
        <v>100</v>
      </c>
      <c r="Q40" s="51">
        <f>AVERAGE(0,0,0,0)</f>
        <v>0</v>
      </c>
      <c r="R40" s="51">
        <f>AVERAGE(0,0,0,0)</f>
        <v>0</v>
      </c>
      <c r="S40" s="51">
        <f t="shared" si="14"/>
        <v>0</v>
      </c>
      <c r="T40" s="51">
        <f t="shared" si="14"/>
        <v>0</v>
      </c>
      <c r="U40" s="51">
        <f t="shared" si="14"/>
        <v>0</v>
      </c>
      <c r="V40" s="51">
        <f t="shared" si="14"/>
        <v>0</v>
      </c>
      <c r="W40" s="51">
        <f>AVERAGE(0,0,0,0)</f>
        <v>0</v>
      </c>
      <c r="X40" s="51">
        <f>AVERAGE(5,5,5,5)</f>
        <v>5</v>
      </c>
      <c r="Y40" s="51">
        <f>AVERAGE(5,5,5,5)</f>
        <v>5</v>
      </c>
      <c r="Z40" s="51">
        <f>AVERAGE(30,30,30,30)</f>
        <v>30</v>
      </c>
      <c r="AA40" s="51">
        <f>AVERAGE(5,5,5,5)</f>
        <v>5</v>
      </c>
      <c r="AB40" s="51">
        <f t="shared" si="8"/>
        <v>0</v>
      </c>
      <c r="AC40" s="51">
        <f t="shared" si="10"/>
        <v>0</v>
      </c>
      <c r="AD40" s="51">
        <f>AVERAGE(5,5,5,5)</f>
        <v>5</v>
      </c>
      <c r="AE40" s="51">
        <f>AVERAGE(25,25,25,25)</f>
        <v>25</v>
      </c>
      <c r="AF40" s="51">
        <f>AVERAGE(20,20,20,20)</f>
        <v>20</v>
      </c>
      <c r="AG40" s="51">
        <v>79.318181818181799</v>
      </c>
      <c r="AH40" s="51">
        <v>3.8529411764705901</v>
      </c>
      <c r="AI40" s="51">
        <v>566.857142857143</v>
      </c>
      <c r="AJ40" s="51">
        <v>7.28571428571429</v>
      </c>
      <c r="AK40" s="51">
        <v>22</v>
      </c>
      <c r="AL40" s="52"/>
    </row>
    <row r="41" spans="1:38" s="48" customFormat="1" ht="14.25" customHeight="1" x14ac:dyDescent="0.25">
      <c r="A41" s="50" t="s">
        <v>159</v>
      </c>
      <c r="B41" s="51">
        <v>28</v>
      </c>
      <c r="C41" s="46">
        <v>7.8</v>
      </c>
      <c r="D41" s="52"/>
      <c r="E41" s="47">
        <v>130.6</v>
      </c>
      <c r="F41" s="47">
        <v>11.9</v>
      </c>
      <c r="G41" s="47">
        <v>6.52</v>
      </c>
      <c r="H41" s="52"/>
      <c r="I41" s="55">
        <v>49</v>
      </c>
      <c r="J41" s="56">
        <f>1/(AVERAGE(16.49,7.08,9.79,10.18,6.29,6.64,7.97,7.72,8.71,6.09))</f>
        <v>0.11499540018399262</v>
      </c>
      <c r="K41" s="53">
        <f>AVERAGE(1,1)</f>
        <v>1</v>
      </c>
      <c r="L41" s="51">
        <v>70</v>
      </c>
      <c r="M41" s="53">
        <f>AVERAGE(66,70,45)</f>
        <v>60.333333333333336</v>
      </c>
      <c r="N41" s="51">
        <f>AVERAGE(5,5,5,5)</f>
        <v>5</v>
      </c>
      <c r="O41" s="54">
        <v>4.03</v>
      </c>
      <c r="P41" s="51">
        <f>AVERAGE(90,90,90,90)</f>
        <v>90</v>
      </c>
      <c r="Q41" s="51">
        <f>AVERAGE(0,0,0,0)</f>
        <v>0</v>
      </c>
      <c r="R41" s="51">
        <f>AVERAGE(0,0,0,0)</f>
        <v>0</v>
      </c>
      <c r="S41" s="51">
        <f t="shared" ref="S41:T68" si="17">AVERAGE(0,0,0,0)</f>
        <v>0</v>
      </c>
      <c r="T41" s="51">
        <f t="shared" si="17"/>
        <v>0</v>
      </c>
      <c r="U41" s="51">
        <f>AVERAGE(10,10,10,10)</f>
        <v>10</v>
      </c>
      <c r="V41" s="51">
        <f t="shared" ref="V41:V68" si="18">AVERAGE(0,0,0,0)</f>
        <v>0</v>
      </c>
      <c r="W41" s="51">
        <f>AVERAGE(0,0,0,0)</f>
        <v>0</v>
      </c>
      <c r="X41" s="51">
        <f>AVERAGE(5,5,5,5)</f>
        <v>5</v>
      </c>
      <c r="Y41" s="51">
        <f>AVERAGE(5,5,5,5)</f>
        <v>5</v>
      </c>
      <c r="Z41" s="51">
        <f>AVERAGE(15,15,15,15)</f>
        <v>15</v>
      </c>
      <c r="AA41" s="51">
        <f>AVERAGE(5,5,5,5)</f>
        <v>5</v>
      </c>
      <c r="AB41" s="51">
        <f t="shared" si="8"/>
        <v>0</v>
      </c>
      <c r="AC41" s="51">
        <f t="shared" si="10"/>
        <v>0</v>
      </c>
      <c r="AD41" s="51">
        <f>AVERAGE(5,5,5,5)</f>
        <v>5</v>
      </c>
      <c r="AE41" s="51">
        <f>AVERAGE(0,0,0,0)</f>
        <v>0</v>
      </c>
      <c r="AF41" s="51">
        <f>AVERAGE(0,0,0,0)</f>
        <v>0</v>
      </c>
      <c r="AG41" s="51">
        <v>87.045454545454604</v>
      </c>
      <c r="AH41" s="51">
        <v>4.1470588235294104</v>
      </c>
      <c r="AI41" s="51">
        <v>1004</v>
      </c>
      <c r="AJ41" s="51">
        <v>10.1428571428571</v>
      </c>
      <c r="AK41" s="51">
        <v>25.3333333333333</v>
      </c>
      <c r="AL41" s="52"/>
    </row>
    <row r="42" spans="1:38" s="48" customFormat="1" ht="14.25" customHeight="1" x14ac:dyDescent="0.25">
      <c r="A42" s="50" t="s">
        <v>160</v>
      </c>
      <c r="B42" s="46">
        <v>28.7</v>
      </c>
      <c r="C42" s="46">
        <v>5.4</v>
      </c>
      <c r="D42" s="52"/>
      <c r="E42" s="47">
        <v>130.69999999999999</v>
      </c>
      <c r="F42" s="47">
        <v>11.7</v>
      </c>
      <c r="G42" s="47">
        <v>6.84</v>
      </c>
      <c r="H42" s="52"/>
      <c r="I42" s="55">
        <v>47</v>
      </c>
      <c r="J42" s="56">
        <f>1/(AVERAGE(12.77,13.58,11.74,10.54,8.53,,7.06,6.63,11.02,7.64,8.99))</f>
        <v>0.11167512690355332</v>
      </c>
      <c r="K42" s="53">
        <f>AVERAGE(1,1)</f>
        <v>1</v>
      </c>
      <c r="L42" s="51">
        <v>72</v>
      </c>
      <c r="M42" s="53">
        <f>AVERAGE(72,60,58)</f>
        <v>63.333333333333336</v>
      </c>
      <c r="N42" s="51">
        <f>AVERAGE(50,50,50,50)</f>
        <v>50</v>
      </c>
      <c r="O42" s="54">
        <v>11.5</v>
      </c>
      <c r="P42" s="51">
        <f>AVERAGE(100,100,100,100)</f>
        <v>100</v>
      </c>
      <c r="Q42" s="51">
        <f>AVERAGE(0,0,0,0)</f>
        <v>0</v>
      </c>
      <c r="R42" s="51">
        <f>AVERAGE(0,0,0,0)</f>
        <v>0</v>
      </c>
      <c r="S42" s="51">
        <f t="shared" si="17"/>
        <v>0</v>
      </c>
      <c r="T42" s="51">
        <f t="shared" si="17"/>
        <v>0</v>
      </c>
      <c r="U42" s="51">
        <f t="shared" ref="U42:U68" si="19">AVERAGE(0,0,0,0)</f>
        <v>0</v>
      </c>
      <c r="V42" s="51">
        <f t="shared" si="18"/>
        <v>0</v>
      </c>
      <c r="W42" s="51">
        <f>AVERAGE(15,15,15,15)</f>
        <v>15</v>
      </c>
      <c r="X42" s="51">
        <f>AVERAGE(5,5,5,5)</f>
        <v>5</v>
      </c>
      <c r="Y42" s="51">
        <f>AVERAGE(15,15,15,15)</f>
        <v>15</v>
      </c>
      <c r="Z42" s="51">
        <f>AVERAGE(0,0,0,0)</f>
        <v>0</v>
      </c>
      <c r="AA42" s="51">
        <f>AVERAGE(5,5,5,5)</f>
        <v>5</v>
      </c>
      <c r="AB42" s="51">
        <f t="shared" si="8"/>
        <v>0</v>
      </c>
      <c r="AC42" s="51">
        <f t="shared" si="10"/>
        <v>0</v>
      </c>
      <c r="AD42" s="51">
        <f>AVERAGE(0,0,0,0)</f>
        <v>0</v>
      </c>
      <c r="AE42" s="51">
        <f>AVERAGE(0,0,0,0)</f>
        <v>0</v>
      </c>
      <c r="AF42" s="51">
        <f>AVERAGE(0,0,0,0)</f>
        <v>0</v>
      </c>
      <c r="AG42" s="51">
        <v>43.863636363636402</v>
      </c>
      <c r="AH42" s="51">
        <v>3.2647058823529398</v>
      </c>
      <c r="AI42" s="51">
        <v>626.857142857143</v>
      </c>
      <c r="AJ42" s="51">
        <v>7.28571428571429</v>
      </c>
      <c r="AK42" s="51">
        <v>8.6666666666666696</v>
      </c>
      <c r="AL42" s="52"/>
    </row>
    <row r="43" spans="1:38" s="48" customFormat="1" ht="14.25" customHeight="1" x14ac:dyDescent="0.25">
      <c r="A43" s="50" t="s">
        <v>164</v>
      </c>
      <c r="B43" s="46">
        <v>28.9</v>
      </c>
      <c r="C43" s="51">
        <v>7</v>
      </c>
      <c r="D43" s="52"/>
      <c r="E43" s="47">
        <v>136.6</v>
      </c>
      <c r="F43" s="47">
        <v>9.32</v>
      </c>
      <c r="G43" s="47">
        <v>6.7</v>
      </c>
      <c r="H43" s="52"/>
      <c r="I43" s="55">
        <v>47</v>
      </c>
      <c r="J43" s="56">
        <f>1/(AVERAGE(7.95,5.65,5.83,8.71,5.02,6.75,4.77,3.86,3.36,3.01))</f>
        <v>0.18211619012930252</v>
      </c>
      <c r="K43" s="53">
        <f>AVERAGE(1,1)</f>
        <v>1</v>
      </c>
      <c r="L43" s="51">
        <v>85</v>
      </c>
      <c r="M43" s="53">
        <f>AVERAGE(50,85,60)</f>
        <v>65</v>
      </c>
      <c r="N43" s="51">
        <f>AVERAGE(40,40,40,40)</f>
        <v>40</v>
      </c>
      <c r="O43" s="47">
        <v>10.68</v>
      </c>
      <c r="P43" s="51">
        <f>AVERAGE(5,5,5,5)</f>
        <v>5</v>
      </c>
      <c r="Q43" s="51">
        <f>AVERAGE(85,85,85,85)</f>
        <v>85</v>
      </c>
      <c r="R43" s="51">
        <f>AVERAGE(10,10,10,10)</f>
        <v>10</v>
      </c>
      <c r="S43" s="51">
        <f t="shared" si="17"/>
        <v>0</v>
      </c>
      <c r="T43" s="51">
        <f t="shared" si="17"/>
        <v>0</v>
      </c>
      <c r="U43" s="51">
        <f t="shared" si="19"/>
        <v>0</v>
      </c>
      <c r="V43" s="51">
        <f t="shared" si="18"/>
        <v>0</v>
      </c>
      <c r="W43" s="51">
        <f t="shared" ref="W43:X50" si="20">AVERAGE(0,0,0,0)</f>
        <v>0</v>
      </c>
      <c r="X43" s="51">
        <f t="shared" si="20"/>
        <v>0</v>
      </c>
      <c r="Y43" s="51">
        <f>AVERAGE(5,5,5,5)</f>
        <v>5</v>
      </c>
      <c r="Z43" s="51">
        <f>AVERAGE(30,30,30,30)</f>
        <v>30</v>
      </c>
      <c r="AA43" s="51">
        <f>AVERAGE(5,5,5,5)</f>
        <v>5</v>
      </c>
      <c r="AB43" s="51">
        <f t="shared" si="8"/>
        <v>0</v>
      </c>
      <c r="AC43" s="51">
        <f t="shared" si="10"/>
        <v>0</v>
      </c>
      <c r="AD43" s="51">
        <f>AVERAGE(15,15,15,15)</f>
        <v>15</v>
      </c>
      <c r="AE43" s="51">
        <f>AVERAGE(15,15,15,15)</f>
        <v>15</v>
      </c>
      <c r="AF43" s="51">
        <f>AVERAGE(20,20,20,20)</f>
        <v>20</v>
      </c>
      <c r="AG43" s="51">
        <v>48.863636363636402</v>
      </c>
      <c r="AH43" s="51">
        <v>3.8529411764705901</v>
      </c>
      <c r="AI43" s="51">
        <v>486.857142857143</v>
      </c>
      <c r="AJ43" s="51">
        <v>8.7142857142857206</v>
      </c>
      <c r="AK43" s="51">
        <v>17</v>
      </c>
      <c r="AL43" s="52"/>
    </row>
    <row r="44" spans="1:38" s="48" customFormat="1" ht="14.25" customHeight="1" x14ac:dyDescent="0.25">
      <c r="A44" s="50" t="s">
        <v>165</v>
      </c>
      <c r="B44" s="46">
        <v>28.5</v>
      </c>
      <c r="C44" s="46">
        <v>5.8</v>
      </c>
      <c r="D44" s="52"/>
      <c r="E44" s="47">
        <v>134</v>
      </c>
      <c r="F44" s="47">
        <v>12.5</v>
      </c>
      <c r="G44" s="47">
        <v>6.6</v>
      </c>
      <c r="H44" s="52"/>
      <c r="I44" s="55">
        <v>47</v>
      </c>
      <c r="J44" s="56">
        <f>1/(AVERAGE(9.13,6.19,5.45,7.14,5.11,4.91,5.44,5.08,4.9,5.37))</f>
        <v>0.17029972752043598</v>
      </c>
      <c r="K44" s="53">
        <f>AVERAGE(1,1)</f>
        <v>1</v>
      </c>
      <c r="L44" s="51">
        <v>93</v>
      </c>
      <c r="M44" s="53">
        <f>AVERAGE(93,62,35)</f>
        <v>63.333333333333336</v>
      </c>
      <c r="N44" s="51">
        <f>AVERAGE(39,39,39,39)</f>
        <v>39</v>
      </c>
      <c r="O44" s="54">
        <v>5.3</v>
      </c>
      <c r="P44" s="51">
        <f>AVERAGE(5,5,5,5)</f>
        <v>5</v>
      </c>
      <c r="Q44" s="51">
        <f>AVERAGE(95,95,95,95)</f>
        <v>95</v>
      </c>
      <c r="R44" s="51">
        <f t="shared" ref="R44:R68" si="21">AVERAGE(0,0,0,0)</f>
        <v>0</v>
      </c>
      <c r="S44" s="51">
        <f t="shared" si="17"/>
        <v>0</v>
      </c>
      <c r="T44" s="51">
        <f t="shared" si="17"/>
        <v>0</v>
      </c>
      <c r="U44" s="51">
        <f t="shared" si="19"/>
        <v>0</v>
      </c>
      <c r="V44" s="51">
        <f t="shared" si="18"/>
        <v>0</v>
      </c>
      <c r="W44" s="51">
        <f t="shared" si="20"/>
        <v>0</v>
      </c>
      <c r="X44" s="51">
        <f t="shared" si="20"/>
        <v>0</v>
      </c>
      <c r="Y44" s="51">
        <f>AVERAGE(0,0,0,0)</f>
        <v>0</v>
      </c>
      <c r="Z44" s="51">
        <f>AVERAGE(50,50,50,50)</f>
        <v>50</v>
      </c>
      <c r="AA44" s="51">
        <f>AVERAGE(0,0,0,0)</f>
        <v>0</v>
      </c>
      <c r="AB44" s="51">
        <f t="shared" si="8"/>
        <v>0</v>
      </c>
      <c r="AC44" s="51">
        <f t="shared" si="10"/>
        <v>0</v>
      </c>
      <c r="AD44" s="51">
        <f>AVERAGE(10,10,10,10)</f>
        <v>10</v>
      </c>
      <c r="AE44" s="51">
        <f>AVERAGE(15,15,15,15)</f>
        <v>15</v>
      </c>
      <c r="AF44" s="51">
        <f>AVERAGE(10,10,10,10)</f>
        <v>10</v>
      </c>
      <c r="AG44" s="51">
        <v>54.772727272727302</v>
      </c>
      <c r="AH44" s="51">
        <v>3.2647058823529398</v>
      </c>
      <c r="AI44" s="51">
        <v>754</v>
      </c>
      <c r="AJ44" s="51">
        <v>10.1428571428571</v>
      </c>
      <c r="AK44" s="51">
        <v>12</v>
      </c>
      <c r="AL44" s="52"/>
    </row>
    <row r="45" spans="1:38" s="48" customFormat="1" ht="14.25" customHeight="1" x14ac:dyDescent="0.25">
      <c r="A45" s="50" t="s">
        <v>166</v>
      </c>
      <c r="B45" s="46">
        <v>28.6</v>
      </c>
      <c r="C45" s="46">
        <v>7.7</v>
      </c>
      <c r="D45" s="52"/>
      <c r="E45" s="47">
        <v>139.69999999999999</v>
      </c>
      <c r="F45" s="47">
        <v>11.1</v>
      </c>
      <c r="G45" s="47">
        <v>6.7</v>
      </c>
      <c r="H45" s="52"/>
      <c r="I45" s="55">
        <v>54</v>
      </c>
      <c r="J45" s="56">
        <f>1/(AVERAGE(3.23,3.38,3.34,2.7,2.94,2.78,3.02,3.28,2.78,2.83))</f>
        <v>0.33025099075297226</v>
      </c>
      <c r="K45" s="53">
        <f>AVERAGE(3,1)</f>
        <v>2</v>
      </c>
      <c r="L45" s="51">
        <v>36</v>
      </c>
      <c r="M45" s="53">
        <f>AVERAGE(36,32,36)</f>
        <v>34.666666666666664</v>
      </c>
      <c r="N45" s="51">
        <f>AVERAGE(28,28,28,28)</f>
        <v>28</v>
      </c>
      <c r="O45" s="54">
        <v>2.1</v>
      </c>
      <c r="P45" s="51">
        <f>AVERAGE(0,0,0,0)</f>
        <v>0</v>
      </c>
      <c r="Q45" s="51">
        <f>AVERAGE(100,100,100,100)</f>
        <v>100</v>
      </c>
      <c r="R45" s="51">
        <f t="shared" si="21"/>
        <v>0</v>
      </c>
      <c r="S45" s="51">
        <f t="shared" si="17"/>
        <v>0</v>
      </c>
      <c r="T45" s="51">
        <f t="shared" si="17"/>
        <v>0</v>
      </c>
      <c r="U45" s="51">
        <f t="shared" si="19"/>
        <v>0</v>
      </c>
      <c r="V45" s="51">
        <f t="shared" si="18"/>
        <v>0</v>
      </c>
      <c r="W45" s="51">
        <f t="shared" si="20"/>
        <v>0</v>
      </c>
      <c r="X45" s="51">
        <f t="shared" si="20"/>
        <v>0</v>
      </c>
      <c r="Y45" s="51">
        <f>AVERAGE(5,5,5,5)</f>
        <v>5</v>
      </c>
      <c r="Z45" s="51">
        <f>AVERAGE(60,60,60,60)</f>
        <v>60</v>
      </c>
      <c r="AA45" s="51">
        <f>AVERAGE(5,5,5,5)</f>
        <v>5</v>
      </c>
      <c r="AB45" s="51">
        <f t="shared" si="8"/>
        <v>0</v>
      </c>
      <c r="AC45" s="51">
        <f t="shared" si="10"/>
        <v>0</v>
      </c>
      <c r="AD45" s="51">
        <f>AVERAGE(5,5,5,5)</f>
        <v>5</v>
      </c>
      <c r="AE45" s="51">
        <f>AVERAGE(0,0,0,0)</f>
        <v>0</v>
      </c>
      <c r="AF45" s="51">
        <f>AVERAGE(5,5,5,5)</f>
        <v>5</v>
      </c>
      <c r="AG45" s="51">
        <v>54.318181818181799</v>
      </c>
      <c r="AH45" s="51">
        <v>2.6764705882352899</v>
      </c>
      <c r="AI45" s="51">
        <v>655.42857142857099</v>
      </c>
      <c r="AJ45" s="51">
        <v>10.1428571428571</v>
      </c>
      <c r="AK45" s="51">
        <v>12</v>
      </c>
      <c r="AL45" s="52"/>
    </row>
    <row r="46" spans="1:38" s="48" customFormat="1" ht="14.25" customHeight="1" x14ac:dyDescent="0.25">
      <c r="A46" s="50" t="s">
        <v>168</v>
      </c>
      <c r="B46" s="46">
        <v>28.5</v>
      </c>
      <c r="C46" s="46">
        <v>6.2</v>
      </c>
      <c r="D46" s="52"/>
      <c r="E46" s="47">
        <v>134</v>
      </c>
      <c r="F46" s="47">
        <v>4.2699999999999996</v>
      </c>
      <c r="G46" s="47">
        <v>6.54</v>
      </c>
      <c r="H46" s="52"/>
      <c r="I46" s="55">
        <v>54</v>
      </c>
      <c r="J46" s="56">
        <f>1/(AVERAGE(3.74,3.37,2.7,2.87,2.61,3.37,2.94,2.17,2.57,3.34))</f>
        <v>0.33692722371967648</v>
      </c>
      <c r="K46" s="53">
        <f>AVERAGE(3,1)</f>
        <v>2</v>
      </c>
      <c r="L46" s="51">
        <v>56</v>
      </c>
      <c r="M46" s="53">
        <f>AVERAGE(43,56,43)</f>
        <v>47.333333333333336</v>
      </c>
      <c r="N46" s="51">
        <f>AVERAGE(41,41,41,41)</f>
        <v>41</v>
      </c>
      <c r="O46" s="54">
        <v>2.59</v>
      </c>
      <c r="P46" s="51">
        <f>AVERAGE(0,0,0,0)</f>
        <v>0</v>
      </c>
      <c r="Q46" s="51">
        <f>AVERAGE(100,100,100,100)</f>
        <v>100</v>
      </c>
      <c r="R46" s="51">
        <f t="shared" si="21"/>
        <v>0</v>
      </c>
      <c r="S46" s="51">
        <f t="shared" si="17"/>
        <v>0</v>
      </c>
      <c r="T46" s="51">
        <f t="shared" si="17"/>
        <v>0</v>
      </c>
      <c r="U46" s="51">
        <f t="shared" si="19"/>
        <v>0</v>
      </c>
      <c r="V46" s="51">
        <f t="shared" si="18"/>
        <v>0</v>
      </c>
      <c r="W46" s="51">
        <f t="shared" si="20"/>
        <v>0</v>
      </c>
      <c r="X46" s="51">
        <f t="shared" si="20"/>
        <v>0</v>
      </c>
      <c r="Y46" s="51">
        <f>AVERAGE(0,0,0,0)</f>
        <v>0</v>
      </c>
      <c r="Z46" s="51">
        <f>AVERAGE(60,60,60,60)</f>
        <v>60</v>
      </c>
      <c r="AA46" s="51">
        <f>AVERAGE(5,5,5,5)</f>
        <v>5</v>
      </c>
      <c r="AB46" s="51">
        <f t="shared" si="8"/>
        <v>0</v>
      </c>
      <c r="AC46" s="51">
        <f t="shared" si="10"/>
        <v>0</v>
      </c>
      <c r="AD46" s="51">
        <f>AVERAGE(15,15,15,15)</f>
        <v>15</v>
      </c>
      <c r="AE46" s="51">
        <f>AVERAGE(0,0,0,0)</f>
        <v>0</v>
      </c>
      <c r="AF46" s="51">
        <f>AVERAGE(5,5,5,5)</f>
        <v>5</v>
      </c>
      <c r="AG46" s="51">
        <v>50.227272727272698</v>
      </c>
      <c r="AH46" s="51">
        <v>3.8529411764705901</v>
      </c>
      <c r="AI46" s="51">
        <v>695.42857142857099</v>
      </c>
      <c r="AJ46" s="51">
        <v>13</v>
      </c>
      <c r="AK46" s="51">
        <v>18.6666666666667</v>
      </c>
      <c r="AL46" s="52"/>
    </row>
    <row r="47" spans="1:38" s="48" customFormat="1" ht="14.25" customHeight="1" x14ac:dyDescent="0.25">
      <c r="A47" s="50" t="s">
        <v>169</v>
      </c>
      <c r="B47" s="46">
        <v>28.6</v>
      </c>
      <c r="C47" s="46">
        <v>6.2</v>
      </c>
      <c r="D47" s="52"/>
      <c r="E47" s="47">
        <v>123.7</v>
      </c>
      <c r="F47" s="47">
        <v>8.8699999999999992</v>
      </c>
      <c r="G47" s="47">
        <v>6.64</v>
      </c>
      <c r="H47" s="52"/>
      <c r="I47" s="55">
        <v>54</v>
      </c>
      <c r="J47" s="56">
        <f>1/(AVERAGE(2.16,2.1,3.29,2.3,2.47,1.98,2.33,1.98,2.54,2.43))</f>
        <v>0.42408821034775229</v>
      </c>
      <c r="K47" s="53">
        <f>AVERAGE(3,1)</f>
        <v>2</v>
      </c>
      <c r="L47" s="51">
        <v>42</v>
      </c>
      <c r="M47" s="53">
        <f>AVERAGE(33,42,33)</f>
        <v>36</v>
      </c>
      <c r="N47" s="51">
        <f>AVERAGE(40,40,40,40)</f>
        <v>40</v>
      </c>
      <c r="O47" s="54">
        <v>2.67</v>
      </c>
      <c r="P47" s="51">
        <f>AVERAGE(0,0,0,0)</f>
        <v>0</v>
      </c>
      <c r="Q47" s="51">
        <f>AVERAGE(100,100,100,100)</f>
        <v>100</v>
      </c>
      <c r="R47" s="51">
        <f t="shared" si="21"/>
        <v>0</v>
      </c>
      <c r="S47" s="51">
        <f t="shared" si="17"/>
        <v>0</v>
      </c>
      <c r="T47" s="51">
        <f t="shared" si="17"/>
        <v>0</v>
      </c>
      <c r="U47" s="51">
        <f t="shared" si="19"/>
        <v>0</v>
      </c>
      <c r="V47" s="51">
        <f t="shared" si="18"/>
        <v>0</v>
      </c>
      <c r="W47" s="51">
        <f t="shared" si="20"/>
        <v>0</v>
      </c>
      <c r="X47" s="51">
        <f t="shared" si="20"/>
        <v>0</v>
      </c>
      <c r="Y47" s="51">
        <f>AVERAGE(0,0,0,0)</f>
        <v>0</v>
      </c>
      <c r="Z47" s="51">
        <f>AVERAGE(60,60,60,60)</f>
        <v>60</v>
      </c>
      <c r="AA47" s="51">
        <f>AVERAGE(5,5,5,5)</f>
        <v>5</v>
      </c>
      <c r="AB47" s="51">
        <f t="shared" si="8"/>
        <v>0</v>
      </c>
      <c r="AC47" s="51">
        <f t="shared" si="10"/>
        <v>0</v>
      </c>
      <c r="AD47" s="51">
        <f>AVERAGE(5,5,5,5)</f>
        <v>5</v>
      </c>
      <c r="AE47" s="51">
        <f>AVERAGE(0,0,0,0)</f>
        <v>0</v>
      </c>
      <c r="AF47" s="51">
        <f>AVERAGE(15,15,15,15)</f>
        <v>15</v>
      </c>
      <c r="AG47" s="51">
        <v>46.136363636363598</v>
      </c>
      <c r="AH47" s="51">
        <v>2.6764705882352899</v>
      </c>
      <c r="AI47" s="51">
        <v>581.142857142857</v>
      </c>
      <c r="AJ47" s="51">
        <v>11.5714285714286</v>
      </c>
      <c r="AK47" s="51">
        <v>13.6666666666667</v>
      </c>
      <c r="AL47" s="52"/>
    </row>
    <row r="48" spans="1:38" s="48" customFormat="1" ht="14.25" customHeight="1" x14ac:dyDescent="0.25">
      <c r="A48" s="50" t="s">
        <v>170</v>
      </c>
      <c r="B48" s="46">
        <v>28.2</v>
      </c>
      <c r="C48" s="46">
        <v>7.7</v>
      </c>
      <c r="D48" s="52"/>
      <c r="E48" s="47">
        <v>138.69999999999999</v>
      </c>
      <c r="F48" s="47">
        <v>14.2</v>
      </c>
      <c r="G48" s="47">
        <v>6.71</v>
      </c>
      <c r="H48" s="52"/>
      <c r="I48" s="55">
        <v>49</v>
      </c>
      <c r="J48" s="56">
        <f>1/(AVERAGE(9.54,8.97,6.81,7.71,8.87,10.2,8.54,8.37,10.83,7.26))</f>
        <v>0.11481056257175662</v>
      </c>
      <c r="K48" s="53">
        <f>AVERAGE(2,1)</f>
        <v>1.5</v>
      </c>
      <c r="L48" s="51">
        <v>70</v>
      </c>
      <c r="M48" s="53">
        <f>AVERAGE(94,70,94)</f>
        <v>86</v>
      </c>
      <c r="N48" s="51">
        <f>AVERAGE(94,94,94,94)</f>
        <v>94</v>
      </c>
      <c r="O48" s="54">
        <v>2.8</v>
      </c>
      <c r="P48" s="51">
        <f t="shared" ref="P48:P61" si="22">AVERAGE(100,100,100,100)</f>
        <v>100</v>
      </c>
      <c r="Q48" s="51">
        <f t="shared" ref="Q48:Q61" si="23">AVERAGE(0,0,0,0)</f>
        <v>0</v>
      </c>
      <c r="R48" s="51">
        <f t="shared" si="21"/>
        <v>0</v>
      </c>
      <c r="S48" s="51">
        <f t="shared" si="17"/>
        <v>0</v>
      </c>
      <c r="T48" s="51">
        <f t="shared" si="17"/>
        <v>0</v>
      </c>
      <c r="U48" s="51">
        <f t="shared" si="19"/>
        <v>0</v>
      </c>
      <c r="V48" s="51">
        <f t="shared" si="18"/>
        <v>0</v>
      </c>
      <c r="W48" s="51">
        <f t="shared" si="20"/>
        <v>0</v>
      </c>
      <c r="X48" s="51">
        <f t="shared" si="20"/>
        <v>0</v>
      </c>
      <c r="Y48" s="51">
        <f>AVERAGE(10,10,10,10)</f>
        <v>10</v>
      </c>
      <c r="Z48" s="51">
        <f>AVERAGE(50,50,50,50)</f>
        <v>50</v>
      </c>
      <c r="AA48" s="51">
        <f>AVERAGE(15,15,15,15)</f>
        <v>15</v>
      </c>
      <c r="AB48" s="51">
        <f t="shared" si="8"/>
        <v>0</v>
      </c>
      <c r="AC48" s="51">
        <f t="shared" si="10"/>
        <v>0</v>
      </c>
      <c r="AD48" s="51">
        <f>AVERAGE(10,10,10,10)</f>
        <v>10</v>
      </c>
      <c r="AE48" s="51">
        <f>AVERAGE(15,15,15,15)</f>
        <v>15</v>
      </c>
      <c r="AF48" s="51">
        <f>AVERAGE(10,10,10,10)</f>
        <v>10</v>
      </c>
      <c r="AG48" s="51">
        <v>81.136363636363598</v>
      </c>
      <c r="AH48" s="51">
        <v>2.97058823529412</v>
      </c>
      <c r="AI48" s="51">
        <v>702.57142857142901</v>
      </c>
      <c r="AJ48" s="51">
        <v>7.28571428571429</v>
      </c>
      <c r="AK48" s="51">
        <v>8.6666666666666696</v>
      </c>
      <c r="AL48" s="52"/>
    </row>
    <row r="49" spans="1:38" s="48" customFormat="1" ht="14.25" customHeight="1" x14ac:dyDescent="0.25">
      <c r="A49" s="50" t="s">
        <v>173</v>
      </c>
      <c r="B49" s="46">
        <v>28.2</v>
      </c>
      <c r="C49" s="46">
        <v>7.2</v>
      </c>
      <c r="D49" s="52"/>
      <c r="E49" s="47">
        <v>125.6</v>
      </c>
      <c r="F49" s="47">
        <v>9.01</v>
      </c>
      <c r="G49" s="47">
        <v>6.89</v>
      </c>
      <c r="H49" s="52"/>
      <c r="I49" s="55">
        <v>49</v>
      </c>
      <c r="J49" s="56">
        <f>1/(AVERAGE(7.66,7.43,7.98,8.21,6.63,7.26,8.79,8.06,8.51,8.16))</f>
        <v>0.12708095056551022</v>
      </c>
      <c r="K49" s="53">
        <f>AVERAGE(2,1)</f>
        <v>1.5</v>
      </c>
      <c r="L49" s="46">
        <v>105</v>
      </c>
      <c r="M49" s="53">
        <f>AVERAGE(70,105,70)</f>
        <v>81.666666666666671</v>
      </c>
      <c r="N49" s="51">
        <f>AVERAGE(55,55,55,55)</f>
        <v>55</v>
      </c>
      <c r="O49" s="54">
        <v>2.2999999999999998</v>
      </c>
      <c r="P49" s="51">
        <f t="shared" si="22"/>
        <v>100</v>
      </c>
      <c r="Q49" s="51">
        <f t="shared" si="23"/>
        <v>0</v>
      </c>
      <c r="R49" s="51">
        <f t="shared" si="21"/>
        <v>0</v>
      </c>
      <c r="S49" s="51">
        <f t="shared" si="17"/>
        <v>0</v>
      </c>
      <c r="T49" s="51">
        <f t="shared" si="17"/>
        <v>0</v>
      </c>
      <c r="U49" s="51">
        <f t="shared" si="19"/>
        <v>0</v>
      </c>
      <c r="V49" s="51">
        <f t="shared" si="18"/>
        <v>0</v>
      </c>
      <c r="W49" s="51">
        <f t="shared" si="20"/>
        <v>0</v>
      </c>
      <c r="X49" s="51">
        <f t="shared" si="20"/>
        <v>0</v>
      </c>
      <c r="Y49" s="51">
        <f>AVERAGE(10,10,10,10)</f>
        <v>10</v>
      </c>
      <c r="Z49" s="51">
        <f>AVERAGE(50,50,50,50)</f>
        <v>50</v>
      </c>
      <c r="AA49" s="51">
        <f>AVERAGE(15,15,15,15)</f>
        <v>15</v>
      </c>
      <c r="AB49" s="51">
        <f t="shared" si="8"/>
        <v>0</v>
      </c>
      <c r="AC49" s="51">
        <f t="shared" si="10"/>
        <v>0</v>
      </c>
      <c r="AD49" s="51">
        <f>AVERAGE(10,10,10,10)</f>
        <v>10</v>
      </c>
      <c r="AE49" s="51">
        <f>AVERAGE(15,15,15,15)</f>
        <v>15</v>
      </c>
      <c r="AF49" s="51">
        <f>AVERAGE(10,10,10,10)</f>
        <v>10</v>
      </c>
      <c r="AG49" s="51">
        <v>194.772727272727</v>
      </c>
      <c r="AH49" s="51">
        <v>96.794117647058798</v>
      </c>
      <c r="AI49" s="51">
        <v>889.71428571428601</v>
      </c>
      <c r="AJ49" s="51">
        <v>23</v>
      </c>
      <c r="AK49" s="51">
        <v>30.3333333333333</v>
      </c>
      <c r="AL49" s="52"/>
    </row>
    <row r="50" spans="1:38" s="48" customFormat="1" ht="14.25" customHeight="1" x14ac:dyDescent="0.25">
      <c r="A50" s="50" t="s">
        <v>174</v>
      </c>
      <c r="B50" s="46">
        <v>28.1</v>
      </c>
      <c r="C50" s="46">
        <v>5.2</v>
      </c>
      <c r="D50" s="52"/>
      <c r="E50" s="47">
        <v>138.69999999999999</v>
      </c>
      <c r="F50" s="47">
        <v>13.8</v>
      </c>
      <c r="G50" s="47">
        <v>6.68</v>
      </c>
      <c r="H50" s="52"/>
      <c r="I50" s="55">
        <v>49</v>
      </c>
      <c r="J50" s="56">
        <f>1/(AVERAGE(6.83,7.3,6.05,4.82,7.15,5.34,5.38,5.06,7.46,5.09))</f>
        <v>0.16534391534391535</v>
      </c>
      <c r="K50" s="53">
        <f>AVERAGE(2,1)</f>
        <v>1.5</v>
      </c>
      <c r="L50" s="46">
        <v>110</v>
      </c>
      <c r="M50" s="53">
        <f>AVERAGE(110,110,110)</f>
        <v>110</v>
      </c>
      <c r="N50" s="51">
        <f>AVERAGE(33,33,33,33)</f>
        <v>33</v>
      </c>
      <c r="O50" s="54">
        <v>5.3</v>
      </c>
      <c r="P50" s="51">
        <f t="shared" si="22"/>
        <v>100</v>
      </c>
      <c r="Q50" s="51">
        <f t="shared" si="23"/>
        <v>0</v>
      </c>
      <c r="R50" s="51">
        <f t="shared" si="21"/>
        <v>0</v>
      </c>
      <c r="S50" s="51">
        <f t="shared" si="17"/>
        <v>0</v>
      </c>
      <c r="T50" s="51">
        <f t="shared" si="17"/>
        <v>0</v>
      </c>
      <c r="U50" s="51">
        <f t="shared" si="19"/>
        <v>0</v>
      </c>
      <c r="V50" s="51">
        <f t="shared" si="18"/>
        <v>0</v>
      </c>
      <c r="W50" s="51">
        <f t="shared" si="20"/>
        <v>0</v>
      </c>
      <c r="X50" s="51">
        <f t="shared" si="20"/>
        <v>0</v>
      </c>
      <c r="Y50" s="51">
        <f>AVERAGE(25,25,25,25)</f>
        <v>25</v>
      </c>
      <c r="Z50" s="51">
        <f>AVERAGE(70,70,70,70)</f>
        <v>70</v>
      </c>
      <c r="AA50" s="51">
        <f>AVERAGE(15,15,15,15)</f>
        <v>15</v>
      </c>
      <c r="AB50" s="51">
        <f t="shared" si="8"/>
        <v>0</v>
      </c>
      <c r="AC50" s="51">
        <f t="shared" si="10"/>
        <v>0</v>
      </c>
      <c r="AD50" s="51">
        <f>AVERAGE(10,10,10,10)</f>
        <v>10</v>
      </c>
      <c r="AE50" s="51">
        <f>AVERAGE(15,15,15,15)</f>
        <v>15</v>
      </c>
      <c r="AF50" s="51">
        <f>AVERAGE(10,10,10,10)</f>
        <v>10</v>
      </c>
      <c r="AG50" s="51">
        <v>53.409090909090899</v>
      </c>
      <c r="AH50" s="51">
        <v>2.97058823529412</v>
      </c>
      <c r="AI50" s="51">
        <v>594</v>
      </c>
      <c r="AJ50" s="51">
        <v>8.7142857142857206</v>
      </c>
      <c r="AK50" s="51">
        <v>10.3333333333333</v>
      </c>
      <c r="AL50" s="52"/>
    </row>
    <row r="51" spans="1:38" s="48" customFormat="1" ht="14.25" customHeight="1" x14ac:dyDescent="0.25">
      <c r="A51" s="50" t="s">
        <v>175</v>
      </c>
      <c r="B51" s="51"/>
      <c r="C51" s="51"/>
      <c r="D51" s="51"/>
      <c r="E51" s="53">
        <v>128.80000000000001</v>
      </c>
      <c r="F51" s="54">
        <v>2</v>
      </c>
      <c r="G51" s="54">
        <v>4.8099999999999996</v>
      </c>
      <c r="H51" s="51"/>
      <c r="I51" s="51"/>
      <c r="J51" s="56">
        <f>1/(AVERAGE(6.07,5.56,7.08))</f>
        <v>0.16034206306787813</v>
      </c>
      <c r="K51" s="51">
        <f>AVERAGE(2,1)</f>
        <v>1.5</v>
      </c>
      <c r="L51" s="51">
        <v>15</v>
      </c>
      <c r="M51" s="56">
        <f>AVERAGE(7,15,5)</f>
        <v>9</v>
      </c>
      <c r="N51" s="51">
        <f>AVERAGE(3,3,3,3)</f>
        <v>3</v>
      </c>
      <c r="O51" s="55">
        <v>7.5</v>
      </c>
      <c r="P51" s="51">
        <f t="shared" si="22"/>
        <v>100</v>
      </c>
      <c r="Q51" s="51">
        <f t="shared" si="23"/>
        <v>0</v>
      </c>
      <c r="R51" s="51">
        <f t="shared" si="21"/>
        <v>0</v>
      </c>
      <c r="S51" s="51">
        <f t="shared" si="17"/>
        <v>0</v>
      </c>
      <c r="T51" s="51">
        <f t="shared" si="17"/>
        <v>0</v>
      </c>
      <c r="U51" s="51">
        <f t="shared" si="19"/>
        <v>0</v>
      </c>
      <c r="V51" s="51">
        <f t="shared" si="18"/>
        <v>0</v>
      </c>
      <c r="W51" s="51">
        <f>AVERAGE(5,5,5,5)</f>
        <v>5</v>
      </c>
      <c r="X51" s="51">
        <f>AVERAGE(5,5,5,5)</f>
        <v>5</v>
      </c>
      <c r="Y51" s="51">
        <f>AVERAGE(15,15,15,15)</f>
        <v>15</v>
      </c>
      <c r="Z51" s="51">
        <f>AVERAGE(50,50,50,50)</f>
        <v>50</v>
      </c>
      <c r="AA51" s="51">
        <f>AVERAGE(5,5,5,5)</f>
        <v>5</v>
      </c>
      <c r="AB51" s="51">
        <f t="shared" si="8"/>
        <v>0</v>
      </c>
      <c r="AC51" s="51">
        <f t="shared" si="10"/>
        <v>0</v>
      </c>
      <c r="AD51" s="51">
        <f>AVERAGE(10,10,10,10)</f>
        <v>10</v>
      </c>
      <c r="AE51" s="51">
        <f>AVERAGE(20,20,20,20)</f>
        <v>20</v>
      </c>
      <c r="AF51" s="51">
        <f>AVERAGE(25,25,25,25)</f>
        <v>25</v>
      </c>
      <c r="AG51" s="51"/>
      <c r="AH51" s="51"/>
      <c r="AI51" s="51"/>
      <c r="AJ51" s="51"/>
      <c r="AK51" s="51"/>
      <c r="AL51" s="51"/>
    </row>
    <row r="52" spans="1:38" s="48" customFormat="1" ht="14.25" customHeight="1" x14ac:dyDescent="0.25">
      <c r="A52" s="50" t="s">
        <v>177</v>
      </c>
      <c r="B52" s="51"/>
      <c r="C52" s="51"/>
      <c r="D52" s="51"/>
      <c r="E52" s="53">
        <v>137.9</v>
      </c>
      <c r="F52" s="54">
        <v>3</v>
      </c>
      <c r="G52" s="54">
        <v>4.87</v>
      </c>
      <c r="H52" s="51"/>
      <c r="I52" s="51"/>
      <c r="J52" s="56">
        <f>1/(AVERAGE(22.88,24.4,28.58))</f>
        <v>3.9546533087266016E-2</v>
      </c>
      <c r="K52" s="51">
        <f>AVERAGE(2,1)</f>
        <v>1.5</v>
      </c>
      <c r="L52" s="51">
        <v>17</v>
      </c>
      <c r="M52" s="56">
        <f>AVERAGE(7,17,15)</f>
        <v>13</v>
      </c>
      <c r="N52" s="51">
        <f>AVERAGE(8,8,8,8)</f>
        <v>8</v>
      </c>
      <c r="O52" s="55">
        <v>4.3499999999999996</v>
      </c>
      <c r="P52" s="51">
        <f t="shared" si="22"/>
        <v>100</v>
      </c>
      <c r="Q52" s="51">
        <f t="shared" si="23"/>
        <v>0</v>
      </c>
      <c r="R52" s="51">
        <f t="shared" si="21"/>
        <v>0</v>
      </c>
      <c r="S52" s="51">
        <f t="shared" si="17"/>
        <v>0</v>
      </c>
      <c r="T52" s="51">
        <f t="shared" si="17"/>
        <v>0</v>
      </c>
      <c r="U52" s="51">
        <f t="shared" si="19"/>
        <v>0</v>
      </c>
      <c r="V52" s="51">
        <f t="shared" si="18"/>
        <v>0</v>
      </c>
      <c r="W52" s="51">
        <f>AVERAGE(10,10,10,10)</f>
        <v>10</v>
      </c>
      <c r="X52" s="51">
        <f>AVERAGE(5,5,5,5)</f>
        <v>5</v>
      </c>
      <c r="Y52" s="51">
        <f>AVERAGE(5,5,5,5)</f>
        <v>5</v>
      </c>
      <c r="Z52" s="51">
        <f>AVERAGE(40,40,40,40)</f>
        <v>40</v>
      </c>
      <c r="AA52" s="51">
        <f>AVERAGE(5,5,5,5)</f>
        <v>5</v>
      </c>
      <c r="AB52" s="51">
        <f t="shared" si="8"/>
        <v>0</v>
      </c>
      <c r="AC52" s="51">
        <f t="shared" si="10"/>
        <v>0</v>
      </c>
      <c r="AD52" s="51">
        <f>AVERAGE(5,5,5,5)</f>
        <v>5</v>
      </c>
      <c r="AE52" s="51">
        <f>AVERAGE(10,10,10,10)</f>
        <v>10</v>
      </c>
      <c r="AF52" s="51">
        <f>AVERAGE(10,10,10,10)</f>
        <v>10</v>
      </c>
      <c r="AG52" s="51"/>
      <c r="AH52" s="51"/>
      <c r="AI52" s="51"/>
      <c r="AJ52" s="51"/>
      <c r="AK52" s="51"/>
      <c r="AL52" s="51"/>
    </row>
    <row r="53" spans="1:38" s="48" customFormat="1" ht="14.25" customHeight="1" x14ac:dyDescent="0.25">
      <c r="A53" s="50" t="s">
        <v>178</v>
      </c>
      <c r="B53" s="51"/>
      <c r="C53" s="51"/>
      <c r="D53" s="51"/>
      <c r="E53" s="53">
        <v>119.2</v>
      </c>
      <c r="F53" s="54">
        <v>3</v>
      </c>
      <c r="G53" s="54">
        <v>4.72</v>
      </c>
      <c r="H53" s="51"/>
      <c r="I53" s="51"/>
      <c r="J53" s="56">
        <f>1/(AVERAGE(5.78,6.25,7.38,6.21,5.37))</f>
        <v>0.16134236850596967</v>
      </c>
      <c r="K53" s="51">
        <f>AVERAGE(3,1)</f>
        <v>2</v>
      </c>
      <c r="L53" s="51">
        <v>13</v>
      </c>
      <c r="M53" s="56">
        <f>AVERAGE(12,13,17)</f>
        <v>14</v>
      </c>
      <c r="N53" s="51">
        <f>AVERAGE(12,12,12,12)</f>
        <v>12</v>
      </c>
      <c r="O53" s="55">
        <v>14.14</v>
      </c>
      <c r="P53" s="51">
        <f t="shared" si="22"/>
        <v>100</v>
      </c>
      <c r="Q53" s="51">
        <f t="shared" si="23"/>
        <v>0</v>
      </c>
      <c r="R53" s="51">
        <f t="shared" si="21"/>
        <v>0</v>
      </c>
      <c r="S53" s="51">
        <f t="shared" si="17"/>
        <v>0</v>
      </c>
      <c r="T53" s="51">
        <f t="shared" si="17"/>
        <v>0</v>
      </c>
      <c r="U53" s="51">
        <f t="shared" si="19"/>
        <v>0</v>
      </c>
      <c r="V53" s="51">
        <f t="shared" si="18"/>
        <v>0</v>
      </c>
      <c r="W53" s="51">
        <f>AVERAGE(5,5,5,5)</f>
        <v>5</v>
      </c>
      <c r="X53" s="51">
        <f t="shared" ref="X53:Y55" si="24">AVERAGE(10,10,10,10)</f>
        <v>10</v>
      </c>
      <c r="Y53" s="51">
        <f t="shared" si="24"/>
        <v>10</v>
      </c>
      <c r="Z53" s="51">
        <f>AVERAGE(50,50,50,50)</f>
        <v>50</v>
      </c>
      <c r="AA53" s="51">
        <f>AVERAGE(5,5,5,5)</f>
        <v>5</v>
      </c>
      <c r="AB53" s="51">
        <f t="shared" si="8"/>
        <v>0</v>
      </c>
      <c r="AC53" s="51">
        <f t="shared" si="10"/>
        <v>0</v>
      </c>
      <c r="AD53" s="51">
        <f>AVERAGE(15,15,15,15)</f>
        <v>15</v>
      </c>
      <c r="AE53" s="51">
        <f>AVERAGE(10,10,10,10)</f>
        <v>10</v>
      </c>
      <c r="AF53" s="51">
        <f>AVERAGE(20,20,20,20)</f>
        <v>20</v>
      </c>
      <c r="AG53" s="51"/>
      <c r="AH53" s="51"/>
      <c r="AI53" s="51"/>
      <c r="AJ53" s="51"/>
      <c r="AK53" s="51"/>
      <c r="AL53" s="51"/>
    </row>
    <row r="54" spans="1:38" s="48" customFormat="1" ht="14.25" customHeight="1" x14ac:dyDescent="0.25">
      <c r="A54" s="50" t="s">
        <v>179</v>
      </c>
      <c r="B54" s="51"/>
      <c r="C54" s="51"/>
      <c r="D54" s="51"/>
      <c r="E54" s="53">
        <v>142.80000000000001</v>
      </c>
      <c r="F54" s="54">
        <v>4</v>
      </c>
      <c r="G54" s="54">
        <v>4.58</v>
      </c>
      <c r="H54" s="51"/>
      <c r="I54" s="51"/>
      <c r="J54" s="56">
        <f>1/(AVERAGE(13.23,13.97,10.14,15.17,13.92))</f>
        <v>7.5267198554869783E-2</v>
      </c>
      <c r="K54" s="51">
        <f>AVERAGE(3,3)</f>
        <v>3</v>
      </c>
      <c r="L54" s="51">
        <v>40</v>
      </c>
      <c r="M54" s="56">
        <f>AVERAGE(20,40,15)</f>
        <v>25</v>
      </c>
      <c r="N54" s="51">
        <f>AVERAGE(9,9,9,9)</f>
        <v>9</v>
      </c>
      <c r="O54" s="55">
        <v>4.9000000000000004</v>
      </c>
      <c r="P54" s="51">
        <f t="shared" si="22"/>
        <v>100</v>
      </c>
      <c r="Q54" s="51">
        <f t="shared" si="23"/>
        <v>0</v>
      </c>
      <c r="R54" s="51">
        <f t="shared" si="21"/>
        <v>0</v>
      </c>
      <c r="S54" s="51">
        <f t="shared" si="17"/>
        <v>0</v>
      </c>
      <c r="T54" s="51">
        <f t="shared" si="17"/>
        <v>0</v>
      </c>
      <c r="U54" s="51">
        <f t="shared" si="19"/>
        <v>0</v>
      </c>
      <c r="V54" s="51">
        <f t="shared" si="18"/>
        <v>0</v>
      </c>
      <c r="W54" s="51">
        <f t="shared" ref="W54:W67" si="25">AVERAGE(0,0,0,0)</f>
        <v>0</v>
      </c>
      <c r="X54" s="51">
        <f t="shared" si="24"/>
        <v>10</v>
      </c>
      <c r="Y54" s="51">
        <f t="shared" si="24"/>
        <v>10</v>
      </c>
      <c r="Z54" s="51">
        <f>AVERAGE(50,50,50,50)</f>
        <v>50</v>
      </c>
      <c r="AA54" s="51">
        <f>AVERAGE(25,25,25,25)</f>
        <v>25</v>
      </c>
      <c r="AB54" s="51">
        <f t="shared" si="8"/>
        <v>0</v>
      </c>
      <c r="AC54" s="51">
        <f t="shared" si="10"/>
        <v>0</v>
      </c>
      <c r="AD54" s="51">
        <f>AVERAGE(15,15,15,15)</f>
        <v>15</v>
      </c>
      <c r="AE54" s="51">
        <f>AVERAGE(10,10,10,10)</f>
        <v>10</v>
      </c>
      <c r="AF54" s="51">
        <f>AVERAGE(10,10,10,10)</f>
        <v>10</v>
      </c>
      <c r="AG54" s="51"/>
      <c r="AH54" s="51"/>
      <c r="AI54" s="51"/>
      <c r="AJ54" s="51"/>
      <c r="AK54" s="51"/>
      <c r="AL54" s="51"/>
    </row>
    <row r="55" spans="1:38" s="48" customFormat="1" ht="14.25" customHeight="1" x14ac:dyDescent="0.25">
      <c r="A55" s="50" t="s">
        <v>180</v>
      </c>
      <c r="B55" s="51"/>
      <c r="C55" s="51"/>
      <c r="D55" s="51"/>
      <c r="E55" s="53">
        <v>148.1</v>
      </c>
      <c r="F55" s="54">
        <v>4</v>
      </c>
      <c r="G55" s="54">
        <v>4.55</v>
      </c>
      <c r="H55" s="51"/>
      <c r="I55" s="51"/>
      <c r="J55" s="56">
        <f>1/(AVERAGE(10.14,10.28,10.79,11.06))</f>
        <v>9.4629761059853323E-2</v>
      </c>
      <c r="K55" s="51">
        <f>AVERAGE(3,3)</f>
        <v>3</v>
      </c>
      <c r="L55" s="51">
        <v>38</v>
      </c>
      <c r="M55" s="56">
        <f>AVERAGE(34,38,23)</f>
        <v>31.666666666666668</v>
      </c>
      <c r="N55" s="51">
        <f>AVERAGE(23,23,23,23)</f>
        <v>23</v>
      </c>
      <c r="O55" s="55">
        <v>9.1999999999999993</v>
      </c>
      <c r="P55" s="51">
        <f t="shared" si="22"/>
        <v>100</v>
      </c>
      <c r="Q55" s="51">
        <f t="shared" si="23"/>
        <v>0</v>
      </c>
      <c r="R55" s="51">
        <f t="shared" si="21"/>
        <v>0</v>
      </c>
      <c r="S55" s="51">
        <f t="shared" si="17"/>
        <v>0</v>
      </c>
      <c r="T55" s="51">
        <f t="shared" si="17"/>
        <v>0</v>
      </c>
      <c r="U55" s="51">
        <f t="shared" si="19"/>
        <v>0</v>
      </c>
      <c r="V55" s="51">
        <f t="shared" si="18"/>
        <v>0</v>
      </c>
      <c r="W55" s="51">
        <f t="shared" si="25"/>
        <v>0</v>
      </c>
      <c r="X55" s="51">
        <f t="shared" si="24"/>
        <v>10</v>
      </c>
      <c r="Y55" s="51">
        <f t="shared" si="24"/>
        <v>10</v>
      </c>
      <c r="Z55" s="51">
        <f>AVERAGE(50,50,50,50)</f>
        <v>50</v>
      </c>
      <c r="AA55" s="51">
        <f>AVERAGE(25,25,25,25)</f>
        <v>25</v>
      </c>
      <c r="AB55" s="51">
        <f t="shared" si="8"/>
        <v>0</v>
      </c>
      <c r="AC55" s="51">
        <f t="shared" si="10"/>
        <v>0</v>
      </c>
      <c r="AD55" s="51">
        <f>AVERAGE(15,15,15,15)</f>
        <v>15</v>
      </c>
      <c r="AE55" s="51">
        <f>AVERAGE(10,10,10,10)</f>
        <v>10</v>
      </c>
      <c r="AF55" s="51">
        <f>AVERAGE(10,10,10,10)</f>
        <v>10</v>
      </c>
      <c r="AG55" s="51"/>
      <c r="AH55" s="51"/>
      <c r="AI55" s="51"/>
      <c r="AJ55" s="51"/>
      <c r="AK55" s="51"/>
      <c r="AL55" s="51"/>
    </row>
    <row r="56" spans="1:38" s="48" customFormat="1" ht="14.25" customHeight="1" x14ac:dyDescent="0.25">
      <c r="A56" s="50" t="s">
        <v>181</v>
      </c>
      <c r="B56" s="51"/>
      <c r="C56" s="51"/>
      <c r="D56" s="51"/>
      <c r="E56" s="53">
        <v>152.19999999999999</v>
      </c>
      <c r="F56" s="54">
        <v>3</v>
      </c>
      <c r="G56" s="54">
        <v>4.7699999999999996</v>
      </c>
      <c r="H56" s="51"/>
      <c r="I56" s="51"/>
      <c r="J56" s="56">
        <f>1/(AVERAGE(4.15,3.61,6.28,3.11,3.67))</f>
        <v>0.24015369836695488</v>
      </c>
      <c r="K56" s="51">
        <f>AVERAGE(3,2)</f>
        <v>2.5</v>
      </c>
      <c r="L56" s="51">
        <v>27</v>
      </c>
      <c r="M56" s="56">
        <f>AVERAGE(10,27,12)</f>
        <v>16.333333333333332</v>
      </c>
      <c r="N56" s="51">
        <f>AVERAGE(8,8,8,8)</f>
        <v>8</v>
      </c>
      <c r="O56" s="55">
        <v>0.66</v>
      </c>
      <c r="P56" s="51">
        <f t="shared" si="22"/>
        <v>100</v>
      </c>
      <c r="Q56" s="51">
        <f t="shared" si="23"/>
        <v>0</v>
      </c>
      <c r="R56" s="51">
        <f t="shared" si="21"/>
        <v>0</v>
      </c>
      <c r="S56" s="51">
        <f t="shared" si="17"/>
        <v>0</v>
      </c>
      <c r="T56" s="51">
        <f t="shared" si="17"/>
        <v>0</v>
      </c>
      <c r="U56" s="51">
        <f t="shared" si="19"/>
        <v>0</v>
      </c>
      <c r="V56" s="51">
        <f t="shared" si="18"/>
        <v>0</v>
      </c>
      <c r="W56" s="51">
        <f t="shared" si="25"/>
        <v>0</v>
      </c>
      <c r="X56" s="51">
        <f>AVERAGE(15,15,15,15)</f>
        <v>15</v>
      </c>
      <c r="Y56" s="51">
        <f>AVERAGE(5,5,5,5)</f>
        <v>5</v>
      </c>
      <c r="Z56" s="51">
        <f>AVERAGE(80,80,80,80)</f>
        <v>80</v>
      </c>
      <c r="AA56" s="51">
        <f>AVERAGE(5,5,5,5)</f>
        <v>5</v>
      </c>
      <c r="AB56" s="51">
        <f t="shared" si="8"/>
        <v>0</v>
      </c>
      <c r="AC56" s="51">
        <f t="shared" si="10"/>
        <v>0</v>
      </c>
      <c r="AD56" s="51">
        <f>AVERAGE(10,10,10,10)</f>
        <v>10</v>
      </c>
      <c r="AE56" s="51">
        <f>AVERAGE(10,10,10,10)</f>
        <v>10</v>
      </c>
      <c r="AF56" s="51">
        <f>AVERAGE(10,10,10,10)</f>
        <v>10</v>
      </c>
      <c r="AG56" s="51"/>
      <c r="AH56" s="51"/>
      <c r="AI56" s="51"/>
      <c r="AJ56" s="51"/>
      <c r="AK56" s="51"/>
      <c r="AL56" s="51"/>
    </row>
    <row r="57" spans="1:38" s="48" customFormat="1" ht="14.25" customHeight="1" x14ac:dyDescent="0.25">
      <c r="A57" s="50" t="s">
        <v>182</v>
      </c>
      <c r="B57" s="51"/>
      <c r="C57" s="51"/>
      <c r="D57" s="51"/>
      <c r="E57" s="53">
        <v>154.4</v>
      </c>
      <c r="F57" s="54">
        <v>7</v>
      </c>
      <c r="G57" s="54">
        <v>5.08</v>
      </c>
      <c r="H57" s="51"/>
      <c r="I57" s="51"/>
      <c r="J57" s="56">
        <f>1/(AVERAGE(5.61,5.49,5.33,5.16,5.41,5.59,5.16))</f>
        <v>0.18543046357615892</v>
      </c>
      <c r="K57" s="51">
        <f>AVERAGE(3,2)</f>
        <v>2.5</v>
      </c>
      <c r="L57" s="51">
        <v>39</v>
      </c>
      <c r="M57" s="56">
        <f>AVERAGE(9,39,18)</f>
        <v>22</v>
      </c>
      <c r="N57" s="51">
        <f>AVERAGE(7,7,7,7)</f>
        <v>7</v>
      </c>
      <c r="O57" s="55">
        <v>2.1</v>
      </c>
      <c r="P57" s="51">
        <f t="shared" si="22"/>
        <v>100</v>
      </c>
      <c r="Q57" s="51">
        <f t="shared" si="23"/>
        <v>0</v>
      </c>
      <c r="R57" s="51">
        <f t="shared" si="21"/>
        <v>0</v>
      </c>
      <c r="S57" s="51">
        <f t="shared" si="17"/>
        <v>0</v>
      </c>
      <c r="T57" s="51">
        <f t="shared" si="17"/>
        <v>0</v>
      </c>
      <c r="U57" s="51">
        <f t="shared" si="19"/>
        <v>0</v>
      </c>
      <c r="V57" s="51">
        <f t="shared" si="18"/>
        <v>0</v>
      </c>
      <c r="W57" s="51">
        <f t="shared" si="25"/>
        <v>0</v>
      </c>
      <c r="X57" s="51">
        <f>AVERAGE(15,15,15,15)</f>
        <v>15</v>
      </c>
      <c r="Y57" s="51">
        <f>AVERAGE(10,10,10,10)</f>
        <v>10</v>
      </c>
      <c r="Z57" s="51">
        <f>AVERAGE(70,70,70,70)</f>
        <v>70</v>
      </c>
      <c r="AA57" s="51">
        <f>AVERAGE(10,10,10,10)</f>
        <v>10</v>
      </c>
      <c r="AB57" s="51">
        <f t="shared" si="8"/>
        <v>0</v>
      </c>
      <c r="AC57" s="51">
        <f t="shared" si="10"/>
        <v>0</v>
      </c>
      <c r="AD57" s="51">
        <f>AVERAGE(15,15,15,15)</f>
        <v>15</v>
      </c>
      <c r="AE57" s="51">
        <f>AVERAGE(15,15,15,15)</f>
        <v>15</v>
      </c>
      <c r="AF57" s="51">
        <f>AVERAGE(15,15,15,15)</f>
        <v>15</v>
      </c>
      <c r="AG57" s="51"/>
      <c r="AH57" s="51"/>
      <c r="AI57" s="51"/>
      <c r="AJ57" s="51"/>
      <c r="AK57" s="51"/>
      <c r="AL57" s="51"/>
    </row>
    <row r="58" spans="1:38" s="48" customFormat="1" ht="14.25" customHeight="1" x14ac:dyDescent="0.25">
      <c r="A58" s="50" t="s">
        <v>183</v>
      </c>
      <c r="B58" s="51"/>
      <c r="C58" s="51"/>
      <c r="D58" s="51"/>
      <c r="E58" s="53">
        <v>152.6</v>
      </c>
      <c r="F58" s="54">
        <v>3</v>
      </c>
      <c r="G58" s="54">
        <v>4.53</v>
      </c>
      <c r="H58" s="51"/>
      <c r="I58" s="51"/>
      <c r="J58" s="56">
        <f>1/(AVERAGE(3.75,5.98,5.19,4.86,4.5,5.6,3.99))</f>
        <v>0.20667257159728372</v>
      </c>
      <c r="K58" s="51">
        <f>AVERAGE(3,2)</f>
        <v>2.5</v>
      </c>
      <c r="L58" s="51">
        <v>22</v>
      </c>
      <c r="M58" s="56">
        <f>AVERAGE(25,22,16)</f>
        <v>21</v>
      </c>
      <c r="N58" s="51">
        <f>AVERAGE(7,7,7,7)</f>
        <v>7</v>
      </c>
      <c r="O58" s="55">
        <v>1.4</v>
      </c>
      <c r="P58" s="51">
        <f t="shared" si="22"/>
        <v>100</v>
      </c>
      <c r="Q58" s="51">
        <f t="shared" si="23"/>
        <v>0</v>
      </c>
      <c r="R58" s="51">
        <f t="shared" si="21"/>
        <v>0</v>
      </c>
      <c r="S58" s="51">
        <f t="shared" si="17"/>
        <v>0</v>
      </c>
      <c r="T58" s="51">
        <f t="shared" si="17"/>
        <v>0</v>
      </c>
      <c r="U58" s="51">
        <f t="shared" si="19"/>
        <v>0</v>
      </c>
      <c r="V58" s="51">
        <f t="shared" si="18"/>
        <v>0</v>
      </c>
      <c r="W58" s="51">
        <f t="shared" si="25"/>
        <v>0</v>
      </c>
      <c r="X58" s="51">
        <f>AVERAGE(0,0,0,0)</f>
        <v>0</v>
      </c>
      <c r="Y58" s="51">
        <f>AVERAGE(10,10,10,10)</f>
        <v>10</v>
      </c>
      <c r="Z58" s="51">
        <f>AVERAGE(60,60,60,60)</f>
        <v>60</v>
      </c>
      <c r="AA58" s="51">
        <f>AVERAGE(10,10,10,10)</f>
        <v>10</v>
      </c>
      <c r="AB58" s="51">
        <f t="shared" si="8"/>
        <v>0</v>
      </c>
      <c r="AC58" s="51">
        <f t="shared" si="10"/>
        <v>0</v>
      </c>
      <c r="AD58" s="51">
        <f>AVERAGE(10,10,10,10)</f>
        <v>10</v>
      </c>
      <c r="AE58" s="51">
        <f>AVERAGE(10,10,10,10)</f>
        <v>10</v>
      </c>
      <c r="AF58" s="51">
        <f>AVERAGE(10,10,10,10)</f>
        <v>10</v>
      </c>
      <c r="AG58" s="51"/>
      <c r="AH58" s="51"/>
      <c r="AI58" s="51"/>
      <c r="AJ58" s="51"/>
      <c r="AK58" s="51"/>
      <c r="AL58" s="51"/>
    </row>
    <row r="59" spans="1:38" s="48" customFormat="1" ht="14.25" customHeight="1" x14ac:dyDescent="0.25">
      <c r="A59" s="50" t="s">
        <v>184</v>
      </c>
      <c r="B59" s="51"/>
      <c r="C59" s="51"/>
      <c r="D59" s="51"/>
      <c r="E59" s="53">
        <v>130.80000000000001</v>
      </c>
      <c r="F59" s="54">
        <v>6</v>
      </c>
      <c r="G59" s="54">
        <v>4.74</v>
      </c>
      <c r="H59" s="51"/>
      <c r="I59" s="51"/>
      <c r="J59" s="56">
        <f>1/(AVERAGE(5.69,5.59,5.28,4.99,4.2,4.41,4.41))</f>
        <v>0.20248770610355796</v>
      </c>
      <c r="K59" s="51">
        <f>AVERAGE(3,3)</f>
        <v>3</v>
      </c>
      <c r="L59" s="51">
        <v>47</v>
      </c>
      <c r="M59" s="56">
        <f>AVERAGE(23,47,53)</f>
        <v>41</v>
      </c>
      <c r="N59" s="51">
        <f>AVERAGE(13,13,13,13)</f>
        <v>13</v>
      </c>
      <c r="O59" s="55">
        <v>3.2</v>
      </c>
      <c r="P59" s="51">
        <f t="shared" si="22"/>
        <v>100</v>
      </c>
      <c r="Q59" s="51">
        <f t="shared" si="23"/>
        <v>0</v>
      </c>
      <c r="R59" s="51">
        <f t="shared" si="21"/>
        <v>0</v>
      </c>
      <c r="S59" s="51">
        <f t="shared" si="17"/>
        <v>0</v>
      </c>
      <c r="T59" s="51">
        <f t="shared" si="17"/>
        <v>0</v>
      </c>
      <c r="U59" s="51">
        <f t="shared" si="19"/>
        <v>0</v>
      </c>
      <c r="V59" s="51">
        <f t="shared" si="18"/>
        <v>0</v>
      </c>
      <c r="W59" s="51">
        <f t="shared" si="25"/>
        <v>0</v>
      </c>
      <c r="X59" s="51">
        <f>AVERAGE(15,15,15,15)</f>
        <v>15</v>
      </c>
      <c r="Y59" s="51">
        <f>AVERAGE(5,5,5,5)</f>
        <v>5</v>
      </c>
      <c r="Z59" s="51">
        <f>AVERAGE(75,75,75,75)</f>
        <v>75</v>
      </c>
      <c r="AA59" s="51">
        <f>AVERAGE(15,15,15,15)</f>
        <v>15</v>
      </c>
      <c r="AB59" s="51">
        <f t="shared" si="8"/>
        <v>0</v>
      </c>
      <c r="AC59" s="51">
        <f t="shared" si="10"/>
        <v>0</v>
      </c>
      <c r="AD59" s="51">
        <f>AVERAGE(20,20,20,20)</f>
        <v>20</v>
      </c>
      <c r="AE59" s="51">
        <f>AVERAGE(15,15,15,15)</f>
        <v>15</v>
      </c>
      <c r="AF59" s="51">
        <f>AVERAGE(10,10,10,10)</f>
        <v>10</v>
      </c>
      <c r="AG59" s="51"/>
      <c r="AH59" s="51"/>
      <c r="AI59" s="51"/>
      <c r="AJ59" s="51"/>
      <c r="AK59" s="51"/>
      <c r="AL59" s="51"/>
    </row>
    <row r="60" spans="1:38" s="48" customFormat="1" ht="14.25" customHeight="1" x14ac:dyDescent="0.25">
      <c r="A60" s="50" t="s">
        <v>185</v>
      </c>
      <c r="B60" s="51"/>
      <c r="C60" s="51"/>
      <c r="D60" s="51"/>
      <c r="E60" s="53">
        <v>148.80000000000001</v>
      </c>
      <c r="F60" s="54">
        <v>4</v>
      </c>
      <c r="G60" s="54">
        <v>4.99</v>
      </c>
      <c r="H60" s="51"/>
      <c r="I60" s="51"/>
      <c r="J60" s="56">
        <v>0</v>
      </c>
      <c r="K60" s="51">
        <f>AVERAGE(1,1)</f>
        <v>1</v>
      </c>
      <c r="L60" s="53">
        <v>60</v>
      </c>
      <c r="M60" s="56">
        <f>AVERAGE(70,60,18)</f>
        <v>49.333333333333336</v>
      </c>
      <c r="N60" s="51">
        <f>AVERAGE(58,58,58,58)</f>
        <v>58</v>
      </c>
      <c r="O60" s="55">
        <v>16</v>
      </c>
      <c r="P60" s="51">
        <f t="shared" si="22"/>
        <v>100</v>
      </c>
      <c r="Q60" s="51">
        <f t="shared" si="23"/>
        <v>0</v>
      </c>
      <c r="R60" s="51">
        <f t="shared" si="21"/>
        <v>0</v>
      </c>
      <c r="S60" s="51">
        <f t="shared" si="17"/>
        <v>0</v>
      </c>
      <c r="T60" s="51">
        <f t="shared" si="17"/>
        <v>0</v>
      </c>
      <c r="U60" s="51">
        <f t="shared" si="19"/>
        <v>0</v>
      </c>
      <c r="V60" s="51">
        <f t="shared" si="18"/>
        <v>0</v>
      </c>
      <c r="W60" s="51">
        <f t="shared" si="25"/>
        <v>0</v>
      </c>
      <c r="X60" s="51">
        <f>AVERAGE(15,15,15,15)</f>
        <v>15</v>
      </c>
      <c r="Y60" s="51">
        <f>AVERAGE(10,10,10,10)</f>
        <v>10</v>
      </c>
      <c r="Z60" s="51">
        <f>AVERAGE(25,25,25,25)</f>
        <v>25</v>
      </c>
      <c r="AA60" s="51">
        <f>AVERAGE(10,10,10,10)</f>
        <v>10</v>
      </c>
      <c r="AB60" s="51">
        <f>AVERAGE(15,15,15,15)</f>
        <v>15</v>
      </c>
      <c r="AC60" s="51">
        <f>AVERAGE(10,10,10,10)</f>
        <v>10</v>
      </c>
      <c r="AD60" s="51">
        <f>AVERAGE(10,10,10,10)</f>
        <v>10</v>
      </c>
      <c r="AE60" s="51">
        <f>AVERAGE(5,5,5,5)</f>
        <v>5</v>
      </c>
      <c r="AF60" s="51">
        <f>AVERAGE(10,10,10,10)</f>
        <v>10</v>
      </c>
      <c r="AG60" s="51"/>
      <c r="AH60" s="51"/>
      <c r="AI60" s="51"/>
      <c r="AJ60" s="51"/>
      <c r="AK60" s="51"/>
      <c r="AL60" s="51"/>
    </row>
    <row r="61" spans="1:38" s="48" customFormat="1" ht="14.25" customHeight="1" x14ac:dyDescent="0.25">
      <c r="A61" s="50" t="s">
        <v>186</v>
      </c>
      <c r="B61" s="51"/>
      <c r="C61" s="51"/>
      <c r="D61" s="51"/>
      <c r="E61" s="47">
        <v>141.6</v>
      </c>
      <c r="F61" s="54">
        <v>5</v>
      </c>
      <c r="G61" s="54">
        <v>5.21</v>
      </c>
      <c r="H61" s="51"/>
      <c r="I61" s="51"/>
      <c r="J61" s="56">
        <v>0</v>
      </c>
      <c r="K61" s="51">
        <f>AVERAGE(1,1)</f>
        <v>1</v>
      </c>
      <c r="L61" s="51">
        <v>60</v>
      </c>
      <c r="M61" s="56">
        <f>AVERAGE(70,60,18)</f>
        <v>49.333333333333336</v>
      </c>
      <c r="N61" s="51">
        <f>AVERAGE(58,58,58,58)</f>
        <v>58</v>
      </c>
      <c r="O61" s="55">
        <v>16</v>
      </c>
      <c r="P61" s="51">
        <f t="shared" si="22"/>
        <v>100</v>
      </c>
      <c r="Q61" s="51">
        <f t="shared" si="23"/>
        <v>0</v>
      </c>
      <c r="R61" s="51">
        <f t="shared" si="21"/>
        <v>0</v>
      </c>
      <c r="S61" s="51">
        <f t="shared" si="17"/>
        <v>0</v>
      </c>
      <c r="T61" s="51">
        <f t="shared" si="17"/>
        <v>0</v>
      </c>
      <c r="U61" s="51">
        <f t="shared" si="19"/>
        <v>0</v>
      </c>
      <c r="V61" s="51">
        <f t="shared" si="18"/>
        <v>0</v>
      </c>
      <c r="W61" s="51">
        <f t="shared" si="25"/>
        <v>0</v>
      </c>
      <c r="X61" s="51">
        <f>AVERAGE(15,15,15,15)</f>
        <v>15</v>
      </c>
      <c r="Y61" s="51">
        <f>AVERAGE(10,10,10,10)</f>
        <v>10</v>
      </c>
      <c r="Z61" s="51">
        <f>AVERAGE(25,25,25,25)</f>
        <v>25</v>
      </c>
      <c r="AA61" s="51">
        <f>AVERAGE(10,10,10,10)</f>
        <v>10</v>
      </c>
      <c r="AB61" s="51">
        <f>AVERAGE(15,15,15,15)</f>
        <v>15</v>
      </c>
      <c r="AC61" s="51">
        <f>AVERAGE(10,10,10,10)</f>
        <v>10</v>
      </c>
      <c r="AD61" s="51">
        <f>AVERAGE(10,10,10,10)</f>
        <v>10</v>
      </c>
      <c r="AE61" s="51">
        <f>AVERAGE(5,5,5,5)</f>
        <v>5</v>
      </c>
      <c r="AF61" s="51">
        <f>AVERAGE(10,10,10,10)</f>
        <v>10</v>
      </c>
      <c r="AG61" s="51"/>
      <c r="AH61" s="51"/>
      <c r="AI61" s="51"/>
      <c r="AJ61" s="51"/>
      <c r="AK61" s="51"/>
      <c r="AL61" s="51"/>
    </row>
    <row r="62" spans="1:38" s="48" customFormat="1" ht="14.25" customHeight="1" x14ac:dyDescent="0.25">
      <c r="A62" s="50" t="s">
        <v>187</v>
      </c>
      <c r="B62" s="51"/>
      <c r="C62" s="51"/>
      <c r="D62" s="51"/>
      <c r="E62" s="47">
        <v>152.69999999999999</v>
      </c>
      <c r="F62" s="54">
        <v>6</v>
      </c>
      <c r="G62" s="54">
        <v>4.97</v>
      </c>
      <c r="H62" s="51"/>
      <c r="I62" s="51"/>
      <c r="J62" s="56">
        <f>1/(AVERAGE(8.93,13.89,11.82,9.91,7.28,7.36,8.47))</f>
        <v>0.10345846881466154</v>
      </c>
      <c r="K62" s="51">
        <f>AVERAGE(1,1)</f>
        <v>1</v>
      </c>
      <c r="L62" s="51">
        <v>35</v>
      </c>
      <c r="M62" s="56">
        <f>AVERAGE(26,35,24)</f>
        <v>28.333333333333332</v>
      </c>
      <c r="N62" s="51">
        <f>AVERAGE(16,16,16,16)</f>
        <v>16</v>
      </c>
      <c r="O62" s="55">
        <v>2.36</v>
      </c>
      <c r="P62" s="51">
        <f>AVERAGE(5,5,5,5)</f>
        <v>5</v>
      </c>
      <c r="Q62" s="51">
        <f>AVERAGE(95,95,95,95)</f>
        <v>95</v>
      </c>
      <c r="R62" s="51">
        <f t="shared" si="21"/>
        <v>0</v>
      </c>
      <c r="S62" s="51">
        <f t="shared" si="17"/>
        <v>0</v>
      </c>
      <c r="T62" s="51">
        <f t="shared" si="17"/>
        <v>0</v>
      </c>
      <c r="U62" s="51">
        <f t="shared" si="19"/>
        <v>0</v>
      </c>
      <c r="V62" s="51">
        <f t="shared" si="18"/>
        <v>0</v>
      </c>
      <c r="W62" s="51">
        <f t="shared" si="25"/>
        <v>0</v>
      </c>
      <c r="X62" s="51">
        <f>AVERAGE(15,15,15,15)</f>
        <v>15</v>
      </c>
      <c r="Y62" s="51">
        <f>AVERAGE(5,5,5,5)</f>
        <v>5</v>
      </c>
      <c r="Z62" s="51">
        <f>AVERAGE(50,50,50,50)</f>
        <v>50</v>
      </c>
      <c r="AA62" s="51">
        <f>AVERAGE(10,10,10,10)</f>
        <v>10</v>
      </c>
      <c r="AB62" s="51">
        <f t="shared" ref="AB62:AB68" si="26">AVERAGE(0,0,0,0)</f>
        <v>0</v>
      </c>
      <c r="AC62" s="51">
        <f>AVERAGE(15,15,15,15)</f>
        <v>15</v>
      </c>
      <c r="AD62" s="51">
        <f>AVERAGE(5,5,5,5)</f>
        <v>5</v>
      </c>
      <c r="AE62" s="51">
        <f>AVERAGE(0,0,0,0)</f>
        <v>0</v>
      </c>
      <c r="AF62" s="51">
        <f>AVERAGE(5,5,5,5)</f>
        <v>5</v>
      </c>
      <c r="AG62" s="51"/>
      <c r="AH62" s="51"/>
      <c r="AI62" s="51"/>
      <c r="AJ62" s="51"/>
      <c r="AK62" s="51"/>
      <c r="AL62" s="51"/>
    </row>
    <row r="63" spans="1:38" s="48" customFormat="1" ht="14.25" customHeight="1" x14ac:dyDescent="0.25">
      <c r="A63" s="50" t="s">
        <v>188</v>
      </c>
      <c r="B63" s="51"/>
      <c r="C63" s="51"/>
      <c r="D63" s="51"/>
      <c r="E63" s="47">
        <v>139.9</v>
      </c>
      <c r="F63" s="54">
        <v>11</v>
      </c>
      <c r="G63" s="54">
        <v>5.43</v>
      </c>
      <c r="H63" s="51"/>
      <c r="I63" s="51"/>
      <c r="J63" s="56">
        <f>1/(AVERAGE(4.68,6.38,5.11,5.77,4.71,4.18,4.92,6.53))</f>
        <v>0.1892147587511826</v>
      </c>
      <c r="K63" s="51">
        <f>AVERAGE(2,1)</f>
        <v>1.5</v>
      </c>
      <c r="L63" s="51">
        <v>34</v>
      </c>
      <c r="M63" s="56">
        <f>AVERAGE(20,34,31)</f>
        <v>28.333333333333332</v>
      </c>
      <c r="N63" s="51">
        <f>AVERAGE(12,12,12,12)</f>
        <v>12</v>
      </c>
      <c r="O63" s="54">
        <v>1.9</v>
      </c>
      <c r="P63" s="51">
        <f>AVERAGE(10,10,10,10)</f>
        <v>10</v>
      </c>
      <c r="Q63" s="51">
        <f>AVERAGE(90,90,90,90)</f>
        <v>90</v>
      </c>
      <c r="R63" s="51">
        <f t="shared" si="21"/>
        <v>0</v>
      </c>
      <c r="S63" s="51">
        <f t="shared" si="17"/>
        <v>0</v>
      </c>
      <c r="T63" s="51">
        <f t="shared" si="17"/>
        <v>0</v>
      </c>
      <c r="U63" s="51">
        <f t="shared" si="19"/>
        <v>0</v>
      </c>
      <c r="V63" s="51">
        <f t="shared" si="18"/>
        <v>0</v>
      </c>
      <c r="W63" s="51">
        <f t="shared" si="25"/>
        <v>0</v>
      </c>
      <c r="X63" s="51">
        <f>AVERAGE(0,0,0,0)</f>
        <v>0</v>
      </c>
      <c r="Y63" s="51">
        <f>AVERAGE(10,10,10,10)</f>
        <v>10</v>
      </c>
      <c r="Z63" s="51">
        <f>AVERAGE(80,80,80,80)</f>
        <v>80</v>
      </c>
      <c r="AA63" s="51">
        <f>AVERAGE(10,10,10,10)</f>
        <v>10</v>
      </c>
      <c r="AB63" s="51">
        <f t="shared" si="26"/>
        <v>0</v>
      </c>
      <c r="AC63" s="51">
        <f>AVERAGE(0,0,0,0)</f>
        <v>0</v>
      </c>
      <c r="AD63" s="51">
        <f>AVERAGE(10,10,10,10)</f>
        <v>10</v>
      </c>
      <c r="AE63" s="51">
        <f>AVERAGE(5,5,5,5)</f>
        <v>5</v>
      </c>
      <c r="AF63" s="51">
        <f>AVERAGE(10,10,10,10)</f>
        <v>10</v>
      </c>
      <c r="AG63" s="51"/>
      <c r="AH63" s="51"/>
      <c r="AI63" s="51"/>
      <c r="AJ63" s="51"/>
      <c r="AK63" s="51"/>
      <c r="AL63" s="51"/>
    </row>
    <row r="64" spans="1:38" s="48" customFormat="1" ht="14.25" customHeight="1" x14ac:dyDescent="0.25">
      <c r="A64" s="50" t="s">
        <v>189</v>
      </c>
      <c r="B64" s="51"/>
      <c r="C64" s="51"/>
      <c r="D64" s="51"/>
      <c r="E64" s="47">
        <v>120.8</v>
      </c>
      <c r="F64" s="54">
        <v>12</v>
      </c>
      <c r="G64" s="54">
        <v>5.5</v>
      </c>
      <c r="H64" s="51"/>
      <c r="I64" s="51"/>
      <c r="J64" s="56">
        <f>1/(AVERAGE(4.21,4.3,3.96,3.68,2.75,1.77,1.96,1.95))</f>
        <v>0.32546786004882022</v>
      </c>
      <c r="K64" s="51">
        <f>AVERAGE(2,1)</f>
        <v>1.5</v>
      </c>
      <c r="L64" s="51">
        <v>30</v>
      </c>
      <c r="M64" s="56">
        <f>AVERAGE(12,30,32)</f>
        <v>24.666666666666668</v>
      </c>
      <c r="N64" s="51">
        <f>AVERAGE(11,11,11,11)</f>
        <v>11</v>
      </c>
      <c r="O64" s="54">
        <v>2</v>
      </c>
      <c r="P64" s="51">
        <f>AVERAGE(5,5,5,5)</f>
        <v>5</v>
      </c>
      <c r="Q64" s="51">
        <f>AVERAGE(95,95,95,95)</f>
        <v>95</v>
      </c>
      <c r="R64" s="51">
        <f t="shared" si="21"/>
        <v>0</v>
      </c>
      <c r="S64" s="51">
        <f t="shared" si="17"/>
        <v>0</v>
      </c>
      <c r="T64" s="51">
        <f t="shared" si="17"/>
        <v>0</v>
      </c>
      <c r="U64" s="51">
        <f t="shared" si="19"/>
        <v>0</v>
      </c>
      <c r="V64" s="51">
        <f t="shared" si="18"/>
        <v>0</v>
      </c>
      <c r="W64" s="51">
        <f t="shared" si="25"/>
        <v>0</v>
      </c>
      <c r="X64" s="51">
        <f>AVERAGE(0,0,0,0)</f>
        <v>0</v>
      </c>
      <c r="Y64" s="51">
        <f>AVERAGE(5,5,5,5)</f>
        <v>5</v>
      </c>
      <c r="Z64" s="51">
        <f>AVERAGE(70,70,70,70)</f>
        <v>70</v>
      </c>
      <c r="AA64" s="51">
        <f>AVERAGE(5,5,5,5)</f>
        <v>5</v>
      </c>
      <c r="AB64" s="51">
        <f t="shared" si="26"/>
        <v>0</v>
      </c>
      <c r="AC64" s="51">
        <f>AVERAGE(0,0,0,0)</f>
        <v>0</v>
      </c>
      <c r="AD64" s="51">
        <f>AVERAGE(5,5,5,5)</f>
        <v>5</v>
      </c>
      <c r="AE64" s="51">
        <f>AVERAGE(5,5,5,5)</f>
        <v>5</v>
      </c>
      <c r="AF64" s="51">
        <f>AVERAGE(10,10,10,10)</f>
        <v>10</v>
      </c>
      <c r="AG64" s="51"/>
      <c r="AH64" s="51"/>
      <c r="AI64" s="51"/>
      <c r="AJ64" s="51"/>
      <c r="AK64" s="51"/>
      <c r="AL64" s="51"/>
    </row>
    <row r="65" spans="1:38" s="48" customFormat="1" ht="14.25" customHeight="1" x14ac:dyDescent="0.25">
      <c r="A65" s="50" t="s">
        <v>190</v>
      </c>
      <c r="B65" s="51"/>
      <c r="C65" s="51"/>
      <c r="D65" s="51"/>
      <c r="E65" s="47">
        <v>138.30000000000001</v>
      </c>
      <c r="F65" s="54">
        <v>15</v>
      </c>
      <c r="G65" s="54">
        <v>5.32</v>
      </c>
      <c r="H65" s="51"/>
      <c r="I65" s="51"/>
      <c r="J65" s="56">
        <f>1/(AVERAGE(5.28,5.28,5.63,7.11,5.2,5.96,6.54,5.43))</f>
        <v>0.17230239069567091</v>
      </c>
      <c r="K65" s="51">
        <f>AVERAGE(2,1)</f>
        <v>1.5</v>
      </c>
      <c r="L65" s="51">
        <v>30</v>
      </c>
      <c r="M65" s="56">
        <f>AVERAGE(30,30,27)</f>
        <v>29</v>
      </c>
      <c r="N65" s="51">
        <f>AVERAGE(30,30,30,30)</f>
        <v>30</v>
      </c>
      <c r="O65" s="54">
        <v>2.5</v>
      </c>
      <c r="P65" s="51">
        <f>AVERAGE(5,5,5,5)</f>
        <v>5</v>
      </c>
      <c r="Q65" s="51">
        <f>AVERAGE(95,95,95,95)</f>
        <v>95</v>
      </c>
      <c r="R65" s="51">
        <f t="shared" si="21"/>
        <v>0</v>
      </c>
      <c r="S65" s="51">
        <f t="shared" si="17"/>
        <v>0</v>
      </c>
      <c r="T65" s="51">
        <f t="shared" si="17"/>
        <v>0</v>
      </c>
      <c r="U65" s="51">
        <f t="shared" si="19"/>
        <v>0</v>
      </c>
      <c r="V65" s="51">
        <f t="shared" si="18"/>
        <v>0</v>
      </c>
      <c r="W65" s="51">
        <f t="shared" si="25"/>
        <v>0</v>
      </c>
      <c r="X65" s="51">
        <f>AVERAGE(0,0,0,0)</f>
        <v>0</v>
      </c>
      <c r="Y65" s="51">
        <f>AVERAGE(0,0,0,0)</f>
        <v>0</v>
      </c>
      <c r="Z65" s="51">
        <f>AVERAGE(60,60,60,60)</f>
        <v>60</v>
      </c>
      <c r="AA65" s="51">
        <f>AVERAGE(5,5,5,5)</f>
        <v>5</v>
      </c>
      <c r="AB65" s="51">
        <f t="shared" si="26"/>
        <v>0</v>
      </c>
      <c r="AC65" s="51">
        <f>AVERAGE(0,0,0,0)</f>
        <v>0</v>
      </c>
      <c r="AD65" s="51">
        <f>AVERAGE(10,10,10,10)</f>
        <v>10</v>
      </c>
      <c r="AE65" s="51">
        <f>AVERAGE(10,10,10,10)</f>
        <v>10</v>
      </c>
      <c r="AF65" s="51">
        <f>AVERAGE(10,10,10,10)</f>
        <v>10</v>
      </c>
      <c r="AG65" s="51"/>
      <c r="AH65" s="51"/>
      <c r="AI65" s="51"/>
      <c r="AJ65" s="51"/>
      <c r="AK65" s="51"/>
      <c r="AL65" s="51"/>
    </row>
    <row r="66" spans="1:38" s="48" customFormat="1" ht="14.25" customHeight="1" x14ac:dyDescent="0.25">
      <c r="A66" s="50" t="s">
        <v>191</v>
      </c>
      <c r="B66" s="51"/>
      <c r="C66" s="51"/>
      <c r="D66" s="51"/>
      <c r="E66" s="47">
        <v>105</v>
      </c>
      <c r="F66" s="54">
        <v>10</v>
      </c>
      <c r="G66" s="54">
        <v>5.64</v>
      </c>
      <c r="H66" s="51"/>
      <c r="I66" s="51"/>
      <c r="J66" s="56">
        <f>1/(AVERAGE(16.4,17.82,18.43))</f>
        <v>5.6980056980056981E-2</v>
      </c>
      <c r="K66" s="51">
        <f>AVERAGE(1,1)</f>
        <v>1</v>
      </c>
      <c r="L66" s="51">
        <v>20</v>
      </c>
      <c r="M66" s="56">
        <f>AVERAGE(18,20,38)</f>
        <v>25.333333333333332</v>
      </c>
      <c r="N66" s="51">
        <f>AVERAGE(17,17,17,17)</f>
        <v>17</v>
      </c>
      <c r="O66" s="54">
        <v>8.6</v>
      </c>
      <c r="P66" s="51">
        <f>AVERAGE(20,20,20,20)</f>
        <v>20</v>
      </c>
      <c r="Q66" s="51">
        <f>AVERAGE(80,80,80,80)</f>
        <v>80</v>
      </c>
      <c r="R66" s="51">
        <f t="shared" si="21"/>
        <v>0</v>
      </c>
      <c r="S66" s="51">
        <f t="shared" si="17"/>
        <v>0</v>
      </c>
      <c r="T66" s="51">
        <f t="shared" si="17"/>
        <v>0</v>
      </c>
      <c r="U66" s="51">
        <f t="shared" si="19"/>
        <v>0</v>
      </c>
      <c r="V66" s="51">
        <f t="shared" si="18"/>
        <v>0</v>
      </c>
      <c r="W66" s="51">
        <f t="shared" si="25"/>
        <v>0</v>
      </c>
      <c r="X66" s="51">
        <f>AVERAGE(15,15,15,15)</f>
        <v>15</v>
      </c>
      <c r="Y66" s="51">
        <f>AVERAGE(5,5,5,5)</f>
        <v>5</v>
      </c>
      <c r="Z66" s="51">
        <f>AVERAGE(5,5,5,5)</f>
        <v>5</v>
      </c>
      <c r="AA66" s="51">
        <f>AVERAGE(5,5,5,5)</f>
        <v>5</v>
      </c>
      <c r="AB66" s="51">
        <f t="shared" si="26"/>
        <v>0</v>
      </c>
      <c r="AC66" s="51">
        <f>AVERAGE(5,5,5,5)</f>
        <v>5</v>
      </c>
      <c r="AD66" s="51">
        <f>AVERAGE(10,10,10,10)</f>
        <v>10</v>
      </c>
      <c r="AE66" s="51">
        <f>AVERAGE(0,0,0,0)</f>
        <v>0</v>
      </c>
      <c r="AF66" s="51">
        <f>AVERAGE(5,5,5,5)</f>
        <v>5</v>
      </c>
      <c r="AG66" s="51"/>
      <c r="AH66" s="51"/>
      <c r="AI66" s="51"/>
      <c r="AJ66" s="51"/>
      <c r="AK66" s="51"/>
      <c r="AL66" s="51"/>
    </row>
    <row r="67" spans="1:38" s="48" customFormat="1" ht="14.25" customHeight="1" x14ac:dyDescent="0.25">
      <c r="A67" s="50" t="s">
        <v>192</v>
      </c>
      <c r="B67" s="51"/>
      <c r="C67" s="51"/>
      <c r="D67" s="51"/>
      <c r="E67" s="47">
        <v>144.30000000000001</v>
      </c>
      <c r="F67" s="54">
        <v>18</v>
      </c>
      <c r="G67" s="54">
        <v>5.33</v>
      </c>
      <c r="H67" s="51"/>
      <c r="I67" s="51"/>
      <c r="J67" s="56">
        <f>1/(AVERAGE(9.22,8.86,8.18,7.39))</f>
        <v>0.11887072808320952</v>
      </c>
      <c r="K67" s="51">
        <f>AVERAGE(1,1)</f>
        <v>1</v>
      </c>
      <c r="L67" s="51">
        <v>40</v>
      </c>
      <c r="M67" s="56">
        <f>AVERAGE(21,40,41)</f>
        <v>34</v>
      </c>
      <c r="N67" s="51">
        <f>AVERAGE(20,20,20,20)</f>
        <v>20</v>
      </c>
      <c r="O67" s="54">
        <v>10.199999999999999</v>
      </c>
      <c r="P67" s="51">
        <f>AVERAGE(10,10,10,10)</f>
        <v>10</v>
      </c>
      <c r="Q67" s="51">
        <f>AVERAGE(90,90,90,90)</f>
        <v>90</v>
      </c>
      <c r="R67" s="51">
        <f t="shared" si="21"/>
        <v>0</v>
      </c>
      <c r="S67" s="51">
        <f t="shared" si="17"/>
        <v>0</v>
      </c>
      <c r="T67" s="51">
        <f t="shared" si="17"/>
        <v>0</v>
      </c>
      <c r="U67" s="51">
        <f t="shared" si="19"/>
        <v>0</v>
      </c>
      <c r="V67" s="51">
        <f t="shared" si="18"/>
        <v>0</v>
      </c>
      <c r="W67" s="51">
        <f t="shared" si="25"/>
        <v>0</v>
      </c>
      <c r="X67" s="51">
        <f>AVERAGE(25,25,25,25)</f>
        <v>25</v>
      </c>
      <c r="Y67" s="51">
        <f>AVERAGE(10,10,10,10)</f>
        <v>10</v>
      </c>
      <c r="Z67" s="51">
        <f>AVERAGE(0,0,0,0)</f>
        <v>0</v>
      </c>
      <c r="AA67" s="51">
        <f>AVERAGE(0,0,0,0)</f>
        <v>0</v>
      </c>
      <c r="AB67" s="51">
        <f t="shared" si="26"/>
        <v>0</v>
      </c>
      <c r="AC67" s="51">
        <f>AVERAGE(0,0,0,0)</f>
        <v>0</v>
      </c>
      <c r="AD67" s="51">
        <f>AVERAGE(0,0,0,0)</f>
        <v>0</v>
      </c>
      <c r="AE67" s="51">
        <f>AVERAGE(0,0,0,0)</f>
        <v>0</v>
      </c>
      <c r="AF67" s="51">
        <f>AVERAGE(0,0,0,0)</f>
        <v>0</v>
      </c>
      <c r="AG67" s="51"/>
      <c r="AH67" s="51"/>
      <c r="AI67" s="51"/>
      <c r="AJ67" s="51"/>
      <c r="AK67" s="51"/>
      <c r="AL67" s="51"/>
    </row>
    <row r="68" spans="1:38" s="48" customFormat="1" ht="14.25" customHeight="1" x14ac:dyDescent="0.25">
      <c r="A68" s="50" t="s">
        <v>193</v>
      </c>
      <c r="B68" s="51"/>
      <c r="C68" s="51"/>
      <c r="D68" s="51"/>
      <c r="E68" s="47">
        <v>132.19999999999999</v>
      </c>
      <c r="F68" s="54">
        <v>12</v>
      </c>
      <c r="G68" s="54">
        <v>5.29</v>
      </c>
      <c r="H68" s="51"/>
      <c r="I68" s="51"/>
      <c r="J68" s="56">
        <f>AVERAGE(0)</f>
        <v>0</v>
      </c>
      <c r="K68" s="51">
        <f>AVERAGE(1,1)</f>
        <v>1</v>
      </c>
      <c r="L68" s="51">
        <v>22</v>
      </c>
      <c r="M68" s="56">
        <f>AVERAGE(38,22,30)</f>
        <v>30</v>
      </c>
      <c r="N68" s="51">
        <f>AVERAGE(28,28,28,28)</f>
        <v>28</v>
      </c>
      <c r="O68" s="54">
        <v>4.9000000000000004</v>
      </c>
      <c r="P68" s="51">
        <f>AVERAGE(100,100,100,100)</f>
        <v>100</v>
      </c>
      <c r="Q68" s="51">
        <f>AVERAGE(0,0,0,0)</f>
        <v>0</v>
      </c>
      <c r="R68" s="51">
        <f t="shared" si="21"/>
        <v>0</v>
      </c>
      <c r="S68" s="51">
        <f t="shared" si="17"/>
        <v>0</v>
      </c>
      <c r="T68" s="51">
        <f t="shared" si="17"/>
        <v>0</v>
      </c>
      <c r="U68" s="51">
        <f t="shared" si="19"/>
        <v>0</v>
      </c>
      <c r="V68" s="51">
        <f t="shared" si="18"/>
        <v>0</v>
      </c>
      <c r="W68" s="51">
        <f>AVERAGE(5,5,5,5)</f>
        <v>5</v>
      </c>
      <c r="X68" s="51">
        <f>AVERAGE(50,50,50,50)</f>
        <v>50</v>
      </c>
      <c r="Y68" s="51">
        <f>AVERAGE(0,0,0,0)</f>
        <v>0</v>
      </c>
      <c r="Z68" s="51">
        <f>AVERAGE(0,0,0,0)</f>
        <v>0</v>
      </c>
      <c r="AA68" s="51">
        <f>AVERAGE(0,0,0,0)</f>
        <v>0</v>
      </c>
      <c r="AB68" s="51">
        <f t="shared" si="26"/>
        <v>0</v>
      </c>
      <c r="AC68" s="51">
        <f>AVERAGE(0,0,0,0)</f>
        <v>0</v>
      </c>
      <c r="AD68" s="51">
        <f>AVERAGE(0,0,0,0)</f>
        <v>0</v>
      </c>
      <c r="AE68" s="51">
        <f>AVERAGE(0,0,0,0)</f>
        <v>0</v>
      </c>
      <c r="AF68" s="51">
        <f>AVERAGE(0,0,0,0)</f>
        <v>0</v>
      </c>
      <c r="AG68" s="51"/>
      <c r="AH68" s="51"/>
      <c r="AI68" s="51"/>
      <c r="AJ68" s="51"/>
      <c r="AK68" s="51"/>
      <c r="AL68" s="51"/>
    </row>
    <row r="69" spans="1:38" s="48" customFormat="1" ht="14.25" customHeight="1" x14ac:dyDescent="0.25">
      <c r="A69" s="50" t="s">
        <v>194</v>
      </c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</row>
    <row r="70" spans="1:38" s="48" customFormat="1" ht="14.25" customHeight="1" x14ac:dyDescent="0.25">
      <c r="A70" s="50" t="s">
        <v>195</v>
      </c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</row>
    <row r="71" spans="1:38" s="48" customFormat="1" ht="14.25" customHeight="1" x14ac:dyDescent="0.25">
      <c r="A71" s="50" t="s">
        <v>196</v>
      </c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</row>
    <row r="72" spans="1:38" s="48" customFormat="1" ht="14.25" customHeight="1" x14ac:dyDescent="0.25">
      <c r="A72" s="50" t="s">
        <v>197</v>
      </c>
      <c r="B72" s="51"/>
      <c r="C72" s="51"/>
      <c r="D72" s="51"/>
      <c r="E72" s="51">
        <v>85.2</v>
      </c>
      <c r="F72" s="51">
        <v>346</v>
      </c>
      <c r="G72" s="51">
        <v>5.57</v>
      </c>
      <c r="H72" s="51"/>
      <c r="I72" s="51"/>
      <c r="J72" s="56">
        <f>1/(AVERAGE(2.91,4.57,2.4,3.23,2.16,2.4,2.4,2.62,3.21,3.41))</f>
        <v>0.34118048447628796</v>
      </c>
      <c r="K72" s="53">
        <f>AVERAGE(1,1)</f>
        <v>1</v>
      </c>
      <c r="L72" s="51">
        <v>19</v>
      </c>
      <c r="M72" s="53">
        <f>AVERAGE(10,19,12)</f>
        <v>13.666666666666666</v>
      </c>
      <c r="N72" s="51">
        <f>AVERAGE(10,10,10,10)</f>
        <v>10</v>
      </c>
      <c r="O72" s="54">
        <v>1.4</v>
      </c>
      <c r="P72" s="51">
        <f t="shared" ref="P72:P77" si="27">AVERAGE(90,90,90,90)</f>
        <v>90</v>
      </c>
      <c r="Q72" s="51">
        <f t="shared" ref="Q72:Q77" si="28">AVERAGE(10,10,10,10)</f>
        <v>10</v>
      </c>
      <c r="R72" s="51">
        <f t="shared" ref="R72:X81" si="29">AVERAGE(0,0,0,0)</f>
        <v>0</v>
      </c>
      <c r="S72" s="51">
        <f t="shared" si="29"/>
        <v>0</v>
      </c>
      <c r="T72" s="51">
        <f t="shared" si="29"/>
        <v>0</v>
      </c>
      <c r="U72" s="51">
        <f t="shared" si="29"/>
        <v>0</v>
      </c>
      <c r="V72" s="51">
        <f t="shared" si="29"/>
        <v>0</v>
      </c>
      <c r="W72" s="51">
        <f t="shared" si="29"/>
        <v>0</v>
      </c>
      <c r="X72" s="51">
        <f t="shared" si="29"/>
        <v>0</v>
      </c>
      <c r="Y72" s="51">
        <f>AVERAGE(5,5,5,5)</f>
        <v>5</v>
      </c>
      <c r="Z72" s="51">
        <f>AVERAGE(80,80,80,80)</f>
        <v>80</v>
      </c>
      <c r="AA72" s="51">
        <f t="shared" ref="AA72:AA80" si="30">AVERAGE(5,5,5,5)</f>
        <v>5</v>
      </c>
      <c r="AB72" s="51">
        <f t="shared" ref="AB72:AC98" si="31">AVERAGE(0,0,0,0)</f>
        <v>0</v>
      </c>
      <c r="AC72" s="51">
        <f t="shared" si="31"/>
        <v>0</v>
      </c>
      <c r="AD72" s="51">
        <f>AVERAGE(10,10,10,10)</f>
        <v>10</v>
      </c>
      <c r="AE72" s="51">
        <f>AVERAGE(10,10,10,10)</f>
        <v>10</v>
      </c>
      <c r="AF72" s="51">
        <f>AVERAGE(15,15,15,15)</f>
        <v>15</v>
      </c>
      <c r="AG72" s="51"/>
      <c r="AH72" s="51"/>
      <c r="AI72" s="51"/>
      <c r="AJ72" s="51"/>
      <c r="AK72" s="51"/>
      <c r="AL72" s="51"/>
    </row>
    <row r="73" spans="1:38" s="48" customFormat="1" ht="14.25" customHeight="1" x14ac:dyDescent="0.25">
      <c r="A73" s="50" t="s">
        <v>198</v>
      </c>
      <c r="B73" s="51"/>
      <c r="C73" s="51"/>
      <c r="D73" s="51"/>
      <c r="E73" s="51">
        <v>107.1</v>
      </c>
      <c r="F73" s="51">
        <v>69</v>
      </c>
      <c r="G73" s="51">
        <v>5.49</v>
      </c>
      <c r="H73" s="51"/>
      <c r="I73" s="51"/>
      <c r="J73" s="56">
        <f>1/(AVERAGE(2.91,4.57,2.4,3.23,2.16,2.4,2.4,2.62,3.21,3.41))</f>
        <v>0.34118048447628796</v>
      </c>
      <c r="K73" s="53">
        <f>AVERAGE(1,1)</f>
        <v>1</v>
      </c>
      <c r="L73" s="51">
        <v>19</v>
      </c>
      <c r="M73" s="53">
        <f>AVERAGE(10,19,12)</f>
        <v>13.666666666666666</v>
      </c>
      <c r="N73" s="51">
        <f>AVERAGE(10,10,10,10)</f>
        <v>10</v>
      </c>
      <c r="O73" s="54">
        <v>1.4</v>
      </c>
      <c r="P73" s="51">
        <f t="shared" si="27"/>
        <v>90</v>
      </c>
      <c r="Q73" s="51">
        <f t="shared" si="28"/>
        <v>10</v>
      </c>
      <c r="R73" s="51">
        <f t="shared" si="29"/>
        <v>0</v>
      </c>
      <c r="S73" s="51">
        <f t="shared" si="29"/>
        <v>0</v>
      </c>
      <c r="T73" s="51">
        <f t="shared" si="29"/>
        <v>0</v>
      </c>
      <c r="U73" s="51">
        <f t="shared" si="29"/>
        <v>0</v>
      </c>
      <c r="V73" s="51">
        <f t="shared" si="29"/>
        <v>0</v>
      </c>
      <c r="W73" s="51">
        <f t="shared" si="29"/>
        <v>0</v>
      </c>
      <c r="X73" s="51">
        <f t="shared" si="29"/>
        <v>0</v>
      </c>
      <c r="Y73" s="51">
        <f>AVERAGE(5,5,5,5)</f>
        <v>5</v>
      </c>
      <c r="Z73" s="51">
        <f>AVERAGE(80,80,80,80)</f>
        <v>80</v>
      </c>
      <c r="AA73" s="51">
        <f t="shared" si="30"/>
        <v>5</v>
      </c>
      <c r="AB73" s="51">
        <f t="shared" si="31"/>
        <v>0</v>
      </c>
      <c r="AC73" s="51">
        <f t="shared" si="31"/>
        <v>0</v>
      </c>
      <c r="AD73" s="51">
        <f>AVERAGE(10,10,10,10)</f>
        <v>10</v>
      </c>
      <c r="AE73" s="51">
        <f>AVERAGE(10,10,10,10)</f>
        <v>10</v>
      </c>
      <c r="AF73" s="51">
        <f>AVERAGE(15,15,15,15)</f>
        <v>15</v>
      </c>
      <c r="AG73" s="51"/>
      <c r="AH73" s="51"/>
      <c r="AI73" s="51"/>
      <c r="AJ73" s="51"/>
      <c r="AK73" s="51"/>
      <c r="AL73" s="51"/>
    </row>
    <row r="74" spans="1:38" s="48" customFormat="1" ht="14.25" customHeight="1" x14ac:dyDescent="0.25">
      <c r="A74" s="50" t="s">
        <v>199</v>
      </c>
      <c r="B74" s="51"/>
      <c r="C74" s="51"/>
      <c r="D74" s="51"/>
      <c r="E74" s="51">
        <v>104.8</v>
      </c>
      <c r="F74" s="51">
        <v>40</v>
      </c>
      <c r="G74" s="51">
        <v>5.35</v>
      </c>
      <c r="H74" s="51"/>
      <c r="I74" s="51"/>
      <c r="J74" s="56">
        <f>1/(AVERAGE(1.97,1.58,2.11,2.11,1.94,1.49,1.65,1.32,1.39,1.45))</f>
        <v>0.58788947677836567</v>
      </c>
      <c r="K74" s="53">
        <f>AVERAGE(3,1)</f>
        <v>2</v>
      </c>
      <c r="L74" s="51">
        <v>36</v>
      </c>
      <c r="M74" s="53">
        <f>AVERAGE(16,36,16)</f>
        <v>22.666666666666668</v>
      </c>
      <c r="N74" s="51">
        <f>AVERAGE(14,14,14,14)</f>
        <v>14</v>
      </c>
      <c r="O74" s="54">
        <v>1.9</v>
      </c>
      <c r="P74" s="51">
        <f t="shared" si="27"/>
        <v>90</v>
      </c>
      <c r="Q74" s="51">
        <f t="shared" si="28"/>
        <v>10</v>
      </c>
      <c r="R74" s="51">
        <f t="shared" si="29"/>
        <v>0</v>
      </c>
      <c r="S74" s="51">
        <f t="shared" si="29"/>
        <v>0</v>
      </c>
      <c r="T74" s="51">
        <f t="shared" si="29"/>
        <v>0</v>
      </c>
      <c r="U74" s="51">
        <f t="shared" si="29"/>
        <v>0</v>
      </c>
      <c r="V74" s="51">
        <f t="shared" si="29"/>
        <v>0</v>
      </c>
      <c r="W74" s="51">
        <f t="shared" si="29"/>
        <v>0</v>
      </c>
      <c r="X74" s="51">
        <f t="shared" si="29"/>
        <v>0</v>
      </c>
      <c r="Y74" s="51">
        <f>AVERAGE(0,0,0,0)</f>
        <v>0</v>
      </c>
      <c r="Z74" s="51">
        <f>AVERAGE(75,75,75,75)</f>
        <v>75</v>
      </c>
      <c r="AA74" s="51">
        <f t="shared" si="30"/>
        <v>5</v>
      </c>
      <c r="AB74" s="51">
        <f t="shared" si="31"/>
        <v>0</v>
      </c>
      <c r="AC74" s="51">
        <f t="shared" si="31"/>
        <v>0</v>
      </c>
      <c r="AD74" s="51">
        <f>AVERAGE(5,5,5,5)</f>
        <v>5</v>
      </c>
      <c r="AE74" s="51">
        <f>AVERAGE(20,20,20,20)</f>
        <v>20</v>
      </c>
      <c r="AF74" s="51">
        <f>AVERAGE(20,20,20,20)</f>
        <v>20</v>
      </c>
      <c r="AG74" s="51"/>
      <c r="AH74" s="51"/>
      <c r="AI74" s="51"/>
      <c r="AJ74" s="51"/>
      <c r="AK74" s="51"/>
      <c r="AL74" s="51"/>
    </row>
    <row r="75" spans="1:38" s="48" customFormat="1" ht="14.25" customHeight="1" x14ac:dyDescent="0.25">
      <c r="A75" s="50" t="s">
        <v>200</v>
      </c>
      <c r="B75" s="51"/>
      <c r="C75" s="51"/>
      <c r="D75" s="51"/>
      <c r="E75" s="51">
        <v>82.65</v>
      </c>
      <c r="F75" s="51">
        <v>9</v>
      </c>
      <c r="G75" s="51">
        <v>5.51</v>
      </c>
      <c r="H75" s="51"/>
      <c r="I75" s="51"/>
      <c r="J75" s="56">
        <f>1/(AVERAGE(2.33,2.25,2.86,2.13,2.45,2.71,2.78,2.43,2.54,3.14))</f>
        <v>0.39032006245120993</v>
      </c>
      <c r="K75" s="53">
        <f>AVERAGE(2,2)</f>
        <v>2</v>
      </c>
      <c r="L75" s="51">
        <v>46</v>
      </c>
      <c r="M75" s="53">
        <f>AVERAGE(16,46,15)</f>
        <v>25.666666666666668</v>
      </c>
      <c r="N75" s="51">
        <f>AVERAGE(15,15,15,15)</f>
        <v>15</v>
      </c>
      <c r="O75" s="46">
        <v>1.75</v>
      </c>
      <c r="P75" s="51">
        <f t="shared" si="27"/>
        <v>90</v>
      </c>
      <c r="Q75" s="51">
        <f t="shared" si="28"/>
        <v>10</v>
      </c>
      <c r="R75" s="51">
        <f t="shared" si="29"/>
        <v>0</v>
      </c>
      <c r="S75" s="51">
        <f t="shared" si="29"/>
        <v>0</v>
      </c>
      <c r="T75" s="51">
        <f t="shared" si="29"/>
        <v>0</v>
      </c>
      <c r="U75" s="51">
        <f t="shared" si="29"/>
        <v>0</v>
      </c>
      <c r="V75" s="51">
        <f t="shared" si="29"/>
        <v>0</v>
      </c>
      <c r="W75" s="51">
        <f t="shared" si="29"/>
        <v>0</v>
      </c>
      <c r="X75" s="51">
        <f t="shared" si="29"/>
        <v>0</v>
      </c>
      <c r="Y75" s="51">
        <f>AVERAGE(10,10,10,10)</f>
        <v>10</v>
      </c>
      <c r="Z75" s="51">
        <f>AVERAGE(70,70,70,70)</f>
        <v>70</v>
      </c>
      <c r="AA75" s="51">
        <f t="shared" si="30"/>
        <v>5</v>
      </c>
      <c r="AB75" s="51">
        <f t="shared" si="31"/>
        <v>0</v>
      </c>
      <c r="AC75" s="51">
        <f t="shared" si="31"/>
        <v>0</v>
      </c>
      <c r="AD75" s="51">
        <f>AVERAGE(15,15,15,15)</f>
        <v>15</v>
      </c>
      <c r="AE75" s="51">
        <f>AVERAGE(15,15,15,15)</f>
        <v>15</v>
      </c>
      <c r="AF75" s="51">
        <f>AVERAGE(10,10,10,10)</f>
        <v>10</v>
      </c>
      <c r="AG75" s="51"/>
      <c r="AH75" s="51"/>
      <c r="AI75" s="51"/>
      <c r="AJ75" s="51"/>
      <c r="AK75" s="51"/>
      <c r="AL75" s="51"/>
    </row>
    <row r="76" spans="1:38" s="48" customFormat="1" ht="14.25" customHeight="1" x14ac:dyDescent="0.25">
      <c r="A76" s="50" t="s">
        <v>201</v>
      </c>
      <c r="B76" s="51"/>
      <c r="C76" s="51"/>
      <c r="D76" s="51"/>
      <c r="E76" s="51">
        <v>78.3</v>
      </c>
      <c r="F76" s="51">
        <v>21</v>
      </c>
      <c r="G76" s="51">
        <v>5.73</v>
      </c>
      <c r="H76" s="51"/>
      <c r="I76" s="51"/>
      <c r="J76" s="56">
        <f>1/(AVERAGE(1.96,1.72,2.34,2.08,2.63,2.11,2.96,2.14,2.82,2.86))</f>
        <v>0.42337002540220153</v>
      </c>
      <c r="K76" s="53">
        <f>AVERAGE(2,2)</f>
        <v>2</v>
      </c>
      <c r="L76" s="51">
        <v>53</v>
      </c>
      <c r="M76" s="53">
        <f>AVERAGE(28,53,28)</f>
        <v>36.333333333333336</v>
      </c>
      <c r="N76" s="51">
        <f>AVERAGE(25,25,25,25)</f>
        <v>25</v>
      </c>
      <c r="O76" s="55">
        <v>3.7</v>
      </c>
      <c r="P76" s="51">
        <f t="shared" si="27"/>
        <v>90</v>
      </c>
      <c r="Q76" s="51">
        <f t="shared" si="28"/>
        <v>10</v>
      </c>
      <c r="R76" s="51">
        <f t="shared" si="29"/>
        <v>0</v>
      </c>
      <c r="S76" s="51">
        <f t="shared" si="29"/>
        <v>0</v>
      </c>
      <c r="T76" s="51">
        <f t="shared" si="29"/>
        <v>0</v>
      </c>
      <c r="U76" s="51">
        <f t="shared" si="29"/>
        <v>0</v>
      </c>
      <c r="V76" s="51">
        <f t="shared" si="29"/>
        <v>0</v>
      </c>
      <c r="W76" s="51">
        <f t="shared" si="29"/>
        <v>0</v>
      </c>
      <c r="X76" s="51">
        <f t="shared" si="29"/>
        <v>0</v>
      </c>
      <c r="Y76" s="51">
        <f>AVERAGE(10,10,10,10)</f>
        <v>10</v>
      </c>
      <c r="Z76" s="51">
        <f>AVERAGE(80,80,80,80)</f>
        <v>80</v>
      </c>
      <c r="AA76" s="51">
        <f t="shared" si="30"/>
        <v>5</v>
      </c>
      <c r="AB76" s="51">
        <f t="shared" si="31"/>
        <v>0</v>
      </c>
      <c r="AC76" s="51">
        <f t="shared" si="31"/>
        <v>0</v>
      </c>
      <c r="AD76" s="51">
        <f>AVERAGE(10,10,10,10)</f>
        <v>10</v>
      </c>
      <c r="AE76" s="51">
        <f>AVERAGE(15,15,15,15)</f>
        <v>15</v>
      </c>
      <c r="AF76" s="51">
        <f>AVERAGE(20,20,20,20)</f>
        <v>20</v>
      </c>
      <c r="AG76" s="51"/>
      <c r="AH76" s="51"/>
      <c r="AI76" s="51"/>
      <c r="AJ76" s="51"/>
      <c r="AK76" s="51"/>
      <c r="AL76" s="51"/>
    </row>
    <row r="77" spans="1:38" s="48" customFormat="1" ht="14.25" customHeight="1" x14ac:dyDescent="0.25">
      <c r="A77" s="50" t="s">
        <v>202</v>
      </c>
      <c r="B77" s="51"/>
      <c r="C77" s="51"/>
      <c r="D77" s="51"/>
      <c r="E77" s="51">
        <v>82.93</v>
      </c>
      <c r="F77" s="51">
        <v>20</v>
      </c>
      <c r="G77" s="51">
        <v>5.96</v>
      </c>
      <c r="H77" s="51"/>
      <c r="I77" s="51"/>
      <c r="J77" s="56">
        <f>1/(AVERAGE(4.2,4.3,4.6,3.38,3.85,4.92,4.98,4.2,4.62,5.07))</f>
        <v>0.22665457842248413</v>
      </c>
      <c r="K77" s="53">
        <f>AVERAGE(2,2)</f>
        <v>2</v>
      </c>
      <c r="L77" s="51">
        <v>47</v>
      </c>
      <c r="M77" s="53">
        <f>AVERAGE(14,47,16)</f>
        <v>25.666666666666668</v>
      </c>
      <c r="N77" s="51">
        <f>AVERAGE(14,14,14,14)</f>
        <v>14</v>
      </c>
      <c r="O77" s="55">
        <v>2.9</v>
      </c>
      <c r="P77" s="51">
        <f t="shared" si="27"/>
        <v>90</v>
      </c>
      <c r="Q77" s="51">
        <f t="shared" si="28"/>
        <v>10</v>
      </c>
      <c r="R77" s="51">
        <f t="shared" si="29"/>
        <v>0</v>
      </c>
      <c r="S77" s="51">
        <f t="shared" si="29"/>
        <v>0</v>
      </c>
      <c r="T77" s="51">
        <f t="shared" si="29"/>
        <v>0</v>
      </c>
      <c r="U77" s="51">
        <f t="shared" si="29"/>
        <v>0</v>
      </c>
      <c r="V77" s="51">
        <f t="shared" si="29"/>
        <v>0</v>
      </c>
      <c r="W77" s="51">
        <f t="shared" si="29"/>
        <v>0</v>
      </c>
      <c r="X77" s="51">
        <f t="shared" si="29"/>
        <v>0</v>
      </c>
      <c r="Y77" s="51">
        <f>AVERAGE(15,15,15,15)</f>
        <v>15</v>
      </c>
      <c r="Z77" s="51">
        <f>AVERAGE(80,80,80,80)</f>
        <v>80</v>
      </c>
      <c r="AA77" s="51">
        <f t="shared" si="30"/>
        <v>5</v>
      </c>
      <c r="AB77" s="51">
        <f t="shared" si="31"/>
        <v>0</v>
      </c>
      <c r="AC77" s="51">
        <f t="shared" si="31"/>
        <v>0</v>
      </c>
      <c r="AD77" s="51">
        <f>AVERAGE(5,5,5,5)</f>
        <v>5</v>
      </c>
      <c r="AE77" s="51">
        <f>AVERAGE(10,10,10,10)</f>
        <v>10</v>
      </c>
      <c r="AF77" s="51">
        <f>AVERAGE(20,20,20,20)</f>
        <v>20</v>
      </c>
      <c r="AG77" s="51"/>
      <c r="AH77" s="51"/>
      <c r="AI77" s="51"/>
      <c r="AJ77" s="51"/>
      <c r="AK77" s="51"/>
      <c r="AL77" s="51"/>
    </row>
    <row r="78" spans="1:38" s="48" customFormat="1" ht="14.25" customHeight="1" x14ac:dyDescent="0.25">
      <c r="A78" s="50" t="s">
        <v>203</v>
      </c>
      <c r="B78" s="51"/>
      <c r="C78" s="51"/>
      <c r="D78" s="51"/>
      <c r="E78" s="51">
        <v>181.1</v>
      </c>
      <c r="F78" s="51">
        <v>41</v>
      </c>
      <c r="G78" s="51">
        <v>6.07</v>
      </c>
      <c r="H78" s="51"/>
      <c r="I78" s="51"/>
      <c r="J78" s="56">
        <f>1/(AVERAGE(2.82,3.25,2.74,2.27,2.46,2.56,2.05))</f>
        <v>0.38567493112947665</v>
      </c>
      <c r="K78" s="53">
        <f>AVERAGE(4,3)</f>
        <v>3.5</v>
      </c>
      <c r="L78" s="51">
        <v>30</v>
      </c>
      <c r="M78" s="53">
        <f>AVERAGE(30,22,17)</f>
        <v>23</v>
      </c>
      <c r="N78" s="51">
        <f>AVERAGE(14,14,14,14)</f>
        <v>14</v>
      </c>
      <c r="O78" s="54">
        <v>2.1</v>
      </c>
      <c r="P78" s="51">
        <f>AVERAGE(0,0,0,0)</f>
        <v>0</v>
      </c>
      <c r="Q78" s="51">
        <f>AVERAGE(100,100,100,100)</f>
        <v>100</v>
      </c>
      <c r="R78" s="51">
        <f t="shared" si="29"/>
        <v>0</v>
      </c>
      <c r="S78" s="51">
        <f t="shared" si="29"/>
        <v>0</v>
      </c>
      <c r="T78" s="51">
        <f t="shared" si="29"/>
        <v>0</v>
      </c>
      <c r="U78" s="51">
        <f t="shared" si="29"/>
        <v>0</v>
      </c>
      <c r="V78" s="51">
        <f t="shared" si="29"/>
        <v>0</v>
      </c>
      <c r="W78" s="51">
        <f t="shared" si="29"/>
        <v>0</v>
      </c>
      <c r="X78" s="51">
        <f t="shared" si="29"/>
        <v>0</v>
      </c>
      <c r="Y78" s="51">
        <f>AVERAGE(10,10,10,10)</f>
        <v>10</v>
      </c>
      <c r="Z78" s="51">
        <f>AVERAGE(85,85,85,85)</f>
        <v>85</v>
      </c>
      <c r="AA78" s="51">
        <f t="shared" si="30"/>
        <v>5</v>
      </c>
      <c r="AB78" s="51">
        <f t="shared" si="31"/>
        <v>0</v>
      </c>
      <c r="AC78" s="51">
        <f t="shared" si="31"/>
        <v>0</v>
      </c>
      <c r="AD78" s="51">
        <f>AVERAGE(10,10,10,10)</f>
        <v>10</v>
      </c>
      <c r="AE78" s="51">
        <f>AVERAGE(5,5,5,5)</f>
        <v>5</v>
      </c>
      <c r="AF78" s="51">
        <f>AVERAGE(10,10,10,10)</f>
        <v>10</v>
      </c>
      <c r="AG78" s="51"/>
      <c r="AH78" s="51"/>
      <c r="AI78" s="51"/>
      <c r="AJ78" s="51"/>
      <c r="AK78" s="51"/>
      <c r="AL78" s="51"/>
    </row>
    <row r="79" spans="1:38" s="48" customFormat="1" ht="14.25" customHeight="1" x14ac:dyDescent="0.25">
      <c r="A79" s="50" t="s">
        <v>204</v>
      </c>
      <c r="B79" s="51"/>
      <c r="C79" s="51"/>
      <c r="D79" s="51"/>
      <c r="E79" s="51">
        <v>116</v>
      </c>
      <c r="F79" s="51">
        <v>33</v>
      </c>
      <c r="G79" s="51">
        <v>6.02</v>
      </c>
      <c r="H79" s="51"/>
      <c r="I79" s="51"/>
      <c r="J79" s="56">
        <f>1/(AVERAGE(2.58,3.31,3.23,2.74,3.51,2.65,3.36))</f>
        <v>0.32740879326473338</v>
      </c>
      <c r="K79" s="53">
        <f>AVERAGE(4,3)</f>
        <v>3.5</v>
      </c>
      <c r="L79" s="51">
        <v>20</v>
      </c>
      <c r="M79" s="53">
        <f>AVERAGE(14,20,9)</f>
        <v>14.333333333333334</v>
      </c>
      <c r="N79" s="51">
        <f>AVERAGE(13,13,13,13)</f>
        <v>13</v>
      </c>
      <c r="O79" s="54">
        <v>6.7</v>
      </c>
      <c r="P79" s="51">
        <f>AVERAGE(0,0,0,0)</f>
        <v>0</v>
      </c>
      <c r="Q79" s="51">
        <f>AVERAGE(100,100,100,100)</f>
        <v>100</v>
      </c>
      <c r="R79" s="51">
        <f t="shared" si="29"/>
        <v>0</v>
      </c>
      <c r="S79" s="51">
        <f t="shared" si="29"/>
        <v>0</v>
      </c>
      <c r="T79" s="51">
        <f t="shared" si="29"/>
        <v>0</v>
      </c>
      <c r="U79" s="51">
        <f t="shared" si="29"/>
        <v>0</v>
      </c>
      <c r="V79" s="51">
        <f t="shared" si="29"/>
        <v>0</v>
      </c>
      <c r="W79" s="51">
        <f t="shared" si="29"/>
        <v>0</v>
      </c>
      <c r="X79" s="51">
        <f t="shared" si="29"/>
        <v>0</v>
      </c>
      <c r="Y79" s="51">
        <f>AVERAGE(5,5,5,5)</f>
        <v>5</v>
      </c>
      <c r="Z79" s="51">
        <f>AVERAGE(70,70,70,70)</f>
        <v>70</v>
      </c>
      <c r="AA79" s="51">
        <f t="shared" si="30"/>
        <v>5</v>
      </c>
      <c r="AB79" s="51">
        <f t="shared" si="31"/>
        <v>0</v>
      </c>
      <c r="AC79" s="51">
        <f t="shared" si="31"/>
        <v>0</v>
      </c>
      <c r="AD79" s="51">
        <f>AVERAGE(5,5,5,5)</f>
        <v>5</v>
      </c>
      <c r="AE79" s="51">
        <f>AVERAGE(5,5,5,5)</f>
        <v>5</v>
      </c>
      <c r="AF79" s="51">
        <f>AVERAGE(5,5,5,5)</f>
        <v>5</v>
      </c>
      <c r="AG79" s="51"/>
      <c r="AH79" s="51"/>
      <c r="AI79" s="51"/>
      <c r="AJ79" s="51"/>
      <c r="AK79" s="51"/>
      <c r="AL79" s="51"/>
    </row>
    <row r="80" spans="1:38" s="48" customFormat="1" ht="14.25" customHeight="1" x14ac:dyDescent="0.25">
      <c r="A80" s="50" t="s">
        <v>205</v>
      </c>
      <c r="B80" s="51"/>
      <c r="C80" s="51"/>
      <c r="D80" s="51"/>
      <c r="E80" s="51">
        <v>92.25</v>
      </c>
      <c r="F80" s="51">
        <v>44</v>
      </c>
      <c r="G80" s="51">
        <v>5.97</v>
      </c>
      <c r="H80" s="51"/>
      <c r="I80" s="51"/>
      <c r="J80" s="56">
        <f>1/(AVERAGE(3.31,2.56,2.45,2.13,2.54,2.12,2.43))</f>
        <v>0.39908779931584948</v>
      </c>
      <c r="K80" s="53">
        <f>AVERAGE(3,2)</f>
        <v>2.5</v>
      </c>
      <c r="L80" s="51">
        <v>45</v>
      </c>
      <c r="M80" s="53">
        <f>AVERAGE(45,41,36)</f>
        <v>40.666666666666664</v>
      </c>
      <c r="N80" s="51">
        <f>AVERAGE(15,15,15,15)</f>
        <v>15</v>
      </c>
      <c r="O80" s="54">
        <v>5.3</v>
      </c>
      <c r="P80" s="51">
        <f>AVERAGE(30,30,30,30)</f>
        <v>30</v>
      </c>
      <c r="Q80" s="51">
        <f>AVERAGE(70,70,70,70)</f>
        <v>70</v>
      </c>
      <c r="R80" s="51">
        <f t="shared" si="29"/>
        <v>0</v>
      </c>
      <c r="S80" s="51">
        <f t="shared" si="29"/>
        <v>0</v>
      </c>
      <c r="T80" s="51">
        <f t="shared" si="29"/>
        <v>0</v>
      </c>
      <c r="U80" s="51">
        <f t="shared" si="29"/>
        <v>0</v>
      </c>
      <c r="V80" s="51">
        <f t="shared" si="29"/>
        <v>0</v>
      </c>
      <c r="W80" s="51">
        <f t="shared" si="29"/>
        <v>0</v>
      </c>
      <c r="X80" s="51">
        <f t="shared" si="29"/>
        <v>0</v>
      </c>
      <c r="Y80" s="51">
        <f>AVERAGE(15,15,15,15)</f>
        <v>15</v>
      </c>
      <c r="Z80" s="51">
        <f>AVERAGE(70,70,70,70)</f>
        <v>70</v>
      </c>
      <c r="AA80" s="51">
        <f t="shared" si="30"/>
        <v>5</v>
      </c>
      <c r="AB80" s="51">
        <f t="shared" si="31"/>
        <v>0</v>
      </c>
      <c r="AC80" s="51">
        <f t="shared" si="31"/>
        <v>0</v>
      </c>
      <c r="AD80" s="51">
        <f>AVERAGE(10,10,10,10)</f>
        <v>10</v>
      </c>
      <c r="AE80" s="51">
        <f>AVERAGE(20,20,20,20)</f>
        <v>20</v>
      </c>
      <c r="AF80" s="51">
        <f>AVERAGE(10,10,10,10)</f>
        <v>10</v>
      </c>
      <c r="AG80" s="51"/>
      <c r="AH80" s="51"/>
      <c r="AI80" s="51"/>
      <c r="AJ80" s="51"/>
      <c r="AK80" s="51"/>
      <c r="AL80" s="51"/>
    </row>
    <row r="81" spans="1:38" s="48" customFormat="1" ht="14.25" customHeight="1" x14ac:dyDescent="0.25">
      <c r="A81" s="50" t="s">
        <v>206</v>
      </c>
      <c r="B81" s="51"/>
      <c r="C81" s="51"/>
      <c r="D81" s="51"/>
      <c r="E81" s="53">
        <v>226.3</v>
      </c>
      <c r="F81" s="53">
        <v>6</v>
      </c>
      <c r="G81" s="47">
        <v>6.06</v>
      </c>
      <c r="H81" s="51"/>
      <c r="I81" s="51"/>
      <c r="J81" s="56">
        <f>1/(AVERAGE(3.94,4.12,3.94,3.45,3.67,3.15,3.69))</f>
        <v>0.26964560862865949</v>
      </c>
      <c r="K81" s="51">
        <f>AVERAGE(3,2)</f>
        <v>2.5</v>
      </c>
      <c r="L81" s="51">
        <v>16</v>
      </c>
      <c r="M81" s="53">
        <f>AVERAGE(12,16,12)</f>
        <v>13.333333333333334</v>
      </c>
      <c r="N81" s="51">
        <f>AVERAGE(8,8,8,8)</f>
        <v>8</v>
      </c>
      <c r="O81" s="47">
        <v>1.1000000000000001</v>
      </c>
      <c r="P81" s="51">
        <f>AVERAGE(5,5,5,5)</f>
        <v>5</v>
      </c>
      <c r="Q81" s="51">
        <f>AVERAGE(95,95,95,95)</f>
        <v>95</v>
      </c>
      <c r="R81" s="51">
        <f t="shared" si="29"/>
        <v>0</v>
      </c>
      <c r="S81" s="51">
        <f t="shared" si="29"/>
        <v>0</v>
      </c>
      <c r="T81" s="51">
        <f t="shared" si="29"/>
        <v>0</v>
      </c>
      <c r="U81" s="51">
        <f t="shared" si="29"/>
        <v>0</v>
      </c>
      <c r="V81" s="51">
        <f t="shared" si="29"/>
        <v>0</v>
      </c>
      <c r="W81" s="51">
        <f t="shared" si="29"/>
        <v>0</v>
      </c>
      <c r="X81" s="51">
        <f t="shared" si="29"/>
        <v>0</v>
      </c>
      <c r="Y81" s="51">
        <f>AVERAGE(0,0,0,0)</f>
        <v>0</v>
      </c>
      <c r="Z81" s="51">
        <f>AVERAGE(50,50,50,50)</f>
        <v>50</v>
      </c>
      <c r="AA81" s="51">
        <f>AVERAGE(10,10,10,10)</f>
        <v>10</v>
      </c>
      <c r="AB81" s="51">
        <f t="shared" si="31"/>
        <v>0</v>
      </c>
      <c r="AC81" s="51">
        <f t="shared" si="31"/>
        <v>0</v>
      </c>
      <c r="AD81" s="51">
        <f>AVERAGE(25,25,25,25)</f>
        <v>25</v>
      </c>
      <c r="AE81" s="51">
        <f>AVERAGE(0,0,0,0)</f>
        <v>0</v>
      </c>
      <c r="AF81" s="51">
        <f>AVERAGE(10,10,10,10)</f>
        <v>10</v>
      </c>
      <c r="AG81" s="51"/>
      <c r="AH81" s="51"/>
      <c r="AI81" s="51"/>
      <c r="AJ81" s="51"/>
      <c r="AK81" s="51"/>
      <c r="AL81" s="51"/>
    </row>
    <row r="82" spans="1:38" s="48" customFormat="1" ht="14.25" customHeight="1" x14ac:dyDescent="0.25">
      <c r="A82" s="50" t="s">
        <v>207</v>
      </c>
      <c r="B82" s="51"/>
      <c r="C82" s="51"/>
      <c r="D82" s="51"/>
      <c r="E82" s="53">
        <v>172.5</v>
      </c>
      <c r="F82" s="53">
        <v>8</v>
      </c>
      <c r="G82" s="47">
        <v>6.03</v>
      </c>
      <c r="H82" s="51"/>
      <c r="I82" s="51"/>
      <c r="J82" s="56">
        <f>1/(AVERAGE(3,2.73,2.34,4.3,3.27,3.39,4.12))</f>
        <v>0.30237580993520519</v>
      </c>
      <c r="K82" s="51">
        <f>AVERAGE(3,2)</f>
        <v>2.5</v>
      </c>
      <c r="L82" s="51">
        <v>33</v>
      </c>
      <c r="M82" s="53">
        <f>AVERAGE(12,33,18)</f>
        <v>21</v>
      </c>
      <c r="N82" s="51">
        <f>AVERAGE(8,8,8,8)</f>
        <v>8</v>
      </c>
      <c r="O82" s="47">
        <v>1.3</v>
      </c>
      <c r="P82" s="51">
        <f>AVERAGE(0,0,0,0)</f>
        <v>0</v>
      </c>
      <c r="Q82" s="51">
        <f>AVERAGE(100,100,100,100)</f>
        <v>100</v>
      </c>
      <c r="R82" s="51">
        <f t="shared" ref="R82:W89" si="32">AVERAGE(0,0,0,0)</f>
        <v>0</v>
      </c>
      <c r="S82" s="51">
        <f t="shared" si="32"/>
        <v>0</v>
      </c>
      <c r="T82" s="51">
        <f t="shared" si="32"/>
        <v>0</v>
      </c>
      <c r="U82" s="51">
        <f t="shared" si="32"/>
        <v>0</v>
      </c>
      <c r="V82" s="51">
        <f t="shared" si="32"/>
        <v>0</v>
      </c>
      <c r="W82" s="51">
        <f t="shared" si="32"/>
        <v>0</v>
      </c>
      <c r="X82" s="51">
        <f>AVERAGE(5,5,5,5)</f>
        <v>5</v>
      </c>
      <c r="Y82" s="51">
        <f>AVERAGE(0,0,0,0)</f>
        <v>0</v>
      </c>
      <c r="Z82" s="51">
        <f>AVERAGE(60,60,60,60)</f>
        <v>60</v>
      </c>
      <c r="AA82" s="51">
        <f>AVERAGE(5,5,5,5)</f>
        <v>5</v>
      </c>
      <c r="AB82" s="51">
        <f t="shared" si="31"/>
        <v>0</v>
      </c>
      <c r="AC82" s="51">
        <f t="shared" si="31"/>
        <v>0</v>
      </c>
      <c r="AD82" s="51">
        <f>AVERAGE(5,5,5,5)</f>
        <v>5</v>
      </c>
      <c r="AE82" s="51">
        <f>AVERAGE(0,0,0,0)</f>
        <v>0</v>
      </c>
      <c r="AF82" s="51">
        <f>AVERAGE(10,10,10,10)</f>
        <v>10</v>
      </c>
      <c r="AG82" s="51"/>
      <c r="AH82" s="51"/>
      <c r="AI82" s="51"/>
      <c r="AJ82" s="51"/>
      <c r="AK82" s="51"/>
      <c r="AL82" s="51"/>
    </row>
    <row r="83" spans="1:38" s="48" customFormat="1" ht="14.25" customHeight="1" x14ac:dyDescent="0.25">
      <c r="A83" s="50" t="s">
        <v>208</v>
      </c>
      <c r="B83" s="51"/>
      <c r="C83" s="51"/>
      <c r="D83" s="51"/>
      <c r="E83" s="53">
        <v>213</v>
      </c>
      <c r="F83" s="53">
        <v>16</v>
      </c>
      <c r="G83" s="47">
        <v>6.23</v>
      </c>
      <c r="H83" s="51"/>
      <c r="I83" s="51"/>
      <c r="J83" s="56">
        <f>1/(AVERAGE(3.56,3.58,5.17,3.91,4.85,3.86,3.87))</f>
        <v>0.24305555555555552</v>
      </c>
      <c r="K83" s="51">
        <f>AVERAGE(3,2)</f>
        <v>2.5</v>
      </c>
      <c r="L83" s="51">
        <v>14</v>
      </c>
      <c r="M83" s="53">
        <f>AVERAGE(9,14,11)</f>
        <v>11.333333333333334</v>
      </c>
      <c r="N83" s="51">
        <f>AVERAGE(10,10,10,10)</f>
        <v>10</v>
      </c>
      <c r="O83" s="47">
        <v>1.1399999999999999</v>
      </c>
      <c r="P83" s="51">
        <f>AVERAGE(10,10,10,10)</f>
        <v>10</v>
      </c>
      <c r="Q83" s="51">
        <f>AVERAGE(90,90,90,90)</f>
        <v>90</v>
      </c>
      <c r="R83" s="51">
        <f t="shared" si="32"/>
        <v>0</v>
      </c>
      <c r="S83" s="51">
        <f t="shared" si="32"/>
        <v>0</v>
      </c>
      <c r="T83" s="51">
        <f t="shared" si="32"/>
        <v>0</v>
      </c>
      <c r="U83" s="51">
        <f t="shared" si="32"/>
        <v>0</v>
      </c>
      <c r="V83" s="51">
        <f t="shared" si="32"/>
        <v>0</v>
      </c>
      <c r="W83" s="51">
        <f t="shared" si="32"/>
        <v>0</v>
      </c>
      <c r="X83" s="51">
        <f>AVERAGE(0,0,0,0)</f>
        <v>0</v>
      </c>
      <c r="Y83" s="51">
        <f>AVERAGE(0,0,0,0)</f>
        <v>0</v>
      </c>
      <c r="Z83" s="51">
        <f>AVERAGE(70,70,70,70)</f>
        <v>70</v>
      </c>
      <c r="AA83" s="51">
        <f>AVERAGE(10,10,10,10)</f>
        <v>10</v>
      </c>
      <c r="AB83" s="51">
        <f t="shared" si="31"/>
        <v>0</v>
      </c>
      <c r="AC83" s="51">
        <f t="shared" si="31"/>
        <v>0</v>
      </c>
      <c r="AD83" s="51">
        <f>AVERAGE(10,10,10,10)</f>
        <v>10</v>
      </c>
      <c r="AE83" s="51">
        <f>AVERAGE(10,10,10,10)</f>
        <v>10</v>
      </c>
      <c r="AF83" s="51">
        <f>AVERAGE(10,10,10,10)</f>
        <v>10</v>
      </c>
      <c r="AG83" s="51"/>
      <c r="AH83" s="51"/>
      <c r="AI83" s="51"/>
      <c r="AJ83" s="51"/>
      <c r="AK83" s="51"/>
      <c r="AL83" s="51"/>
    </row>
    <row r="84" spans="1:38" s="48" customFormat="1" ht="14.25" customHeight="1" x14ac:dyDescent="0.25">
      <c r="A84" s="50" t="s">
        <v>209</v>
      </c>
      <c r="B84" s="51"/>
      <c r="C84" s="51"/>
      <c r="D84" s="51"/>
      <c r="E84" s="51">
        <v>212.5</v>
      </c>
      <c r="F84" s="51">
        <v>7</v>
      </c>
      <c r="G84" s="51">
        <v>6.93</v>
      </c>
      <c r="H84" s="51"/>
      <c r="I84" s="51"/>
      <c r="J84" s="56">
        <v>0</v>
      </c>
      <c r="K84" s="53">
        <f>AVERAGE(1,1)</f>
        <v>1</v>
      </c>
      <c r="L84" s="51"/>
      <c r="M84" s="53">
        <f>AVERAGE(27)</f>
        <v>27</v>
      </c>
      <c r="N84" s="51">
        <f>AVERAGE(13,13,13,13)</f>
        <v>13</v>
      </c>
      <c r="O84" s="51"/>
      <c r="P84" s="51">
        <f>AVERAGE(0,0,0,0)</f>
        <v>0</v>
      </c>
      <c r="Q84" s="51">
        <f>AVERAGE(100,100,100,100)</f>
        <v>100</v>
      </c>
      <c r="R84" s="51">
        <f t="shared" si="32"/>
        <v>0</v>
      </c>
      <c r="S84" s="51">
        <f t="shared" si="32"/>
        <v>0</v>
      </c>
      <c r="T84" s="51">
        <f t="shared" si="32"/>
        <v>0</v>
      </c>
      <c r="U84" s="51">
        <f t="shared" si="32"/>
        <v>0</v>
      </c>
      <c r="V84" s="51">
        <f t="shared" si="32"/>
        <v>0</v>
      </c>
      <c r="W84" s="51">
        <f t="shared" si="32"/>
        <v>0</v>
      </c>
      <c r="X84" s="51">
        <f>AVERAGE(15,15,15,15)</f>
        <v>15</v>
      </c>
      <c r="Y84" s="51">
        <f>AVERAGE(15,15,15,15)</f>
        <v>15</v>
      </c>
      <c r="Z84" s="51">
        <f>AVERAGE(0,0,0,0)</f>
        <v>0</v>
      </c>
      <c r="AA84" s="51">
        <f>AVERAGE(0,0,0,0)</f>
        <v>0</v>
      </c>
      <c r="AB84" s="51">
        <f t="shared" si="31"/>
        <v>0</v>
      </c>
      <c r="AC84" s="51">
        <f t="shared" si="31"/>
        <v>0</v>
      </c>
      <c r="AD84" s="51">
        <f t="shared" ref="AD84:AE86" si="33">AVERAGE(0,0,0,0)</f>
        <v>0</v>
      </c>
      <c r="AE84" s="51">
        <f t="shared" si="33"/>
        <v>0</v>
      </c>
      <c r="AF84" s="51">
        <f>AVERAGE(5,5,5,5)</f>
        <v>5</v>
      </c>
      <c r="AG84" s="51"/>
      <c r="AH84" s="51"/>
      <c r="AI84" s="51"/>
      <c r="AJ84" s="51"/>
      <c r="AK84" s="51"/>
      <c r="AL84" s="51"/>
    </row>
    <row r="85" spans="1:38" s="48" customFormat="1" ht="14.25" customHeight="1" x14ac:dyDescent="0.25">
      <c r="A85" s="50" t="s">
        <v>210</v>
      </c>
      <c r="B85" s="51"/>
      <c r="C85" s="51"/>
      <c r="D85" s="51"/>
      <c r="E85" s="51">
        <v>141.30000000000001</v>
      </c>
      <c r="F85" s="51">
        <v>20</v>
      </c>
      <c r="G85" s="51">
        <v>6.27</v>
      </c>
      <c r="H85" s="51"/>
      <c r="I85" s="51"/>
      <c r="J85" s="56">
        <v>0</v>
      </c>
      <c r="K85" s="53">
        <f>AVERAGE(1,1)</f>
        <v>1</v>
      </c>
      <c r="L85" s="51">
        <v>1.1000000000000001</v>
      </c>
      <c r="M85" s="53">
        <f>AVERAGE(20,1.1,21)</f>
        <v>14.033333333333333</v>
      </c>
      <c r="N85" s="51">
        <f>AVERAGE(19,19,19,19)</f>
        <v>19</v>
      </c>
      <c r="O85" s="51"/>
      <c r="P85" s="51">
        <f t="shared" ref="P85:P92" si="34">AVERAGE(100,100,100,100)</f>
        <v>100</v>
      </c>
      <c r="Q85" s="51">
        <f t="shared" ref="Q85:Q92" si="35">AVERAGE(0,0,0,0)</f>
        <v>0</v>
      </c>
      <c r="R85" s="51">
        <f t="shared" si="32"/>
        <v>0</v>
      </c>
      <c r="S85" s="51">
        <f t="shared" si="32"/>
        <v>0</v>
      </c>
      <c r="T85" s="51">
        <f t="shared" si="32"/>
        <v>0</v>
      </c>
      <c r="U85" s="51">
        <f t="shared" si="32"/>
        <v>0</v>
      </c>
      <c r="V85" s="51">
        <f t="shared" si="32"/>
        <v>0</v>
      </c>
      <c r="W85" s="51">
        <f t="shared" si="32"/>
        <v>0</v>
      </c>
      <c r="X85" s="51">
        <f>AVERAGE(40,40,40,40)</f>
        <v>40</v>
      </c>
      <c r="Y85" s="51">
        <f>AVERAGE(20,20,20,20)</f>
        <v>20</v>
      </c>
      <c r="Z85" s="51">
        <f>AVERAGE(0,0,0,0)</f>
        <v>0</v>
      </c>
      <c r="AA85" s="51">
        <f>AVERAGE(0,0,0,0)</f>
        <v>0</v>
      </c>
      <c r="AB85" s="51">
        <f t="shared" si="31"/>
        <v>0</v>
      </c>
      <c r="AC85" s="51">
        <f t="shared" si="31"/>
        <v>0</v>
      </c>
      <c r="AD85" s="51">
        <f t="shared" si="33"/>
        <v>0</v>
      </c>
      <c r="AE85" s="51">
        <f t="shared" si="33"/>
        <v>0</v>
      </c>
      <c r="AF85" s="51">
        <f>AVERAGE(10,10,10,10)</f>
        <v>10</v>
      </c>
      <c r="AG85" s="51"/>
      <c r="AH85" s="51"/>
      <c r="AI85" s="51"/>
      <c r="AJ85" s="51"/>
      <c r="AK85" s="51"/>
      <c r="AL85" s="51"/>
    </row>
    <row r="86" spans="1:38" s="48" customFormat="1" ht="14.25" customHeight="1" x14ac:dyDescent="0.25">
      <c r="A86" s="50" t="s">
        <v>211</v>
      </c>
      <c r="B86" s="51"/>
      <c r="C86" s="51"/>
      <c r="D86" s="51"/>
      <c r="E86" s="51">
        <v>109.3</v>
      </c>
      <c r="F86" s="51">
        <v>16</v>
      </c>
      <c r="G86" s="51">
        <v>6.22</v>
      </c>
      <c r="H86" s="51"/>
      <c r="I86" s="51"/>
      <c r="J86" s="56">
        <v>0</v>
      </c>
      <c r="K86" s="53">
        <f>AVERAGE(1,1)</f>
        <v>1</v>
      </c>
      <c r="L86" s="51"/>
      <c r="M86" s="53">
        <f>AVERAGE(34)</f>
        <v>34</v>
      </c>
      <c r="N86" s="51">
        <f>AVERAGE(12,12,12,12)</f>
        <v>12</v>
      </c>
      <c r="O86" s="47">
        <v>26.46</v>
      </c>
      <c r="P86" s="51">
        <f t="shared" si="34"/>
        <v>100</v>
      </c>
      <c r="Q86" s="51">
        <f t="shared" si="35"/>
        <v>0</v>
      </c>
      <c r="R86" s="51">
        <f t="shared" si="32"/>
        <v>0</v>
      </c>
      <c r="S86" s="51">
        <f t="shared" si="32"/>
        <v>0</v>
      </c>
      <c r="T86" s="51">
        <f t="shared" si="32"/>
        <v>0</v>
      </c>
      <c r="U86" s="51">
        <f t="shared" si="32"/>
        <v>0</v>
      </c>
      <c r="V86" s="51">
        <f t="shared" si="32"/>
        <v>0</v>
      </c>
      <c r="W86" s="51">
        <f t="shared" si="32"/>
        <v>0</v>
      </c>
      <c r="X86" s="51">
        <f>AVERAGE(40,40,40,40)</f>
        <v>40</v>
      </c>
      <c r="Y86" s="51">
        <f>AVERAGE(5,5,5,5)</f>
        <v>5</v>
      </c>
      <c r="Z86" s="51">
        <f>AVERAGE(0,0,0,0)</f>
        <v>0</v>
      </c>
      <c r="AA86" s="51">
        <f>AVERAGE(5,5,5,5)</f>
        <v>5</v>
      </c>
      <c r="AB86" s="51">
        <f t="shared" si="31"/>
        <v>0</v>
      </c>
      <c r="AC86" s="51">
        <f t="shared" si="31"/>
        <v>0</v>
      </c>
      <c r="AD86" s="51">
        <f t="shared" si="33"/>
        <v>0</v>
      </c>
      <c r="AE86" s="51">
        <f t="shared" si="33"/>
        <v>0</v>
      </c>
      <c r="AF86" s="51">
        <f>AVERAGE(0,0,0,0)</f>
        <v>0</v>
      </c>
      <c r="AG86" s="51"/>
      <c r="AH86" s="51"/>
      <c r="AI86" s="51"/>
      <c r="AJ86" s="51"/>
      <c r="AK86" s="51"/>
      <c r="AL86" s="51"/>
    </row>
    <row r="87" spans="1:38" s="48" customFormat="1" ht="14.25" customHeight="1" x14ac:dyDescent="0.25">
      <c r="A87" s="50" t="s">
        <v>212</v>
      </c>
      <c r="B87" s="51"/>
      <c r="C87" s="51"/>
      <c r="D87" s="51"/>
      <c r="E87" s="51">
        <v>110.9</v>
      </c>
      <c r="F87" s="51">
        <v>61</v>
      </c>
      <c r="G87" s="51">
        <v>6.31</v>
      </c>
      <c r="H87" s="51"/>
      <c r="I87" s="51"/>
      <c r="J87" s="56">
        <f>1/(AVERAGE(2.33,2.23,2.53,2.31,1.99,3.44,3.79,2.45))</f>
        <v>0.37968675842429994</v>
      </c>
      <c r="K87" s="53">
        <f>AVERAGE(3,2)</f>
        <v>2.5</v>
      </c>
      <c r="L87" s="51"/>
      <c r="M87" s="53">
        <f>AVERAGE(25)</f>
        <v>25</v>
      </c>
      <c r="N87" s="51">
        <f>AVERAGE(21,21,21,21)</f>
        <v>21</v>
      </c>
      <c r="O87" s="54">
        <v>5.8</v>
      </c>
      <c r="P87" s="51">
        <f t="shared" si="34"/>
        <v>100</v>
      </c>
      <c r="Q87" s="51">
        <f t="shared" si="35"/>
        <v>0</v>
      </c>
      <c r="R87" s="51">
        <f t="shared" si="32"/>
        <v>0</v>
      </c>
      <c r="S87" s="51">
        <f t="shared" si="32"/>
        <v>0</v>
      </c>
      <c r="T87" s="51">
        <f t="shared" si="32"/>
        <v>0</v>
      </c>
      <c r="U87" s="51">
        <f t="shared" si="32"/>
        <v>0</v>
      </c>
      <c r="V87" s="51">
        <f t="shared" si="32"/>
        <v>0</v>
      </c>
      <c r="W87" s="51">
        <f t="shared" si="32"/>
        <v>0</v>
      </c>
      <c r="X87" s="51">
        <f>AVERAGE(10,10,10,10)</f>
        <v>10</v>
      </c>
      <c r="Y87" s="51">
        <f>AVERAGE(10,10,10,10)</f>
        <v>10</v>
      </c>
      <c r="Z87" s="51">
        <f>AVERAGE(25,25,25,25)</f>
        <v>25</v>
      </c>
      <c r="AA87" s="51">
        <f>AVERAGE(0,0,0,0)</f>
        <v>0</v>
      </c>
      <c r="AB87" s="51">
        <f t="shared" si="31"/>
        <v>0</v>
      </c>
      <c r="AC87" s="51">
        <f t="shared" si="31"/>
        <v>0</v>
      </c>
      <c r="AD87" s="51">
        <f>AVERAGE(10,10,10,10)</f>
        <v>10</v>
      </c>
      <c r="AE87" s="51">
        <f>AVERAGE(15,15,15,15)</f>
        <v>15</v>
      </c>
      <c r="AF87" s="51">
        <f>AVERAGE(20,20,20,20)</f>
        <v>20</v>
      </c>
      <c r="AG87" s="51"/>
      <c r="AH87" s="51"/>
      <c r="AI87" s="51"/>
      <c r="AJ87" s="51"/>
      <c r="AK87" s="51"/>
      <c r="AL87" s="51"/>
    </row>
    <row r="88" spans="1:38" s="48" customFormat="1" ht="14.25" customHeight="1" x14ac:dyDescent="0.25">
      <c r="A88" s="50" t="s">
        <v>213</v>
      </c>
      <c r="B88" s="51"/>
      <c r="C88" s="51"/>
      <c r="D88" s="51"/>
      <c r="E88" s="51">
        <v>124.9</v>
      </c>
      <c r="F88" s="51">
        <v>51</v>
      </c>
      <c r="G88" s="51">
        <v>6.28</v>
      </c>
      <c r="H88" s="51"/>
      <c r="I88" s="51"/>
      <c r="J88" s="56">
        <f>1/(AVERAGE(2.05,1.89,2.39,2.13,1.26,2.36,1.47,2.09,2.09))</f>
        <v>0.50761421319796951</v>
      </c>
      <c r="K88" s="53">
        <f>AVERAGE(4,2)</f>
        <v>3</v>
      </c>
      <c r="L88" s="51">
        <v>1.07</v>
      </c>
      <c r="M88" s="53">
        <f>AVERAGE(23,1.07,23)</f>
        <v>15.69</v>
      </c>
      <c r="N88" s="51">
        <f>AVERAGE(18,18,18,18)</f>
        <v>18</v>
      </c>
      <c r="O88" s="54">
        <v>4.9000000000000004</v>
      </c>
      <c r="P88" s="51">
        <f t="shared" si="34"/>
        <v>100</v>
      </c>
      <c r="Q88" s="51">
        <f t="shared" si="35"/>
        <v>0</v>
      </c>
      <c r="R88" s="51">
        <f t="shared" si="32"/>
        <v>0</v>
      </c>
      <c r="S88" s="51">
        <f t="shared" si="32"/>
        <v>0</v>
      </c>
      <c r="T88" s="51">
        <f t="shared" si="32"/>
        <v>0</v>
      </c>
      <c r="U88" s="51">
        <f t="shared" si="32"/>
        <v>0</v>
      </c>
      <c r="V88" s="51">
        <f t="shared" si="32"/>
        <v>0</v>
      </c>
      <c r="W88" s="51">
        <f t="shared" si="32"/>
        <v>0</v>
      </c>
      <c r="X88" s="51">
        <f>AVERAGE(5,5,5,5)</f>
        <v>5</v>
      </c>
      <c r="Y88" s="51">
        <f>AVERAGE(10,10,10,10)</f>
        <v>10</v>
      </c>
      <c r="Z88" s="51">
        <f>AVERAGE(30,30,30,30)</f>
        <v>30</v>
      </c>
      <c r="AA88" s="51">
        <f>AVERAGE(0,0,0,0)</f>
        <v>0</v>
      </c>
      <c r="AB88" s="51">
        <f t="shared" si="31"/>
        <v>0</v>
      </c>
      <c r="AC88" s="51">
        <f t="shared" si="31"/>
        <v>0</v>
      </c>
      <c r="AD88" s="51">
        <f>AVERAGE(15,15,15,15)</f>
        <v>15</v>
      </c>
      <c r="AE88" s="51">
        <f>AVERAGE(20,20,20,20)</f>
        <v>20</v>
      </c>
      <c r="AF88" s="51">
        <f>AVERAGE(5,5,5,5)</f>
        <v>5</v>
      </c>
      <c r="AG88" s="51"/>
      <c r="AH88" s="51"/>
      <c r="AI88" s="51"/>
      <c r="AJ88" s="51"/>
      <c r="AK88" s="51"/>
      <c r="AL88" s="51"/>
    </row>
    <row r="89" spans="1:38" s="48" customFormat="1" ht="14.25" customHeight="1" x14ac:dyDescent="0.25">
      <c r="A89" s="50" t="s">
        <v>214</v>
      </c>
      <c r="B89" s="51"/>
      <c r="C89" s="51"/>
      <c r="D89" s="51"/>
      <c r="E89" s="51">
        <v>116.4</v>
      </c>
      <c r="F89" s="51">
        <v>40</v>
      </c>
      <c r="G89" s="51">
        <v>6.3</v>
      </c>
      <c r="H89" s="51"/>
      <c r="I89" s="51"/>
      <c r="J89" s="56">
        <f>1/(AVERAGE(1.69,3.19,2.54,2.61,2.13,2.03,1.91,3.38,1.97,1.32))</f>
        <v>0.43917435221783052</v>
      </c>
      <c r="K89" s="53">
        <f>AVERAGE(4,3)</f>
        <v>3.5</v>
      </c>
      <c r="L89" s="51">
        <v>90</v>
      </c>
      <c r="M89" s="53">
        <f>AVERAGE(65,90,15)</f>
        <v>56.666666666666664</v>
      </c>
      <c r="N89" s="51">
        <f>AVERAGE(12,12,12,12)</f>
        <v>12</v>
      </c>
      <c r="O89" s="54">
        <v>5.8</v>
      </c>
      <c r="P89" s="51">
        <f t="shared" si="34"/>
        <v>100</v>
      </c>
      <c r="Q89" s="51">
        <f t="shared" si="35"/>
        <v>0</v>
      </c>
      <c r="R89" s="51">
        <f t="shared" si="32"/>
        <v>0</v>
      </c>
      <c r="S89" s="51">
        <f t="shared" si="32"/>
        <v>0</v>
      </c>
      <c r="T89" s="51">
        <f t="shared" si="32"/>
        <v>0</v>
      </c>
      <c r="U89" s="51">
        <f t="shared" si="32"/>
        <v>0</v>
      </c>
      <c r="V89" s="51">
        <f t="shared" si="32"/>
        <v>0</v>
      </c>
      <c r="W89" s="51">
        <f t="shared" si="32"/>
        <v>0</v>
      </c>
      <c r="X89" s="51">
        <f>AVERAGE(5,5,5,5)</f>
        <v>5</v>
      </c>
      <c r="Y89" s="51">
        <f>AVERAGE(15,15,15,15)</f>
        <v>15</v>
      </c>
      <c r="Z89" s="51">
        <f>AVERAGE(15,15,15,15)</f>
        <v>15</v>
      </c>
      <c r="AA89" s="51">
        <f>AVERAGE(0,0,0,0)</f>
        <v>0</v>
      </c>
      <c r="AB89" s="51">
        <f t="shared" si="31"/>
        <v>0</v>
      </c>
      <c r="AC89" s="51">
        <f t="shared" si="31"/>
        <v>0</v>
      </c>
      <c r="AD89" s="51">
        <f>AVERAGE(15,15,15,15)</f>
        <v>15</v>
      </c>
      <c r="AE89" s="51">
        <f>AVERAGE(0,0,0,0)</f>
        <v>0</v>
      </c>
      <c r="AF89" s="51">
        <f>AVERAGE(5,5,5,5)</f>
        <v>5</v>
      </c>
      <c r="AG89" s="51"/>
      <c r="AH89" s="51"/>
      <c r="AI89" s="51"/>
      <c r="AJ89" s="51"/>
      <c r="AK89" s="51"/>
      <c r="AL89" s="51"/>
    </row>
    <row r="90" spans="1:38" s="48" customFormat="1" ht="14.25" customHeight="1" x14ac:dyDescent="0.25">
      <c r="A90" s="50" t="s">
        <v>215</v>
      </c>
      <c r="B90" s="51"/>
      <c r="C90" s="51"/>
      <c r="D90" s="51"/>
      <c r="E90" s="51">
        <v>119.5</v>
      </c>
      <c r="F90" s="51">
        <v>41</v>
      </c>
      <c r="G90" s="51">
        <v>6.35</v>
      </c>
      <c r="H90" s="51"/>
      <c r="I90" s="51"/>
      <c r="J90" s="56">
        <f>1/(AVERAGE(7.9,5.89,9.35,7.29,6.91))</f>
        <v>0.13390465988216388</v>
      </c>
      <c r="K90" s="53">
        <f>AVERAGE(1,1)</f>
        <v>1</v>
      </c>
      <c r="L90" s="51">
        <v>81</v>
      </c>
      <c r="M90" s="53">
        <f>AVERAGE(76,81,21,)</f>
        <v>44.5</v>
      </c>
      <c r="N90" s="51">
        <f>AVERAGE(23,23,23,23)</f>
        <v>23</v>
      </c>
      <c r="O90" s="54">
        <v>20.2</v>
      </c>
      <c r="P90" s="51">
        <f t="shared" si="34"/>
        <v>100</v>
      </c>
      <c r="Q90" s="51">
        <f t="shared" si="35"/>
        <v>0</v>
      </c>
      <c r="R90" s="51">
        <f t="shared" ref="R90:V98" si="36">AVERAGE(0,0,0,0)</f>
        <v>0</v>
      </c>
      <c r="S90" s="51">
        <f t="shared" si="36"/>
        <v>0</v>
      </c>
      <c r="T90" s="51">
        <f t="shared" si="36"/>
        <v>0</v>
      </c>
      <c r="U90" s="51">
        <f t="shared" si="36"/>
        <v>0</v>
      </c>
      <c r="V90" s="51">
        <f t="shared" si="36"/>
        <v>0</v>
      </c>
      <c r="W90" s="51">
        <f>AVERAGE(10,10,10,10)</f>
        <v>10</v>
      </c>
      <c r="X90" s="51">
        <f>AVERAGE(10,10,10,10)</f>
        <v>10</v>
      </c>
      <c r="Y90" s="51">
        <f>AVERAGE(20,20,20,20)</f>
        <v>20</v>
      </c>
      <c r="Z90" s="51">
        <f>AVERAGE(0,0,0,0)</f>
        <v>0</v>
      </c>
      <c r="AA90" s="51">
        <f>AVERAGE(0,0,0,0)</f>
        <v>0</v>
      </c>
      <c r="AB90" s="51">
        <f t="shared" si="31"/>
        <v>0</v>
      </c>
      <c r="AC90" s="51">
        <f t="shared" si="31"/>
        <v>0</v>
      </c>
      <c r="AD90" s="51">
        <f>AVERAGE(0,0,0,0)</f>
        <v>0</v>
      </c>
      <c r="AE90" s="51">
        <f>AVERAGE(0,0,0,0)</f>
        <v>0</v>
      </c>
      <c r="AF90" s="51">
        <f>AVERAGE(0,0,0,0)</f>
        <v>0</v>
      </c>
      <c r="AG90" s="51"/>
      <c r="AH90" s="51"/>
      <c r="AI90" s="51"/>
      <c r="AJ90" s="51"/>
      <c r="AK90" s="51"/>
      <c r="AL90" s="51"/>
    </row>
    <row r="91" spans="1:38" s="48" customFormat="1" ht="14.25" customHeight="1" x14ac:dyDescent="0.25">
      <c r="A91" s="50" t="s">
        <v>216</v>
      </c>
      <c r="B91" s="51"/>
      <c r="C91" s="51"/>
      <c r="D91" s="51"/>
      <c r="E91" s="51">
        <v>104.9</v>
      </c>
      <c r="F91" s="51">
        <v>42</v>
      </c>
      <c r="G91" s="51">
        <v>6.25</v>
      </c>
      <c r="H91" s="51"/>
      <c r="I91" s="51"/>
      <c r="J91" s="56">
        <f>1/(AVERAGE(18.18,21.37,15.68,19.07))</f>
        <v>5.3835800807537013E-2</v>
      </c>
      <c r="K91" s="53">
        <f>AVERAGE(1,1)</f>
        <v>1</v>
      </c>
      <c r="L91" s="51">
        <v>82</v>
      </c>
      <c r="M91" s="53">
        <f>AVERAGE(16,82,38)</f>
        <v>45.333333333333336</v>
      </c>
      <c r="N91" s="51">
        <f>AVERAGE(12,12,12,12)</f>
        <v>12</v>
      </c>
      <c r="O91" s="54">
        <v>34.6</v>
      </c>
      <c r="P91" s="51">
        <f t="shared" si="34"/>
        <v>100</v>
      </c>
      <c r="Q91" s="51">
        <f t="shared" si="35"/>
        <v>0</v>
      </c>
      <c r="R91" s="51">
        <f t="shared" si="36"/>
        <v>0</v>
      </c>
      <c r="S91" s="51">
        <f t="shared" si="36"/>
        <v>0</v>
      </c>
      <c r="T91" s="51">
        <f t="shared" si="36"/>
        <v>0</v>
      </c>
      <c r="U91" s="51">
        <f t="shared" si="36"/>
        <v>0</v>
      </c>
      <c r="V91" s="51">
        <f t="shared" si="36"/>
        <v>0</v>
      </c>
      <c r="W91" s="51">
        <f t="shared" ref="W91:W98" si="37">AVERAGE(0,0,0,0)</f>
        <v>0</v>
      </c>
      <c r="X91" s="51">
        <f>AVERAGE(5,5,5,5)</f>
        <v>5</v>
      </c>
      <c r="Y91" s="51">
        <f>AVERAGE(10,10,10,10)</f>
        <v>10</v>
      </c>
      <c r="Z91" s="51">
        <f>AVERAGE(50,50,50,50)</f>
        <v>50</v>
      </c>
      <c r="AA91" s="51">
        <f>AVERAGE(10,10,10,10)</f>
        <v>10</v>
      </c>
      <c r="AB91" s="51">
        <f t="shared" si="31"/>
        <v>0</v>
      </c>
      <c r="AC91" s="51">
        <f t="shared" si="31"/>
        <v>0</v>
      </c>
      <c r="AD91" s="51">
        <f>AVERAGE(5,5,5,5)</f>
        <v>5</v>
      </c>
      <c r="AE91" s="51">
        <f>AVERAGE(15,15,15,15)</f>
        <v>15</v>
      </c>
      <c r="AF91" s="51">
        <f>AVERAGE(15,15,15,15)</f>
        <v>15</v>
      </c>
      <c r="AG91" s="51"/>
      <c r="AH91" s="51"/>
      <c r="AI91" s="51"/>
      <c r="AJ91" s="51"/>
      <c r="AK91" s="51"/>
      <c r="AL91" s="51"/>
    </row>
    <row r="92" spans="1:38" s="48" customFormat="1" ht="14.25" customHeight="1" x14ac:dyDescent="0.25">
      <c r="A92" s="50" t="s">
        <v>217</v>
      </c>
      <c r="B92" s="51"/>
      <c r="C92" s="51"/>
      <c r="D92" s="51"/>
      <c r="E92" s="51">
        <v>100.8</v>
      </c>
      <c r="F92" s="51">
        <v>64</v>
      </c>
      <c r="G92" s="51">
        <v>6.05</v>
      </c>
      <c r="H92" s="51"/>
      <c r="I92" s="51"/>
      <c r="J92" s="56">
        <f>1/(AVERAGE(18.18,21.37,15.68,19.07))</f>
        <v>5.3835800807537013E-2</v>
      </c>
      <c r="K92" s="53">
        <f>AVERAGE(1,1)</f>
        <v>1</v>
      </c>
      <c r="L92" s="51">
        <v>28</v>
      </c>
      <c r="M92" s="53">
        <f>AVERAGE(12,28,14)</f>
        <v>18</v>
      </c>
      <c r="N92" s="51">
        <f>AVERAGE(9,9,9,9)</f>
        <v>9</v>
      </c>
      <c r="O92" s="54">
        <v>34.6</v>
      </c>
      <c r="P92" s="51">
        <f t="shared" si="34"/>
        <v>100</v>
      </c>
      <c r="Q92" s="51">
        <f t="shared" si="35"/>
        <v>0</v>
      </c>
      <c r="R92" s="51">
        <f t="shared" si="36"/>
        <v>0</v>
      </c>
      <c r="S92" s="51">
        <f t="shared" si="36"/>
        <v>0</v>
      </c>
      <c r="T92" s="51">
        <f t="shared" si="36"/>
        <v>0</v>
      </c>
      <c r="U92" s="51">
        <f t="shared" si="36"/>
        <v>0</v>
      </c>
      <c r="V92" s="51">
        <f t="shared" si="36"/>
        <v>0</v>
      </c>
      <c r="W92" s="51">
        <f t="shared" si="37"/>
        <v>0</v>
      </c>
      <c r="X92" s="51">
        <f>AVERAGE(5,5,5,5)</f>
        <v>5</v>
      </c>
      <c r="Y92" s="51">
        <f>AVERAGE(10,10,10,10)</f>
        <v>10</v>
      </c>
      <c r="Z92" s="51">
        <f>AVERAGE(70,70,70,70)</f>
        <v>70</v>
      </c>
      <c r="AA92" s="51">
        <f>AVERAGE(10,10,10,10)</f>
        <v>10</v>
      </c>
      <c r="AB92" s="51">
        <f t="shared" si="31"/>
        <v>0</v>
      </c>
      <c r="AC92" s="51">
        <f t="shared" si="31"/>
        <v>0</v>
      </c>
      <c r="AD92" s="51">
        <f>AVERAGE(5,5,5,5)</f>
        <v>5</v>
      </c>
      <c r="AE92" s="51">
        <f>AVERAGE(15,15,15,15)</f>
        <v>15</v>
      </c>
      <c r="AF92" s="51">
        <f>AVERAGE(15,15,15,15)</f>
        <v>15</v>
      </c>
      <c r="AG92" s="51"/>
      <c r="AH92" s="51"/>
      <c r="AI92" s="51"/>
      <c r="AJ92" s="51"/>
      <c r="AK92" s="51"/>
      <c r="AL92" s="51"/>
    </row>
    <row r="93" spans="1:38" s="48" customFormat="1" ht="14.25" customHeight="1" x14ac:dyDescent="0.25">
      <c r="A93" s="50" t="s">
        <v>218</v>
      </c>
      <c r="B93" s="51"/>
      <c r="C93" s="51"/>
      <c r="D93" s="51"/>
      <c r="E93" s="47">
        <v>137</v>
      </c>
      <c r="F93" s="47">
        <v>14</v>
      </c>
      <c r="G93" s="47">
        <v>6.73</v>
      </c>
      <c r="H93" s="51"/>
      <c r="I93" s="51"/>
      <c r="J93" s="56">
        <f>1/(AVERAGE(2.82,2.86,2.42,2.34,3.13,2.45,2.15))</f>
        <v>0.38525041276829941</v>
      </c>
      <c r="K93" s="53">
        <f>AVERAGE(4,3)</f>
        <v>3.5</v>
      </c>
      <c r="L93" s="51">
        <v>48</v>
      </c>
      <c r="M93" s="53">
        <f>AVERAGE(37,48,37)</f>
        <v>40.666666666666664</v>
      </c>
      <c r="N93" s="51">
        <f>AVERAGE(30,30,30,30)</f>
        <v>30</v>
      </c>
      <c r="O93" s="54">
        <v>3.3</v>
      </c>
      <c r="P93" s="51">
        <f>AVERAGE(5,5,5,5)</f>
        <v>5</v>
      </c>
      <c r="Q93" s="51">
        <f>AVERAGE(95,95,95,95)</f>
        <v>95</v>
      </c>
      <c r="R93" s="51">
        <f t="shared" si="36"/>
        <v>0</v>
      </c>
      <c r="S93" s="51">
        <f t="shared" si="36"/>
        <v>0</v>
      </c>
      <c r="T93" s="51">
        <f t="shared" si="36"/>
        <v>0</v>
      </c>
      <c r="U93" s="51">
        <f t="shared" si="36"/>
        <v>0</v>
      </c>
      <c r="V93" s="51">
        <f t="shared" si="36"/>
        <v>0</v>
      </c>
      <c r="W93" s="51">
        <f t="shared" si="37"/>
        <v>0</v>
      </c>
      <c r="X93" s="51">
        <f t="shared" ref="X93:Y95" si="38">AVERAGE(0,0,0,0)</f>
        <v>0</v>
      </c>
      <c r="Y93" s="51">
        <f t="shared" si="38"/>
        <v>0</v>
      </c>
      <c r="Z93" s="51">
        <f>AVERAGE(70,70,70,70)</f>
        <v>70</v>
      </c>
      <c r="AA93" s="51">
        <f>AVERAGE(5,5,5,5)</f>
        <v>5</v>
      </c>
      <c r="AB93" s="51">
        <f t="shared" si="31"/>
        <v>0</v>
      </c>
      <c r="AC93" s="51">
        <f t="shared" si="31"/>
        <v>0</v>
      </c>
      <c r="AD93" s="51">
        <f>AVERAGE(5,5,5,5)</f>
        <v>5</v>
      </c>
      <c r="AE93" s="51">
        <f t="shared" ref="AE93:AF95" si="39">AVERAGE(0,0,0,0)</f>
        <v>0</v>
      </c>
      <c r="AF93" s="51">
        <f t="shared" si="39"/>
        <v>0</v>
      </c>
      <c r="AG93" s="51"/>
      <c r="AH93" s="51"/>
      <c r="AI93" s="51"/>
      <c r="AJ93" s="51"/>
      <c r="AK93" s="51"/>
      <c r="AL93" s="51"/>
    </row>
    <row r="94" spans="1:38" s="48" customFormat="1" ht="14.25" customHeight="1" x14ac:dyDescent="0.25">
      <c r="A94" s="50" t="s">
        <v>219</v>
      </c>
      <c r="B94" s="51"/>
      <c r="C94" s="51"/>
      <c r="D94" s="51"/>
      <c r="E94" s="47">
        <v>126.4</v>
      </c>
      <c r="F94" s="47">
        <v>12</v>
      </c>
      <c r="G94" s="47">
        <v>6.43</v>
      </c>
      <c r="H94" s="51"/>
      <c r="I94" s="51"/>
      <c r="J94" s="56">
        <f>1/(AVERAGE(2.31,1.88,2.74,2.3,2.34,2.59,2.23))</f>
        <v>0.42708968883465526</v>
      </c>
      <c r="K94" s="53">
        <f>AVERAGE(3,2)</f>
        <v>2.5</v>
      </c>
      <c r="L94" s="51">
        <v>74</v>
      </c>
      <c r="M94" s="53">
        <f>AVERAGE(59,74,59)</f>
        <v>64</v>
      </c>
      <c r="N94" s="51">
        <f>AVERAGE(53,53,53,53)</f>
        <v>53</v>
      </c>
      <c r="O94" s="54">
        <v>2.6</v>
      </c>
      <c r="P94" s="51">
        <f>AVERAGE(0,0,0,0)</f>
        <v>0</v>
      </c>
      <c r="Q94" s="51">
        <f>AVERAGE(100,100,100,100)</f>
        <v>100</v>
      </c>
      <c r="R94" s="51">
        <f t="shared" si="36"/>
        <v>0</v>
      </c>
      <c r="S94" s="51">
        <f t="shared" si="36"/>
        <v>0</v>
      </c>
      <c r="T94" s="51">
        <f t="shared" si="36"/>
        <v>0</v>
      </c>
      <c r="U94" s="51">
        <f t="shared" si="36"/>
        <v>0</v>
      </c>
      <c r="V94" s="51">
        <f t="shared" si="36"/>
        <v>0</v>
      </c>
      <c r="W94" s="51">
        <f t="shared" si="37"/>
        <v>0</v>
      </c>
      <c r="X94" s="51">
        <f t="shared" si="38"/>
        <v>0</v>
      </c>
      <c r="Y94" s="51">
        <f t="shared" si="38"/>
        <v>0</v>
      </c>
      <c r="Z94" s="51">
        <f>AVERAGE(50,50,50,50)</f>
        <v>50</v>
      </c>
      <c r="AA94" s="51">
        <f>AVERAGE(0,0,0,0)</f>
        <v>0</v>
      </c>
      <c r="AB94" s="51">
        <f t="shared" si="31"/>
        <v>0</v>
      </c>
      <c r="AC94" s="51">
        <f t="shared" si="31"/>
        <v>0</v>
      </c>
      <c r="AD94" s="51">
        <f>AVERAGE(10,10,10,10)</f>
        <v>10</v>
      </c>
      <c r="AE94" s="51">
        <f t="shared" si="39"/>
        <v>0</v>
      </c>
      <c r="AF94" s="51">
        <f t="shared" si="39"/>
        <v>0</v>
      </c>
      <c r="AG94" s="51"/>
      <c r="AH94" s="51"/>
      <c r="AI94" s="51"/>
      <c r="AJ94" s="51"/>
      <c r="AK94" s="51"/>
      <c r="AL94" s="51"/>
    </row>
    <row r="95" spans="1:38" s="48" customFormat="1" ht="14.25" customHeight="1" x14ac:dyDescent="0.25">
      <c r="A95" s="50" t="s">
        <v>220</v>
      </c>
      <c r="B95" s="51"/>
      <c r="C95" s="51"/>
      <c r="D95" s="51"/>
      <c r="E95" s="47">
        <v>124.8</v>
      </c>
      <c r="F95" s="47">
        <v>11</v>
      </c>
      <c r="G95" s="47">
        <v>6.99</v>
      </c>
      <c r="H95" s="51"/>
      <c r="I95" s="51"/>
      <c r="J95" s="56">
        <f>1/(AVERAGE(1.95,1.72,1.91,1.51,1.85,1.92,1.7))</f>
        <v>0.55732484076433131</v>
      </c>
      <c r="K95" s="53">
        <f>AVERAGE(3,2)</f>
        <v>2.5</v>
      </c>
      <c r="L95" s="51">
        <v>79</v>
      </c>
      <c r="M95" s="53">
        <f>AVERAGE(54,79,30)</f>
        <v>54.333333333333336</v>
      </c>
      <c r="N95" s="51">
        <f>AVERAGE(57,57,57,57)</f>
        <v>57</v>
      </c>
      <c r="O95" s="54">
        <v>1.4</v>
      </c>
      <c r="P95" s="51">
        <f>AVERAGE(5,5,5,5)</f>
        <v>5</v>
      </c>
      <c r="Q95" s="51">
        <f>AVERAGE(95,95,95,95)</f>
        <v>95</v>
      </c>
      <c r="R95" s="51">
        <f t="shared" si="36"/>
        <v>0</v>
      </c>
      <c r="S95" s="51">
        <f t="shared" si="36"/>
        <v>0</v>
      </c>
      <c r="T95" s="51">
        <f t="shared" si="36"/>
        <v>0</v>
      </c>
      <c r="U95" s="51">
        <f t="shared" si="36"/>
        <v>0</v>
      </c>
      <c r="V95" s="51">
        <f t="shared" si="36"/>
        <v>0</v>
      </c>
      <c r="W95" s="51">
        <f t="shared" si="37"/>
        <v>0</v>
      </c>
      <c r="X95" s="51">
        <f t="shared" si="38"/>
        <v>0</v>
      </c>
      <c r="Y95" s="51">
        <f t="shared" si="38"/>
        <v>0</v>
      </c>
      <c r="Z95" s="51">
        <f>AVERAGE(70,70,70,70)</f>
        <v>70</v>
      </c>
      <c r="AA95" s="51">
        <f>AVERAGE(5,5,5,5)</f>
        <v>5</v>
      </c>
      <c r="AB95" s="51">
        <f t="shared" si="31"/>
        <v>0</v>
      </c>
      <c r="AC95" s="51">
        <f t="shared" si="31"/>
        <v>0</v>
      </c>
      <c r="AD95" s="51">
        <f>AVERAGE(5,5,5,5)</f>
        <v>5</v>
      </c>
      <c r="AE95" s="51">
        <f t="shared" si="39"/>
        <v>0</v>
      </c>
      <c r="AF95" s="51">
        <f t="shared" si="39"/>
        <v>0</v>
      </c>
      <c r="AG95" s="51"/>
      <c r="AH95" s="51"/>
      <c r="AI95" s="51"/>
      <c r="AJ95" s="51"/>
      <c r="AK95" s="51"/>
      <c r="AL95" s="51"/>
    </row>
    <row r="96" spans="1:38" s="48" customFormat="1" ht="14.25" customHeight="1" x14ac:dyDescent="0.25">
      <c r="A96" s="50" t="s">
        <v>221</v>
      </c>
      <c r="B96" s="51"/>
      <c r="C96" s="51"/>
      <c r="D96" s="51"/>
      <c r="E96" s="47">
        <v>125.9</v>
      </c>
      <c r="F96" s="47">
        <v>9</v>
      </c>
      <c r="G96" s="47">
        <v>6.67</v>
      </c>
      <c r="H96" s="51"/>
      <c r="I96" s="51"/>
      <c r="J96" s="56">
        <f>1/(AVERAGE(4.23,4.63,3.6,4.04,3.41,4.48,3.28,5.15,3.28,3.44))</f>
        <v>0.25290844714213456</v>
      </c>
      <c r="K96" s="53">
        <f>AVERAGE(2,2)</f>
        <v>2</v>
      </c>
      <c r="L96" s="51">
        <v>98</v>
      </c>
      <c r="M96" s="53">
        <f>AVERAGE(1,98,54)</f>
        <v>51</v>
      </c>
      <c r="N96" s="51">
        <f>AVERAGE(57,57,57,57)</f>
        <v>57</v>
      </c>
      <c r="O96" s="54">
        <v>3.5</v>
      </c>
      <c r="P96" s="51">
        <f>AVERAGE(5,5,5,5)</f>
        <v>5</v>
      </c>
      <c r="Q96" s="51">
        <f>AVERAGE(95,95,95,95)</f>
        <v>95</v>
      </c>
      <c r="R96" s="51">
        <f t="shared" si="36"/>
        <v>0</v>
      </c>
      <c r="S96" s="51">
        <f t="shared" si="36"/>
        <v>0</v>
      </c>
      <c r="T96" s="51">
        <f t="shared" si="36"/>
        <v>0</v>
      </c>
      <c r="U96" s="51">
        <f t="shared" si="36"/>
        <v>0</v>
      </c>
      <c r="V96" s="51">
        <f t="shared" si="36"/>
        <v>0</v>
      </c>
      <c r="W96" s="51">
        <f t="shared" si="37"/>
        <v>0</v>
      </c>
      <c r="X96" s="51">
        <f>AVERAGE(0,0,0,0)</f>
        <v>0</v>
      </c>
      <c r="Y96" s="51">
        <f>AVERAGE(5,5,5,5)</f>
        <v>5</v>
      </c>
      <c r="Z96" s="51">
        <f>AVERAGE(40,40,40,40)</f>
        <v>40</v>
      </c>
      <c r="AA96" s="51">
        <f>AVERAGE(0,0,0,0)</f>
        <v>0</v>
      </c>
      <c r="AB96" s="51">
        <f t="shared" si="31"/>
        <v>0</v>
      </c>
      <c r="AC96" s="51">
        <f t="shared" si="31"/>
        <v>0</v>
      </c>
      <c r="AD96" s="51">
        <f>AVERAGE(10,10,10,10)</f>
        <v>10</v>
      </c>
      <c r="AE96" s="51">
        <f>AVERAGE(10,10,10,10)</f>
        <v>10</v>
      </c>
      <c r="AF96" s="51">
        <f>AVERAGE(0,0,0,0)</f>
        <v>0</v>
      </c>
      <c r="AG96" s="51"/>
      <c r="AH96" s="51"/>
      <c r="AI96" s="51"/>
      <c r="AJ96" s="51"/>
      <c r="AK96" s="51"/>
      <c r="AL96" s="51"/>
    </row>
    <row r="97" spans="1:38" s="48" customFormat="1" ht="14.25" customHeight="1" x14ac:dyDescent="0.25">
      <c r="A97" s="50" t="s">
        <v>222</v>
      </c>
      <c r="B97" s="51"/>
      <c r="C97" s="51"/>
      <c r="D97" s="51"/>
      <c r="E97" s="47">
        <v>139.6</v>
      </c>
      <c r="F97" s="47">
        <v>8</v>
      </c>
      <c r="G97" s="47">
        <v>7.45</v>
      </c>
      <c r="H97" s="51"/>
      <c r="I97" s="51"/>
      <c r="J97" s="56">
        <f>1/(AVERAGE(3.85,4.75,3.66,3.62,4.02,2.14,3.54,3.32,2.45,3.28))</f>
        <v>0.28876696505919724</v>
      </c>
      <c r="K97" s="53">
        <f>AVERAGE(2,2)</f>
        <v>2</v>
      </c>
      <c r="L97" s="46">
        <v>77</v>
      </c>
      <c r="M97" s="53">
        <f>AVERAGE(56,77,56)</f>
        <v>63</v>
      </c>
      <c r="N97" s="51">
        <f>AVERAGE(35,35,35,35)</f>
        <v>35</v>
      </c>
      <c r="O97" s="54">
        <v>2.4</v>
      </c>
      <c r="P97" s="51">
        <f>AVERAGE(5,5,5,5)</f>
        <v>5</v>
      </c>
      <c r="Q97" s="51">
        <f>AVERAGE(95,95,95,95)</f>
        <v>95</v>
      </c>
      <c r="R97" s="51">
        <f t="shared" si="36"/>
        <v>0</v>
      </c>
      <c r="S97" s="51">
        <f t="shared" si="36"/>
        <v>0</v>
      </c>
      <c r="T97" s="51">
        <f t="shared" si="36"/>
        <v>0</v>
      </c>
      <c r="U97" s="51">
        <f t="shared" si="36"/>
        <v>0</v>
      </c>
      <c r="V97" s="51">
        <f t="shared" si="36"/>
        <v>0</v>
      </c>
      <c r="W97" s="51">
        <f t="shared" si="37"/>
        <v>0</v>
      </c>
      <c r="X97" s="51">
        <f>AVERAGE(0,0,0,0)</f>
        <v>0</v>
      </c>
      <c r="Y97" s="51">
        <f>AVERAGE(0,0,0,0)</f>
        <v>0</v>
      </c>
      <c r="Z97" s="51">
        <f>AVERAGE(80,80,80,80)</f>
        <v>80</v>
      </c>
      <c r="AA97" s="51">
        <f>AVERAGE(5,5,5,5)</f>
        <v>5</v>
      </c>
      <c r="AB97" s="51">
        <f t="shared" si="31"/>
        <v>0</v>
      </c>
      <c r="AC97" s="51">
        <f t="shared" si="31"/>
        <v>0</v>
      </c>
      <c r="AD97" s="51">
        <f>AVERAGE(15,15,15,15)</f>
        <v>15</v>
      </c>
      <c r="AE97" s="51">
        <f>AVERAGE(5,5,5,5)</f>
        <v>5</v>
      </c>
      <c r="AF97" s="51">
        <f>AVERAGE(0,0,0,0)</f>
        <v>0</v>
      </c>
      <c r="AG97" s="51"/>
      <c r="AH97" s="51"/>
      <c r="AI97" s="51"/>
      <c r="AJ97" s="51"/>
      <c r="AK97" s="51"/>
      <c r="AL97" s="51"/>
    </row>
    <row r="98" spans="1:38" s="48" customFormat="1" ht="14.25" customHeight="1" x14ac:dyDescent="0.25">
      <c r="A98" s="50" t="s">
        <v>223</v>
      </c>
      <c r="B98" s="51"/>
      <c r="C98" s="51"/>
      <c r="D98" s="51"/>
      <c r="E98" s="47">
        <v>136.80000000000001</v>
      </c>
      <c r="F98" s="47">
        <v>13</v>
      </c>
      <c r="G98" s="47">
        <v>7.19</v>
      </c>
      <c r="H98" s="51"/>
      <c r="I98" s="51"/>
      <c r="J98" s="56">
        <f>1/(AVERAGE(2.69,2.55,2.81,2.12,3.11,3.16,2.48))</f>
        <v>0.36997885835095129</v>
      </c>
      <c r="K98" s="53">
        <f>AVERAGE(3,3)</f>
        <v>3</v>
      </c>
      <c r="L98" s="46">
        <v>55</v>
      </c>
      <c r="M98" s="53">
        <f>AVERAGE(37,55,37)</f>
        <v>43</v>
      </c>
      <c r="N98" s="51">
        <f>AVERAGE(20,20,20,20)</f>
        <v>20</v>
      </c>
      <c r="O98" s="54">
        <v>2.9</v>
      </c>
      <c r="P98" s="51">
        <f>AVERAGE(90,90,90,90)</f>
        <v>90</v>
      </c>
      <c r="Q98" s="51">
        <f>AVERAGE(10,10,10,10)</f>
        <v>10</v>
      </c>
      <c r="R98" s="51">
        <f t="shared" si="36"/>
        <v>0</v>
      </c>
      <c r="S98" s="51">
        <f t="shared" si="36"/>
        <v>0</v>
      </c>
      <c r="T98" s="51">
        <f t="shared" si="36"/>
        <v>0</v>
      </c>
      <c r="U98" s="51">
        <f t="shared" si="36"/>
        <v>0</v>
      </c>
      <c r="V98" s="51">
        <f t="shared" si="36"/>
        <v>0</v>
      </c>
      <c r="W98" s="51">
        <f t="shared" si="37"/>
        <v>0</v>
      </c>
      <c r="X98" s="51">
        <f>AVERAGE(0,0,0,0)</f>
        <v>0</v>
      </c>
      <c r="Y98" s="51">
        <f>AVERAGE(0,0,0,0)</f>
        <v>0</v>
      </c>
      <c r="Z98" s="51">
        <f>AVERAGE(80,80,80,80)</f>
        <v>80</v>
      </c>
      <c r="AA98" s="51">
        <f>AVERAGE(0,0,0,0)</f>
        <v>0</v>
      </c>
      <c r="AB98" s="51">
        <f t="shared" si="31"/>
        <v>0</v>
      </c>
      <c r="AC98" s="51">
        <f t="shared" si="31"/>
        <v>0</v>
      </c>
      <c r="AD98" s="51">
        <f>AVERAGE(15,15,15,15)</f>
        <v>15</v>
      </c>
      <c r="AE98" s="51">
        <f>AVERAGE(15,15,15,15)</f>
        <v>15</v>
      </c>
      <c r="AF98" s="51">
        <f>AVERAGE(0,0,0,0)</f>
        <v>0</v>
      </c>
      <c r="AG98" s="51"/>
      <c r="AH98" s="51"/>
      <c r="AI98" s="51"/>
      <c r="AJ98" s="51"/>
      <c r="AK98" s="51"/>
      <c r="AL98" s="51"/>
    </row>
    <row r="99" spans="1:38" s="48" customFormat="1" ht="14.25" customHeight="1" x14ac:dyDescent="0.25">
      <c r="A99" s="46"/>
      <c r="B99" s="46"/>
      <c r="C99" s="46"/>
      <c r="D99" s="46"/>
      <c r="E99" s="47"/>
      <c r="F99" s="47"/>
      <c r="G99" s="47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</row>
    <row r="100" spans="1:38" s="48" customFormat="1" ht="14.25" customHeight="1" x14ac:dyDescent="0.25">
      <c r="A100" s="46"/>
      <c r="B100" s="46"/>
      <c r="C100" s="46"/>
      <c r="D100" s="46"/>
      <c r="E100" s="47"/>
      <c r="F100" s="47"/>
      <c r="G100" s="47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</row>
    <row r="101" spans="1:38" s="48" customFormat="1" ht="14.25" customHeight="1" x14ac:dyDescent="0.25">
      <c r="A101" s="46"/>
      <c r="B101" s="46"/>
      <c r="C101" s="46"/>
      <c r="D101" s="46"/>
      <c r="E101" s="47"/>
      <c r="F101" s="47"/>
      <c r="G101" s="47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</row>
    <row r="102" spans="1:38" s="48" customFormat="1" ht="14.25" customHeight="1" x14ac:dyDescent="0.25">
      <c r="A102" s="46"/>
      <c r="B102" s="46"/>
      <c r="C102" s="46"/>
      <c r="D102" s="46"/>
      <c r="E102" s="47"/>
      <c r="F102" s="47"/>
      <c r="G102" s="47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</row>
    <row r="103" spans="1:38" s="48" customFormat="1" ht="14.25" customHeight="1" x14ac:dyDescent="0.25">
      <c r="A103" s="46"/>
      <c r="B103" s="46"/>
      <c r="C103" s="46"/>
      <c r="D103" s="46"/>
      <c r="E103" s="47"/>
      <c r="F103" s="47"/>
      <c r="G103" s="47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</row>
    <row r="104" spans="1:38" s="48" customFormat="1" ht="14.25" customHeight="1" x14ac:dyDescent="0.25">
      <c r="A104" s="46"/>
      <c r="B104" s="46"/>
      <c r="C104" s="46"/>
      <c r="D104" s="46"/>
      <c r="E104" s="47"/>
      <c r="F104" s="47"/>
      <c r="G104" s="47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</row>
    <row r="105" spans="1:38" s="48" customFormat="1" ht="14.25" customHeight="1" x14ac:dyDescent="0.25">
      <c r="A105" s="46"/>
      <c r="B105" s="46"/>
      <c r="C105" s="46"/>
      <c r="D105" s="46"/>
      <c r="E105" s="47"/>
      <c r="F105" s="47"/>
      <c r="G105" s="47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</row>
    <row r="106" spans="1:38" s="48" customFormat="1" ht="14.25" customHeight="1" x14ac:dyDescent="0.25">
      <c r="A106" s="46"/>
      <c r="B106" s="46"/>
      <c r="C106" s="46"/>
      <c r="D106" s="46"/>
      <c r="E106" s="47"/>
      <c r="F106" s="47"/>
      <c r="G106" s="47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</row>
    <row r="107" spans="1:38" s="48" customFormat="1" ht="14.25" customHeight="1" x14ac:dyDescent="0.25">
      <c r="A107" s="46"/>
      <c r="B107" s="46"/>
      <c r="C107" s="46"/>
      <c r="D107" s="46"/>
      <c r="E107" s="47"/>
      <c r="F107" s="47"/>
      <c r="G107" s="47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</row>
    <row r="108" spans="1:38" s="48" customFormat="1" ht="14.25" customHeight="1" x14ac:dyDescent="0.25">
      <c r="A108" s="46"/>
      <c r="B108" s="46"/>
      <c r="C108" s="46"/>
      <c r="D108" s="46"/>
      <c r="E108" s="47"/>
      <c r="F108" s="47"/>
      <c r="G108" s="47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</row>
    <row r="109" spans="1:38" s="48" customFormat="1" ht="14.25" customHeight="1" x14ac:dyDescent="0.25">
      <c r="A109" s="46"/>
      <c r="B109" s="46"/>
      <c r="C109" s="46"/>
      <c r="D109" s="46"/>
      <c r="E109" s="47"/>
      <c r="F109" s="47"/>
      <c r="G109" s="47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</row>
    <row r="110" spans="1:38" s="48" customFormat="1" ht="14.25" customHeight="1" x14ac:dyDescent="0.25">
      <c r="A110" s="46"/>
      <c r="B110" s="46"/>
      <c r="C110" s="46"/>
      <c r="D110" s="46"/>
      <c r="E110" s="47"/>
      <c r="F110" s="47"/>
      <c r="G110" s="47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</row>
    <row r="111" spans="1:38" s="48" customFormat="1" ht="14.25" customHeight="1" x14ac:dyDescent="0.25">
      <c r="A111" s="46"/>
      <c r="B111" s="46"/>
      <c r="C111" s="46"/>
      <c r="D111" s="46"/>
      <c r="E111" s="47"/>
      <c r="F111" s="47"/>
      <c r="G111" s="47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</row>
    <row r="112" spans="1:38" s="48" customFormat="1" ht="14.25" customHeight="1" x14ac:dyDescent="0.25">
      <c r="A112" s="46"/>
      <c r="B112" s="46"/>
      <c r="C112" s="46"/>
      <c r="D112" s="46"/>
      <c r="E112" s="47"/>
      <c r="F112" s="47"/>
      <c r="G112" s="47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</row>
    <row r="113" spans="1:32" s="48" customFormat="1" ht="14.25" customHeight="1" x14ac:dyDescent="0.25">
      <c r="A113" s="46"/>
      <c r="B113" s="46"/>
      <c r="C113" s="46"/>
      <c r="D113" s="46"/>
      <c r="E113" s="47"/>
      <c r="F113" s="47"/>
      <c r="G113" s="47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</row>
    <row r="114" spans="1:32" s="48" customFormat="1" ht="14.25" customHeight="1" x14ac:dyDescent="0.25">
      <c r="A114" s="46"/>
      <c r="B114" s="46"/>
      <c r="C114" s="46"/>
      <c r="D114" s="46"/>
      <c r="E114" s="47"/>
      <c r="F114" s="47"/>
      <c r="G114" s="47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</row>
    <row r="115" spans="1:32" s="48" customFormat="1" ht="14.25" customHeight="1" x14ac:dyDescent="0.25">
      <c r="A115" s="46"/>
      <c r="B115" s="46"/>
      <c r="C115" s="46"/>
      <c r="D115" s="46"/>
      <c r="E115" s="47"/>
      <c r="F115" s="47"/>
      <c r="G115" s="47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</row>
    <row r="116" spans="1:32" s="48" customFormat="1" ht="14.25" customHeight="1" x14ac:dyDescent="0.25">
      <c r="A116" s="46"/>
      <c r="B116" s="46"/>
      <c r="C116" s="46"/>
      <c r="D116" s="46"/>
      <c r="E116" s="47"/>
      <c r="F116" s="47"/>
      <c r="G116" s="47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</row>
    <row r="117" spans="1:32" s="48" customFormat="1" ht="14.25" customHeight="1" x14ac:dyDescent="0.25">
      <c r="A117" s="46"/>
      <c r="B117" s="46"/>
      <c r="C117" s="46"/>
      <c r="D117" s="46"/>
      <c r="E117" s="47"/>
      <c r="F117" s="47"/>
      <c r="G117" s="47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</row>
    <row r="118" spans="1:32" s="48" customFormat="1" ht="14.25" customHeight="1" x14ac:dyDescent="0.25">
      <c r="A118" s="46"/>
      <c r="B118" s="46"/>
      <c r="C118" s="46"/>
      <c r="D118" s="46"/>
      <c r="E118" s="47"/>
      <c r="F118" s="47"/>
      <c r="G118" s="47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</row>
    <row r="119" spans="1:32" s="48" customFormat="1" ht="14.25" customHeight="1" x14ac:dyDescent="0.25">
      <c r="A119" s="46"/>
      <c r="B119" s="46"/>
      <c r="C119" s="46"/>
      <c r="D119" s="46"/>
      <c r="E119" s="47"/>
      <c r="F119" s="47"/>
      <c r="G119" s="47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</row>
    <row r="120" spans="1:32" s="48" customFormat="1" ht="14.25" customHeight="1" x14ac:dyDescent="0.25">
      <c r="A120" s="46"/>
      <c r="B120" s="46"/>
      <c r="C120" s="46"/>
      <c r="D120" s="46"/>
      <c r="E120" s="47"/>
      <c r="F120" s="47"/>
      <c r="G120" s="47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</row>
    <row r="121" spans="1:32" s="48" customFormat="1" ht="14.25" customHeight="1" x14ac:dyDescent="0.25">
      <c r="A121" s="46"/>
      <c r="B121" s="46"/>
      <c r="C121" s="46"/>
      <c r="D121" s="46"/>
      <c r="E121" s="47"/>
      <c r="F121" s="47"/>
      <c r="G121" s="47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</row>
    <row r="122" spans="1:32" s="48" customFormat="1" ht="14.25" customHeight="1" x14ac:dyDescent="0.25">
      <c r="A122" s="46"/>
      <c r="B122" s="46"/>
      <c r="C122" s="46"/>
      <c r="D122" s="46"/>
      <c r="E122" s="47"/>
      <c r="F122" s="47"/>
      <c r="G122" s="47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</row>
    <row r="123" spans="1:32" s="48" customFormat="1" ht="14.25" customHeight="1" x14ac:dyDescent="0.25">
      <c r="A123" s="46"/>
      <c r="B123" s="46"/>
      <c r="C123" s="46"/>
      <c r="D123" s="46"/>
      <c r="E123" s="47"/>
      <c r="F123" s="47"/>
      <c r="G123" s="47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</row>
    <row r="124" spans="1:32" s="48" customFormat="1" ht="14.25" customHeight="1" x14ac:dyDescent="0.25">
      <c r="A124" s="46"/>
      <c r="B124" s="46"/>
      <c r="C124" s="46"/>
      <c r="D124" s="46"/>
      <c r="E124" s="47"/>
      <c r="F124" s="47"/>
      <c r="G124" s="47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</row>
    <row r="125" spans="1:32" s="48" customFormat="1" ht="14.25" customHeight="1" x14ac:dyDescent="0.25">
      <c r="A125" s="46"/>
      <c r="B125" s="46"/>
      <c r="C125" s="46"/>
      <c r="D125" s="46"/>
      <c r="E125" s="47"/>
      <c r="F125" s="47"/>
      <c r="G125" s="47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</row>
    <row r="126" spans="1:32" s="48" customFormat="1" ht="14.25" customHeight="1" x14ac:dyDescent="0.25">
      <c r="A126" s="46"/>
      <c r="B126" s="46"/>
      <c r="C126" s="46"/>
      <c r="D126" s="46"/>
      <c r="E126" s="47"/>
      <c r="F126" s="47"/>
      <c r="G126" s="47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</row>
    <row r="127" spans="1:32" s="48" customFormat="1" ht="14.25" customHeight="1" x14ac:dyDescent="0.25">
      <c r="A127" s="46"/>
      <c r="B127" s="46"/>
      <c r="C127" s="46"/>
      <c r="D127" s="46"/>
      <c r="E127" s="47"/>
      <c r="F127" s="47"/>
      <c r="G127" s="47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</row>
    <row r="128" spans="1:32" s="48" customFormat="1" ht="14.25" customHeight="1" x14ac:dyDescent="0.25">
      <c r="A128" s="46"/>
      <c r="B128" s="46"/>
      <c r="C128" s="46"/>
      <c r="D128" s="46"/>
      <c r="E128" s="47"/>
      <c r="F128" s="47"/>
      <c r="G128" s="47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</row>
    <row r="129" spans="1:32" s="48" customFormat="1" ht="14.25" customHeight="1" x14ac:dyDescent="0.25">
      <c r="A129" s="46"/>
      <c r="B129" s="46"/>
      <c r="C129" s="46"/>
      <c r="D129" s="46"/>
      <c r="E129" s="47"/>
      <c r="F129" s="47"/>
      <c r="G129" s="47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</row>
    <row r="130" spans="1:32" s="48" customFormat="1" ht="14.25" customHeight="1" x14ac:dyDescent="0.25">
      <c r="A130" s="46"/>
      <c r="B130" s="46"/>
      <c r="C130" s="46"/>
      <c r="D130" s="46"/>
      <c r="E130" s="47"/>
      <c r="F130" s="47"/>
      <c r="G130" s="47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</row>
    <row r="131" spans="1:32" s="48" customFormat="1" ht="14.25" customHeight="1" x14ac:dyDescent="0.25">
      <c r="A131" s="46"/>
      <c r="B131" s="46"/>
      <c r="C131" s="46"/>
      <c r="D131" s="46"/>
      <c r="E131" s="47"/>
      <c r="F131" s="47"/>
      <c r="G131" s="47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</row>
    <row r="132" spans="1:32" s="48" customFormat="1" ht="14.25" customHeight="1" x14ac:dyDescent="0.25">
      <c r="A132" s="46"/>
      <c r="B132" s="46"/>
      <c r="C132" s="46"/>
      <c r="D132" s="46"/>
      <c r="E132" s="47"/>
      <c r="F132" s="47"/>
      <c r="G132" s="47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</row>
    <row r="133" spans="1:32" s="48" customFormat="1" ht="14.25" customHeight="1" x14ac:dyDescent="0.25">
      <c r="A133" s="46"/>
      <c r="B133" s="46"/>
      <c r="C133" s="46"/>
      <c r="D133" s="46"/>
      <c r="E133" s="47"/>
      <c r="F133" s="47"/>
      <c r="G133" s="47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</row>
    <row r="134" spans="1:32" s="48" customFormat="1" ht="14.25" customHeight="1" x14ac:dyDescent="0.25">
      <c r="A134" s="46"/>
      <c r="B134" s="46"/>
      <c r="C134" s="46"/>
      <c r="D134" s="46"/>
      <c r="E134" s="47"/>
      <c r="F134" s="47"/>
      <c r="G134" s="47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</row>
    <row r="135" spans="1:32" s="48" customFormat="1" ht="14.25" customHeight="1" x14ac:dyDescent="0.25">
      <c r="A135" s="46"/>
      <c r="B135" s="46"/>
      <c r="C135" s="46"/>
      <c r="D135" s="46"/>
      <c r="E135" s="47"/>
      <c r="F135" s="47"/>
      <c r="G135" s="47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</row>
    <row r="136" spans="1:32" s="48" customFormat="1" ht="14.25" customHeight="1" x14ac:dyDescent="0.25">
      <c r="A136" s="46"/>
      <c r="B136" s="46"/>
      <c r="C136" s="46"/>
      <c r="D136" s="46"/>
      <c r="E136" s="47"/>
      <c r="F136" s="47"/>
      <c r="G136" s="47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</row>
    <row r="137" spans="1:32" s="48" customFormat="1" ht="14.25" customHeight="1" x14ac:dyDescent="0.25">
      <c r="A137" s="46"/>
      <c r="B137" s="46"/>
      <c r="C137" s="46"/>
      <c r="D137" s="46"/>
      <c r="E137" s="47"/>
      <c r="F137" s="47"/>
      <c r="G137" s="47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</row>
    <row r="138" spans="1:32" s="48" customFormat="1" ht="14.25" customHeight="1" x14ac:dyDescent="0.25">
      <c r="A138" s="46"/>
      <c r="B138" s="46"/>
      <c r="C138" s="46"/>
      <c r="D138" s="46"/>
      <c r="E138" s="47"/>
      <c r="F138" s="47"/>
      <c r="G138" s="47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</row>
    <row r="139" spans="1:32" s="48" customFormat="1" ht="14.25" customHeight="1" x14ac:dyDescent="0.25">
      <c r="A139" s="46"/>
      <c r="B139" s="46"/>
      <c r="C139" s="46"/>
      <c r="D139" s="46"/>
      <c r="E139" s="47"/>
      <c r="F139" s="47"/>
      <c r="G139" s="47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</row>
    <row r="140" spans="1:32" s="48" customFormat="1" ht="14.25" customHeight="1" x14ac:dyDescent="0.25">
      <c r="A140" s="46"/>
      <c r="B140" s="46"/>
      <c r="C140" s="46"/>
      <c r="D140" s="46"/>
      <c r="E140" s="47"/>
      <c r="F140" s="47"/>
      <c r="G140" s="47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</row>
    <row r="141" spans="1:32" s="48" customFormat="1" ht="14.25" customHeight="1" x14ac:dyDescent="0.25">
      <c r="A141" s="46"/>
      <c r="B141" s="46"/>
      <c r="C141" s="46"/>
      <c r="D141" s="46"/>
      <c r="E141" s="47"/>
      <c r="F141" s="47"/>
      <c r="G141" s="47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</row>
    <row r="142" spans="1:32" s="48" customFormat="1" ht="14.25" customHeight="1" x14ac:dyDescent="0.25">
      <c r="A142" s="46"/>
      <c r="B142" s="46"/>
      <c r="C142" s="46"/>
      <c r="D142" s="46"/>
      <c r="E142" s="47"/>
      <c r="F142" s="47"/>
      <c r="G142" s="47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</row>
    <row r="143" spans="1:32" s="48" customFormat="1" ht="14.25" customHeight="1" x14ac:dyDescent="0.25">
      <c r="A143" s="46"/>
      <c r="B143" s="46"/>
      <c r="C143" s="46"/>
      <c r="D143" s="46"/>
      <c r="E143" s="47"/>
      <c r="F143" s="47"/>
      <c r="G143" s="47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</row>
    <row r="144" spans="1:32" s="48" customFormat="1" ht="14.25" customHeight="1" x14ac:dyDescent="0.25">
      <c r="A144" s="46"/>
      <c r="B144" s="46"/>
      <c r="C144" s="46"/>
      <c r="D144" s="46"/>
      <c r="E144" s="47"/>
      <c r="F144" s="47"/>
      <c r="G144" s="47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</row>
    <row r="145" spans="1:32" s="48" customFormat="1" ht="14.25" customHeight="1" x14ac:dyDescent="0.25">
      <c r="A145" s="46"/>
      <c r="B145" s="46"/>
      <c r="C145" s="46"/>
      <c r="D145" s="46"/>
      <c r="E145" s="47"/>
      <c r="F145" s="47"/>
      <c r="G145" s="47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</row>
    <row r="146" spans="1:32" s="48" customFormat="1" ht="14.25" customHeight="1" x14ac:dyDescent="0.25">
      <c r="A146" s="46"/>
      <c r="B146" s="46"/>
      <c r="C146" s="46"/>
      <c r="D146" s="46"/>
      <c r="E146" s="47"/>
      <c r="F146" s="47"/>
      <c r="G146" s="47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</row>
    <row r="147" spans="1:32" s="48" customFormat="1" ht="14.25" customHeight="1" x14ac:dyDescent="0.25">
      <c r="A147" s="46"/>
      <c r="B147" s="46"/>
      <c r="C147" s="46"/>
      <c r="D147" s="46"/>
      <c r="E147" s="47"/>
      <c r="F147" s="47"/>
      <c r="G147" s="47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</row>
    <row r="148" spans="1:32" s="48" customFormat="1" ht="14.25" customHeight="1" x14ac:dyDescent="0.25">
      <c r="A148" s="46"/>
      <c r="B148" s="46"/>
      <c r="C148" s="46"/>
      <c r="D148" s="46"/>
      <c r="E148" s="47"/>
      <c r="F148" s="47"/>
      <c r="G148" s="47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</row>
    <row r="149" spans="1:32" s="48" customFormat="1" ht="14.25" customHeight="1" x14ac:dyDescent="0.25">
      <c r="A149" s="46"/>
      <c r="B149" s="46"/>
      <c r="C149" s="46"/>
      <c r="D149" s="46"/>
      <c r="E149" s="47"/>
      <c r="F149" s="47"/>
      <c r="G149" s="47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</row>
    <row r="150" spans="1:32" s="48" customFormat="1" ht="14.25" customHeight="1" x14ac:dyDescent="0.25">
      <c r="A150" s="46"/>
      <c r="B150" s="46"/>
      <c r="C150" s="46"/>
      <c r="D150" s="46"/>
      <c r="E150" s="47"/>
      <c r="F150" s="47"/>
      <c r="G150" s="47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</row>
    <row r="151" spans="1:32" s="48" customFormat="1" ht="14.25" customHeight="1" x14ac:dyDescent="0.25">
      <c r="A151" s="46"/>
      <c r="B151" s="46"/>
      <c r="C151" s="46"/>
      <c r="D151" s="46"/>
      <c r="E151" s="47"/>
      <c r="F151" s="47"/>
      <c r="G151" s="47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</row>
    <row r="152" spans="1:32" s="48" customFormat="1" ht="14.25" customHeight="1" x14ac:dyDescent="0.25">
      <c r="A152" s="46"/>
      <c r="B152" s="46"/>
      <c r="C152" s="46"/>
      <c r="D152" s="46"/>
      <c r="E152" s="47"/>
      <c r="F152" s="47"/>
      <c r="G152" s="47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</row>
    <row r="153" spans="1:32" s="48" customFormat="1" ht="14.25" customHeight="1" x14ac:dyDescent="0.25">
      <c r="A153" s="46"/>
      <c r="B153" s="46"/>
      <c r="C153" s="46"/>
      <c r="D153" s="46"/>
      <c r="E153" s="47"/>
      <c r="F153" s="47"/>
      <c r="G153" s="47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</row>
    <row r="154" spans="1:32" s="48" customFormat="1" ht="14.25" customHeight="1" x14ac:dyDescent="0.25">
      <c r="A154" s="46"/>
      <c r="B154" s="46"/>
      <c r="C154" s="46"/>
      <c r="D154" s="46"/>
      <c r="E154" s="47"/>
      <c r="F154" s="47"/>
      <c r="G154" s="47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</row>
    <row r="155" spans="1:32" s="48" customFormat="1" ht="14.25" customHeight="1" x14ac:dyDescent="0.25">
      <c r="A155" s="46"/>
      <c r="B155" s="46"/>
      <c r="C155" s="46"/>
      <c r="D155" s="46"/>
      <c r="E155" s="47"/>
      <c r="F155" s="47"/>
      <c r="G155" s="47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</row>
    <row r="156" spans="1:32" s="48" customFormat="1" ht="14.25" customHeight="1" x14ac:dyDescent="0.25">
      <c r="A156" s="46"/>
      <c r="B156" s="46"/>
      <c r="C156" s="46"/>
      <c r="D156" s="46"/>
      <c r="E156" s="47"/>
      <c r="F156" s="47"/>
      <c r="G156" s="47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</row>
    <row r="157" spans="1:32" s="48" customFormat="1" ht="14.25" customHeight="1" x14ac:dyDescent="0.25">
      <c r="A157" s="46"/>
      <c r="B157" s="46"/>
      <c r="C157" s="46"/>
      <c r="D157" s="46"/>
      <c r="E157" s="47"/>
      <c r="F157" s="47"/>
      <c r="G157" s="47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</row>
    <row r="158" spans="1:32" s="48" customFormat="1" ht="14.25" customHeight="1" x14ac:dyDescent="0.25">
      <c r="A158" s="46"/>
      <c r="B158" s="46"/>
      <c r="C158" s="46"/>
      <c r="D158" s="46"/>
      <c r="E158" s="47"/>
      <c r="F158" s="47"/>
      <c r="G158" s="47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</row>
    <row r="159" spans="1:32" s="48" customFormat="1" ht="14.25" customHeight="1" x14ac:dyDescent="0.25">
      <c r="A159" s="46"/>
      <c r="B159" s="46"/>
      <c r="C159" s="46"/>
      <c r="D159" s="46"/>
      <c r="E159" s="47"/>
      <c r="F159" s="47"/>
      <c r="G159" s="47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</row>
    <row r="160" spans="1:32" s="48" customFormat="1" ht="14.25" customHeight="1" x14ac:dyDescent="0.25">
      <c r="A160" s="46"/>
      <c r="B160" s="46"/>
      <c r="C160" s="46"/>
      <c r="D160" s="46"/>
      <c r="E160" s="47"/>
      <c r="F160" s="47"/>
      <c r="G160" s="47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</row>
    <row r="161" spans="1:32" s="48" customFormat="1" ht="14.25" customHeight="1" x14ac:dyDescent="0.25">
      <c r="A161" s="46"/>
      <c r="B161" s="46"/>
      <c r="C161" s="46"/>
      <c r="D161" s="46"/>
      <c r="E161" s="47"/>
      <c r="F161" s="47"/>
      <c r="G161" s="47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</row>
    <row r="162" spans="1:32" s="48" customFormat="1" ht="14.25" customHeight="1" x14ac:dyDescent="0.25">
      <c r="A162" s="46"/>
      <c r="B162" s="46"/>
      <c r="C162" s="46"/>
      <c r="D162" s="46"/>
      <c r="E162" s="47"/>
      <c r="F162" s="47"/>
      <c r="G162" s="47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</row>
    <row r="163" spans="1:32" s="48" customFormat="1" ht="14.25" customHeight="1" x14ac:dyDescent="0.25">
      <c r="A163" s="46"/>
      <c r="B163" s="46"/>
      <c r="C163" s="46"/>
      <c r="D163" s="46"/>
      <c r="E163" s="47"/>
      <c r="F163" s="47"/>
      <c r="G163" s="47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</row>
    <row r="164" spans="1:32" s="48" customFormat="1" ht="14.25" customHeight="1" x14ac:dyDescent="0.25">
      <c r="A164" s="46"/>
      <c r="B164" s="46"/>
      <c r="C164" s="46"/>
      <c r="D164" s="46"/>
      <c r="E164" s="47"/>
      <c r="F164" s="47"/>
      <c r="G164" s="47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</row>
    <row r="165" spans="1:32" s="48" customFormat="1" ht="14.25" customHeight="1" x14ac:dyDescent="0.25">
      <c r="A165" s="46"/>
      <c r="B165" s="46"/>
      <c r="C165" s="46"/>
      <c r="D165" s="46"/>
      <c r="E165" s="47"/>
      <c r="F165" s="47"/>
      <c r="G165" s="47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</row>
    <row r="166" spans="1:32" s="48" customFormat="1" ht="14.25" customHeight="1" x14ac:dyDescent="0.25">
      <c r="A166" s="46"/>
      <c r="B166" s="46"/>
      <c r="C166" s="46"/>
      <c r="D166" s="46"/>
      <c r="E166" s="47"/>
      <c r="F166" s="47"/>
      <c r="G166" s="47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</row>
    <row r="167" spans="1:32" s="48" customFormat="1" ht="14.25" customHeight="1" x14ac:dyDescent="0.25">
      <c r="A167" s="46"/>
      <c r="B167" s="46"/>
      <c r="C167" s="46"/>
      <c r="D167" s="46"/>
      <c r="E167" s="47"/>
      <c r="F167" s="47"/>
      <c r="G167" s="47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</row>
    <row r="168" spans="1:32" s="48" customFormat="1" ht="14.25" customHeight="1" x14ac:dyDescent="0.25">
      <c r="A168" s="46"/>
      <c r="B168" s="46"/>
      <c r="C168" s="46"/>
      <c r="D168" s="46"/>
      <c r="E168" s="47"/>
      <c r="F168" s="47"/>
      <c r="G168" s="47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</row>
    <row r="169" spans="1:32" s="48" customFormat="1" ht="14.25" customHeight="1" x14ac:dyDescent="0.25">
      <c r="A169" s="46"/>
      <c r="B169" s="46"/>
      <c r="C169" s="46"/>
      <c r="D169" s="46"/>
      <c r="E169" s="47"/>
      <c r="F169" s="47"/>
      <c r="G169" s="47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</row>
    <row r="170" spans="1:32" s="48" customFormat="1" ht="14.25" customHeight="1" x14ac:dyDescent="0.25">
      <c r="A170" s="46"/>
      <c r="B170" s="46"/>
      <c r="C170" s="46"/>
      <c r="D170" s="46"/>
      <c r="E170" s="47"/>
      <c r="F170" s="47"/>
      <c r="G170" s="47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</row>
    <row r="171" spans="1:32" s="48" customFormat="1" ht="14.25" customHeight="1" x14ac:dyDescent="0.25">
      <c r="A171" s="46"/>
      <c r="B171" s="46"/>
      <c r="C171" s="46"/>
      <c r="D171" s="46"/>
      <c r="E171" s="47"/>
      <c r="F171" s="47"/>
      <c r="G171" s="47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</row>
    <row r="172" spans="1:32" s="48" customFormat="1" ht="14.25" customHeight="1" x14ac:dyDescent="0.25">
      <c r="A172" s="46"/>
      <c r="B172" s="46"/>
      <c r="C172" s="46"/>
      <c r="D172" s="46"/>
      <c r="E172" s="47"/>
      <c r="F172" s="47"/>
      <c r="G172" s="47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</row>
    <row r="173" spans="1:32" s="48" customFormat="1" ht="14.25" customHeight="1" x14ac:dyDescent="0.25">
      <c r="A173" s="46"/>
      <c r="B173" s="46"/>
      <c r="C173" s="46"/>
      <c r="D173" s="46"/>
      <c r="E173" s="47"/>
      <c r="F173" s="47"/>
      <c r="G173" s="47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</row>
    <row r="174" spans="1:32" s="48" customFormat="1" ht="14.25" customHeight="1" x14ac:dyDescent="0.25">
      <c r="A174" s="46"/>
      <c r="B174" s="46"/>
      <c r="C174" s="46"/>
      <c r="D174" s="46"/>
      <c r="E174" s="47"/>
      <c r="F174" s="47"/>
      <c r="G174" s="47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</row>
    <row r="175" spans="1:32" s="48" customFormat="1" ht="14.25" customHeight="1" x14ac:dyDescent="0.25">
      <c r="A175" s="46"/>
      <c r="B175" s="46"/>
      <c r="C175" s="46"/>
      <c r="D175" s="46"/>
      <c r="E175" s="47"/>
      <c r="F175" s="47"/>
      <c r="G175" s="47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</row>
    <row r="176" spans="1:32" s="48" customFormat="1" ht="14.25" customHeight="1" x14ac:dyDescent="0.25">
      <c r="A176" s="46"/>
      <c r="B176" s="46"/>
      <c r="C176" s="46"/>
      <c r="D176" s="46"/>
      <c r="E176" s="47"/>
      <c r="F176" s="47"/>
      <c r="G176" s="47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</row>
    <row r="177" spans="1:32" s="48" customFormat="1" ht="14.25" customHeight="1" x14ac:dyDescent="0.25">
      <c r="A177" s="46"/>
      <c r="B177" s="46"/>
      <c r="C177" s="46"/>
      <c r="D177" s="46"/>
      <c r="E177" s="47"/>
      <c r="F177" s="47"/>
      <c r="G177" s="47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</row>
    <row r="178" spans="1:32" s="48" customFormat="1" ht="14.25" customHeight="1" x14ac:dyDescent="0.25">
      <c r="A178" s="46"/>
      <c r="B178" s="46"/>
      <c r="C178" s="46"/>
      <c r="D178" s="46"/>
      <c r="E178" s="47"/>
      <c r="F178" s="47"/>
      <c r="G178" s="47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</row>
    <row r="179" spans="1:32" s="48" customFormat="1" ht="14.25" customHeight="1" x14ac:dyDescent="0.25">
      <c r="A179" s="46"/>
      <c r="B179" s="46"/>
      <c r="C179" s="46"/>
      <c r="D179" s="46"/>
      <c r="E179" s="47"/>
      <c r="F179" s="47"/>
      <c r="G179" s="47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</row>
    <row r="180" spans="1:32" s="48" customFormat="1" ht="14.25" customHeight="1" x14ac:dyDescent="0.25">
      <c r="A180" s="46"/>
      <c r="B180" s="46"/>
      <c r="C180" s="46"/>
      <c r="D180" s="46"/>
      <c r="E180" s="47"/>
      <c r="F180" s="47"/>
      <c r="G180" s="47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</row>
    <row r="181" spans="1:32" s="48" customFormat="1" ht="14.25" customHeight="1" x14ac:dyDescent="0.25">
      <c r="A181" s="46"/>
      <c r="B181" s="46"/>
      <c r="C181" s="46"/>
      <c r="D181" s="46"/>
      <c r="E181" s="47"/>
      <c r="F181" s="47"/>
      <c r="G181" s="47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</row>
    <row r="182" spans="1:32" s="48" customFormat="1" ht="14.25" customHeight="1" x14ac:dyDescent="0.25">
      <c r="A182" s="46"/>
      <c r="B182" s="46"/>
      <c r="C182" s="46"/>
      <c r="D182" s="46"/>
      <c r="E182" s="47"/>
      <c r="F182" s="47"/>
      <c r="G182" s="47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</row>
    <row r="183" spans="1:32" s="48" customFormat="1" ht="14.25" customHeight="1" x14ac:dyDescent="0.25">
      <c r="A183" s="46"/>
      <c r="B183" s="46"/>
      <c r="C183" s="46"/>
      <c r="D183" s="46"/>
      <c r="E183" s="47"/>
      <c r="F183" s="47"/>
      <c r="G183" s="47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</row>
    <row r="184" spans="1:32" s="48" customFormat="1" ht="14.25" customHeight="1" x14ac:dyDescent="0.25">
      <c r="A184" s="46"/>
      <c r="B184" s="46"/>
      <c r="C184" s="46"/>
      <c r="D184" s="46"/>
      <c r="E184" s="47"/>
      <c r="F184" s="47"/>
      <c r="G184" s="47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</row>
    <row r="185" spans="1:32" s="48" customFormat="1" ht="14.25" customHeight="1" x14ac:dyDescent="0.25">
      <c r="A185" s="46"/>
      <c r="B185" s="46"/>
      <c r="C185" s="46"/>
      <c r="D185" s="46"/>
      <c r="E185" s="47"/>
      <c r="F185" s="47"/>
      <c r="G185" s="47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</row>
    <row r="186" spans="1:32" s="48" customFormat="1" ht="14.25" customHeight="1" x14ac:dyDescent="0.25">
      <c r="A186" s="46"/>
      <c r="B186" s="46"/>
      <c r="C186" s="46"/>
      <c r="D186" s="46"/>
      <c r="E186" s="47"/>
      <c r="F186" s="47"/>
      <c r="G186" s="47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</row>
    <row r="187" spans="1:32" s="48" customFormat="1" ht="14.25" customHeight="1" x14ac:dyDescent="0.25">
      <c r="A187" s="46"/>
      <c r="B187" s="46"/>
      <c r="C187" s="46"/>
      <c r="D187" s="46"/>
      <c r="E187" s="47"/>
      <c r="F187" s="47"/>
      <c r="G187" s="47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</row>
    <row r="188" spans="1:32" s="48" customFormat="1" ht="14.25" customHeight="1" x14ac:dyDescent="0.25">
      <c r="A188" s="46"/>
      <c r="B188" s="46"/>
      <c r="C188" s="46"/>
      <c r="D188" s="46"/>
      <c r="E188" s="47"/>
      <c r="F188" s="47"/>
      <c r="G188" s="47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</row>
    <row r="189" spans="1:32" s="48" customFormat="1" ht="14.25" customHeight="1" x14ac:dyDescent="0.25">
      <c r="A189" s="46"/>
      <c r="B189" s="46"/>
      <c r="C189" s="46"/>
      <c r="D189" s="46"/>
      <c r="E189" s="47"/>
      <c r="F189" s="47"/>
      <c r="G189" s="47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</row>
    <row r="190" spans="1:32" s="48" customFormat="1" ht="14.25" customHeight="1" x14ac:dyDescent="0.25">
      <c r="A190" s="46"/>
      <c r="B190" s="46"/>
      <c r="C190" s="46"/>
      <c r="D190" s="46"/>
      <c r="E190" s="47"/>
      <c r="F190" s="47"/>
      <c r="G190" s="47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</row>
    <row r="191" spans="1:32" s="48" customFormat="1" ht="14.25" customHeight="1" x14ac:dyDescent="0.25">
      <c r="A191" s="46"/>
      <c r="B191" s="46"/>
      <c r="C191" s="46"/>
      <c r="D191" s="46"/>
      <c r="E191" s="47"/>
      <c r="F191" s="47"/>
      <c r="G191" s="47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</row>
    <row r="192" spans="1:32" s="48" customFormat="1" ht="14.25" customHeight="1" x14ac:dyDescent="0.25">
      <c r="A192" s="46"/>
      <c r="B192" s="46"/>
      <c r="C192" s="46"/>
      <c r="D192" s="46"/>
      <c r="E192" s="47"/>
      <c r="F192" s="47"/>
      <c r="G192" s="47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</row>
    <row r="193" spans="1:32" s="48" customFormat="1" ht="14.25" customHeight="1" x14ac:dyDescent="0.25">
      <c r="A193" s="46"/>
      <c r="B193" s="46"/>
      <c r="C193" s="46"/>
      <c r="D193" s="46"/>
      <c r="E193" s="47"/>
      <c r="F193" s="47"/>
      <c r="G193" s="47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</row>
    <row r="194" spans="1:32" s="48" customFormat="1" ht="14.25" customHeight="1" x14ac:dyDescent="0.25">
      <c r="A194" s="46"/>
      <c r="B194" s="46"/>
      <c r="C194" s="46"/>
      <c r="D194" s="46"/>
      <c r="E194" s="47"/>
      <c r="F194" s="47"/>
      <c r="G194" s="47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</row>
    <row r="195" spans="1:32" s="48" customFormat="1" ht="14.25" customHeight="1" x14ac:dyDescent="0.25">
      <c r="A195" s="46"/>
      <c r="B195" s="46"/>
      <c r="C195" s="46"/>
      <c r="D195" s="46"/>
      <c r="E195" s="47"/>
      <c r="F195" s="47"/>
      <c r="G195" s="47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</row>
    <row r="196" spans="1:32" s="48" customFormat="1" ht="14.25" customHeight="1" x14ac:dyDescent="0.25">
      <c r="A196" s="46"/>
      <c r="B196" s="46"/>
      <c r="C196" s="46"/>
      <c r="D196" s="46"/>
      <c r="E196" s="47"/>
      <c r="F196" s="47"/>
      <c r="G196" s="47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</row>
    <row r="197" spans="1:32" s="48" customFormat="1" ht="14.25" customHeight="1" x14ac:dyDescent="0.25">
      <c r="A197" s="46"/>
      <c r="B197" s="46"/>
      <c r="C197" s="46"/>
      <c r="D197" s="46"/>
      <c r="E197" s="47"/>
      <c r="F197" s="47"/>
      <c r="G197" s="47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</row>
    <row r="198" spans="1:32" s="48" customFormat="1" ht="14.25" customHeight="1" x14ac:dyDescent="0.25">
      <c r="A198" s="46"/>
      <c r="B198" s="46"/>
      <c r="C198" s="46"/>
      <c r="D198" s="46"/>
      <c r="E198" s="47"/>
      <c r="F198" s="47"/>
      <c r="G198" s="47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</row>
    <row r="199" spans="1:32" s="48" customFormat="1" ht="14.25" customHeight="1" x14ac:dyDescent="0.25">
      <c r="A199" s="46"/>
      <c r="B199" s="46"/>
      <c r="C199" s="46"/>
      <c r="D199" s="46"/>
      <c r="E199" s="47"/>
      <c r="F199" s="47"/>
      <c r="G199" s="47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</row>
    <row r="200" spans="1:32" s="48" customFormat="1" ht="14.25" customHeight="1" x14ac:dyDescent="0.25">
      <c r="A200" s="46"/>
      <c r="B200" s="46"/>
      <c r="C200" s="46"/>
      <c r="D200" s="46"/>
      <c r="E200" s="47"/>
      <c r="F200" s="47"/>
      <c r="G200" s="47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</row>
    <row r="201" spans="1:32" s="48" customFormat="1" ht="14.25" customHeight="1" x14ac:dyDescent="0.25">
      <c r="A201" s="46"/>
      <c r="B201" s="46"/>
      <c r="C201" s="46"/>
      <c r="D201" s="46"/>
      <c r="E201" s="47"/>
      <c r="F201" s="47"/>
      <c r="G201" s="47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</row>
    <row r="202" spans="1:32" s="48" customFormat="1" ht="14.25" customHeight="1" x14ac:dyDescent="0.25">
      <c r="A202" s="46"/>
      <c r="B202" s="46"/>
      <c r="C202" s="46"/>
      <c r="D202" s="46"/>
      <c r="E202" s="47"/>
      <c r="F202" s="47"/>
      <c r="G202" s="47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</row>
    <row r="203" spans="1:32" s="48" customFormat="1" ht="14.25" customHeight="1" x14ac:dyDescent="0.25">
      <c r="A203" s="46"/>
      <c r="B203" s="46"/>
      <c r="C203" s="46"/>
      <c r="D203" s="46"/>
      <c r="E203" s="47"/>
      <c r="F203" s="47"/>
      <c r="G203" s="47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</row>
    <row r="204" spans="1:32" s="48" customFormat="1" ht="14.25" customHeight="1" x14ac:dyDescent="0.25">
      <c r="A204" s="46"/>
      <c r="B204" s="46"/>
      <c r="C204" s="46"/>
      <c r="D204" s="46"/>
      <c r="E204" s="47"/>
      <c r="F204" s="47"/>
      <c r="G204" s="47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</row>
    <row r="205" spans="1:32" s="48" customFormat="1" ht="14.25" customHeight="1" x14ac:dyDescent="0.25">
      <c r="A205" s="46"/>
      <c r="B205" s="46"/>
      <c r="C205" s="46"/>
      <c r="D205" s="46"/>
      <c r="E205" s="47"/>
      <c r="F205" s="47"/>
      <c r="G205" s="47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</row>
    <row r="206" spans="1:32" s="48" customFormat="1" ht="14.25" customHeight="1" x14ac:dyDescent="0.25">
      <c r="A206" s="46"/>
      <c r="B206" s="46"/>
      <c r="C206" s="46"/>
      <c r="D206" s="46"/>
      <c r="E206" s="47"/>
      <c r="F206" s="47"/>
      <c r="G206" s="47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</row>
    <row r="207" spans="1:32" s="48" customFormat="1" ht="14.25" customHeight="1" x14ac:dyDescent="0.25">
      <c r="A207" s="46"/>
      <c r="B207" s="46"/>
      <c r="C207" s="46"/>
      <c r="D207" s="46"/>
      <c r="E207" s="47"/>
      <c r="F207" s="47"/>
      <c r="G207" s="47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</row>
    <row r="208" spans="1:32" s="48" customFormat="1" ht="14.25" customHeight="1" x14ac:dyDescent="0.25">
      <c r="A208" s="46"/>
      <c r="B208" s="46"/>
      <c r="C208" s="46"/>
      <c r="D208" s="46"/>
      <c r="E208" s="47"/>
      <c r="F208" s="47"/>
      <c r="G208" s="47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</row>
    <row r="209" spans="1:32" s="48" customFormat="1" ht="14.25" customHeight="1" x14ac:dyDescent="0.25">
      <c r="A209" s="46"/>
      <c r="B209" s="46"/>
      <c r="C209" s="46"/>
      <c r="D209" s="46"/>
      <c r="E209" s="47"/>
      <c r="F209" s="47"/>
      <c r="G209" s="47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</row>
    <row r="210" spans="1:32" s="48" customFormat="1" ht="14.25" customHeight="1" x14ac:dyDescent="0.25">
      <c r="A210" s="46"/>
      <c r="B210" s="46"/>
      <c r="C210" s="46"/>
      <c r="D210" s="46"/>
      <c r="E210" s="47"/>
      <c r="F210" s="47"/>
      <c r="G210" s="47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</row>
    <row r="211" spans="1:32" s="48" customFormat="1" ht="14.25" customHeight="1" x14ac:dyDescent="0.25">
      <c r="A211" s="46"/>
      <c r="B211" s="46"/>
      <c r="C211" s="46"/>
      <c r="D211" s="46"/>
      <c r="E211" s="47"/>
      <c r="F211" s="47"/>
      <c r="G211" s="47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</row>
    <row r="212" spans="1:32" s="48" customFormat="1" ht="14.25" customHeight="1" x14ac:dyDescent="0.25">
      <c r="A212" s="46"/>
      <c r="B212" s="46"/>
      <c r="C212" s="46"/>
      <c r="D212" s="46"/>
      <c r="E212" s="47"/>
      <c r="F212" s="47"/>
      <c r="G212" s="47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</row>
    <row r="213" spans="1:32" s="48" customFormat="1" ht="14.25" customHeight="1" x14ac:dyDescent="0.25">
      <c r="A213" s="46"/>
      <c r="B213" s="46"/>
      <c r="C213" s="46"/>
      <c r="D213" s="46"/>
      <c r="E213" s="47"/>
      <c r="F213" s="47"/>
      <c r="G213" s="47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</row>
    <row r="214" spans="1:32" s="48" customFormat="1" ht="14.25" customHeight="1" x14ac:dyDescent="0.25">
      <c r="A214" s="46"/>
      <c r="B214" s="46"/>
      <c r="C214" s="46"/>
      <c r="D214" s="46"/>
      <c r="E214" s="47"/>
      <c r="F214" s="47"/>
      <c r="G214" s="47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</row>
    <row r="215" spans="1:32" s="48" customFormat="1" ht="14.25" customHeight="1" x14ac:dyDescent="0.25">
      <c r="A215" s="46"/>
      <c r="B215" s="46"/>
      <c r="C215" s="46"/>
      <c r="D215" s="46"/>
      <c r="E215" s="47"/>
      <c r="F215" s="47"/>
      <c r="G215" s="47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</row>
    <row r="216" spans="1:32" s="48" customFormat="1" ht="14.25" customHeight="1" x14ac:dyDescent="0.25">
      <c r="A216" s="46"/>
      <c r="B216" s="46"/>
      <c r="C216" s="46"/>
      <c r="D216" s="46"/>
      <c r="E216" s="47"/>
      <c r="F216" s="47"/>
      <c r="G216" s="47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</row>
    <row r="217" spans="1:32" s="48" customFormat="1" ht="14.25" customHeight="1" x14ac:dyDescent="0.25">
      <c r="A217" s="46"/>
      <c r="B217" s="46"/>
      <c r="C217" s="46"/>
      <c r="D217" s="46"/>
      <c r="E217" s="47"/>
      <c r="F217" s="47"/>
      <c r="G217" s="47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</row>
    <row r="218" spans="1:32" s="48" customFormat="1" ht="14.25" customHeight="1" x14ac:dyDescent="0.25">
      <c r="A218" s="46"/>
      <c r="B218" s="46"/>
      <c r="C218" s="46"/>
      <c r="D218" s="46"/>
      <c r="E218" s="47"/>
      <c r="F218" s="47"/>
      <c r="G218" s="47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</row>
    <row r="219" spans="1:32" s="48" customFormat="1" ht="14.25" customHeight="1" x14ac:dyDescent="0.25">
      <c r="A219" s="46"/>
      <c r="B219" s="46"/>
      <c r="C219" s="46"/>
      <c r="D219" s="46"/>
      <c r="E219" s="47"/>
      <c r="F219" s="47"/>
      <c r="G219" s="47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</row>
    <row r="220" spans="1:32" s="48" customFormat="1" ht="14.25" customHeight="1" x14ac:dyDescent="0.25">
      <c r="A220" s="46"/>
      <c r="B220" s="46"/>
      <c r="C220" s="46"/>
      <c r="D220" s="46"/>
      <c r="E220" s="47"/>
      <c r="F220" s="47"/>
      <c r="G220" s="47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</row>
    <row r="221" spans="1:32" s="48" customFormat="1" ht="14.25" customHeight="1" x14ac:dyDescent="0.25">
      <c r="A221" s="46"/>
      <c r="B221" s="46"/>
      <c r="C221" s="46"/>
      <c r="D221" s="46"/>
      <c r="E221" s="47"/>
      <c r="F221" s="47"/>
      <c r="G221" s="47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</row>
    <row r="222" spans="1:32" s="48" customFormat="1" ht="14.25" customHeight="1" x14ac:dyDescent="0.25">
      <c r="A222" s="46"/>
      <c r="B222" s="46"/>
      <c r="C222" s="46"/>
      <c r="D222" s="46"/>
      <c r="E222" s="47"/>
      <c r="F222" s="47"/>
      <c r="G222" s="47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</row>
    <row r="223" spans="1:32" s="48" customFormat="1" ht="14.25" customHeight="1" x14ac:dyDescent="0.25">
      <c r="A223" s="46"/>
      <c r="B223" s="46"/>
      <c r="C223" s="46"/>
      <c r="D223" s="46"/>
      <c r="E223" s="47"/>
      <c r="F223" s="47"/>
      <c r="G223" s="47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</row>
    <row r="224" spans="1:32" s="48" customFormat="1" ht="14.25" customHeight="1" x14ac:dyDescent="0.25">
      <c r="A224" s="46"/>
      <c r="B224" s="46"/>
      <c r="C224" s="46"/>
      <c r="D224" s="46"/>
      <c r="E224" s="47"/>
      <c r="F224" s="47"/>
      <c r="G224" s="47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</row>
    <row r="225" spans="1:32" s="48" customFormat="1" ht="14.25" customHeight="1" x14ac:dyDescent="0.25">
      <c r="A225" s="46"/>
      <c r="B225" s="46"/>
      <c r="C225" s="46"/>
      <c r="D225" s="46"/>
      <c r="E225" s="47"/>
      <c r="F225" s="47"/>
      <c r="G225" s="47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</row>
    <row r="226" spans="1:32" s="48" customFormat="1" ht="14.25" customHeight="1" x14ac:dyDescent="0.25">
      <c r="A226" s="46"/>
      <c r="B226" s="46"/>
      <c r="C226" s="46"/>
      <c r="D226" s="46"/>
      <c r="E226" s="47"/>
      <c r="F226" s="47"/>
      <c r="G226" s="47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</row>
    <row r="227" spans="1:32" s="48" customFormat="1" ht="14.25" customHeight="1" x14ac:dyDescent="0.25">
      <c r="A227" s="46"/>
      <c r="B227" s="46"/>
      <c r="C227" s="46"/>
      <c r="D227" s="46"/>
      <c r="E227" s="47"/>
      <c r="F227" s="47"/>
      <c r="G227" s="47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</row>
    <row r="228" spans="1:32" s="48" customFormat="1" ht="14.25" customHeight="1" x14ac:dyDescent="0.25">
      <c r="A228" s="46"/>
      <c r="B228" s="46"/>
      <c r="C228" s="46"/>
      <c r="D228" s="46"/>
      <c r="E228" s="47"/>
      <c r="F228" s="47"/>
      <c r="G228" s="47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</row>
    <row r="229" spans="1:32" s="48" customFormat="1" ht="14.25" customHeight="1" x14ac:dyDescent="0.25">
      <c r="A229" s="46"/>
      <c r="B229" s="46"/>
      <c r="C229" s="46"/>
      <c r="D229" s="46"/>
      <c r="E229" s="47"/>
      <c r="F229" s="47"/>
      <c r="G229" s="47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</row>
    <row r="230" spans="1:32" s="48" customFormat="1" ht="14.25" customHeight="1" x14ac:dyDescent="0.25">
      <c r="A230" s="46"/>
      <c r="B230" s="46"/>
      <c r="C230" s="46"/>
      <c r="D230" s="46"/>
      <c r="E230" s="47"/>
      <c r="F230" s="47"/>
      <c r="G230" s="47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</row>
    <row r="231" spans="1:32" s="48" customFormat="1" ht="14.25" customHeight="1" x14ac:dyDescent="0.25">
      <c r="A231" s="46"/>
      <c r="B231" s="46"/>
      <c r="C231" s="46"/>
      <c r="D231" s="46"/>
      <c r="E231" s="47"/>
      <c r="F231" s="47"/>
      <c r="G231" s="47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</row>
    <row r="232" spans="1:32" s="48" customFormat="1" ht="14.25" customHeight="1" x14ac:dyDescent="0.25">
      <c r="A232" s="46"/>
      <c r="B232" s="46"/>
      <c r="C232" s="46"/>
      <c r="D232" s="46"/>
      <c r="E232" s="47"/>
      <c r="F232" s="47"/>
      <c r="G232" s="47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</row>
    <row r="233" spans="1:32" s="48" customFormat="1" ht="14.25" customHeight="1" x14ac:dyDescent="0.25">
      <c r="A233" s="46"/>
      <c r="B233" s="46"/>
      <c r="C233" s="46"/>
      <c r="D233" s="46"/>
      <c r="E233" s="47"/>
      <c r="F233" s="47"/>
      <c r="G233" s="47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</row>
    <row r="234" spans="1:32" s="48" customFormat="1" ht="14.25" customHeight="1" x14ac:dyDescent="0.25">
      <c r="A234" s="46"/>
      <c r="B234" s="46"/>
      <c r="C234" s="46"/>
      <c r="D234" s="46"/>
      <c r="E234" s="47"/>
      <c r="F234" s="47"/>
      <c r="G234" s="47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</row>
    <row r="235" spans="1:32" s="48" customFormat="1" ht="14.25" customHeight="1" x14ac:dyDescent="0.25">
      <c r="A235" s="46"/>
      <c r="B235" s="46"/>
      <c r="C235" s="46"/>
      <c r="D235" s="46"/>
      <c r="E235" s="47"/>
      <c r="F235" s="47"/>
      <c r="G235" s="47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</row>
    <row r="236" spans="1:32" s="48" customFormat="1" ht="14.25" customHeight="1" x14ac:dyDescent="0.25">
      <c r="A236" s="46"/>
      <c r="B236" s="46"/>
      <c r="C236" s="46"/>
      <c r="D236" s="46"/>
      <c r="E236" s="47"/>
      <c r="F236" s="47"/>
      <c r="G236" s="47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</row>
    <row r="237" spans="1:32" s="48" customFormat="1" ht="14.25" customHeight="1" x14ac:dyDescent="0.25">
      <c r="A237" s="46"/>
      <c r="B237" s="46"/>
      <c r="C237" s="46"/>
      <c r="D237" s="46"/>
      <c r="E237" s="47"/>
      <c r="F237" s="47"/>
      <c r="G237" s="47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</row>
    <row r="238" spans="1:32" s="48" customFormat="1" ht="14.25" customHeight="1" x14ac:dyDescent="0.25">
      <c r="A238" s="46"/>
      <c r="B238" s="46"/>
      <c r="C238" s="46"/>
      <c r="D238" s="46"/>
      <c r="E238" s="47"/>
      <c r="F238" s="47"/>
      <c r="G238" s="47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</row>
    <row r="239" spans="1:32" s="48" customFormat="1" ht="14.25" customHeight="1" x14ac:dyDescent="0.25">
      <c r="A239" s="46"/>
      <c r="B239" s="46"/>
      <c r="C239" s="46"/>
      <c r="D239" s="46"/>
      <c r="E239" s="47"/>
      <c r="F239" s="47"/>
      <c r="G239" s="47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</row>
    <row r="240" spans="1:32" s="48" customFormat="1" ht="14.25" customHeight="1" x14ac:dyDescent="0.25">
      <c r="A240" s="46"/>
      <c r="B240" s="46"/>
      <c r="C240" s="46"/>
      <c r="D240" s="46"/>
      <c r="E240" s="47"/>
      <c r="F240" s="47"/>
      <c r="G240" s="47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</row>
    <row r="241" spans="1:32" s="48" customFormat="1" ht="14.25" customHeight="1" x14ac:dyDescent="0.25">
      <c r="A241" s="46"/>
      <c r="B241" s="46"/>
      <c r="C241" s="46"/>
      <c r="D241" s="46"/>
      <c r="E241" s="47"/>
      <c r="F241" s="47"/>
      <c r="G241" s="47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</row>
    <row r="242" spans="1:32" s="48" customFormat="1" ht="14.25" customHeight="1" x14ac:dyDescent="0.25">
      <c r="A242" s="46"/>
      <c r="B242" s="46"/>
      <c r="C242" s="46"/>
      <c r="D242" s="46"/>
      <c r="E242" s="47"/>
      <c r="F242" s="47"/>
      <c r="G242" s="47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</row>
    <row r="243" spans="1:32" s="48" customFormat="1" ht="14.25" customHeight="1" x14ac:dyDescent="0.25">
      <c r="A243" s="46"/>
      <c r="B243" s="46"/>
      <c r="C243" s="46"/>
      <c r="D243" s="46"/>
      <c r="E243" s="47"/>
      <c r="F243" s="47"/>
      <c r="G243" s="47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</row>
    <row r="244" spans="1:32" s="48" customFormat="1" ht="14.25" customHeight="1" x14ac:dyDescent="0.25">
      <c r="A244" s="46"/>
      <c r="B244" s="46"/>
      <c r="C244" s="46"/>
      <c r="D244" s="46"/>
      <c r="E244" s="47"/>
      <c r="F244" s="47"/>
      <c r="G244" s="47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</row>
    <row r="245" spans="1:32" s="48" customFormat="1" ht="14.25" customHeight="1" x14ac:dyDescent="0.25">
      <c r="A245" s="46"/>
      <c r="B245" s="46"/>
      <c r="C245" s="46"/>
      <c r="D245" s="46"/>
      <c r="E245" s="47"/>
      <c r="F245" s="47"/>
      <c r="G245" s="47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</row>
    <row r="246" spans="1:32" s="48" customFormat="1" ht="14.25" customHeight="1" x14ac:dyDescent="0.25">
      <c r="A246" s="46"/>
      <c r="B246" s="46"/>
      <c r="C246" s="46"/>
      <c r="D246" s="46"/>
      <c r="E246" s="47"/>
      <c r="F246" s="47"/>
      <c r="G246" s="47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</row>
    <row r="247" spans="1:32" s="48" customFormat="1" ht="14.25" customHeight="1" x14ac:dyDescent="0.25">
      <c r="A247" s="46"/>
      <c r="B247" s="46"/>
      <c r="C247" s="46"/>
      <c r="D247" s="46"/>
      <c r="E247" s="47"/>
      <c r="F247" s="47"/>
      <c r="G247" s="47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</row>
    <row r="248" spans="1:32" s="48" customFormat="1" ht="14.25" customHeight="1" x14ac:dyDescent="0.25">
      <c r="A248" s="46"/>
      <c r="B248" s="46"/>
      <c r="C248" s="46"/>
      <c r="D248" s="46"/>
      <c r="E248" s="47"/>
      <c r="F248" s="47"/>
      <c r="G248" s="47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</row>
    <row r="249" spans="1:32" s="48" customFormat="1" ht="14.25" customHeight="1" x14ac:dyDescent="0.25">
      <c r="A249" s="46"/>
      <c r="B249" s="46"/>
      <c r="C249" s="46"/>
      <c r="D249" s="46"/>
      <c r="E249" s="47"/>
      <c r="F249" s="47"/>
      <c r="G249" s="47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</row>
    <row r="250" spans="1:32" s="48" customFormat="1" ht="14.25" customHeight="1" x14ac:dyDescent="0.25">
      <c r="A250" s="46"/>
      <c r="B250" s="46"/>
      <c r="C250" s="46"/>
      <c r="D250" s="46"/>
      <c r="E250" s="47"/>
      <c r="F250" s="47"/>
      <c r="G250" s="47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</row>
    <row r="251" spans="1:32" s="48" customFormat="1" ht="14.25" customHeight="1" x14ac:dyDescent="0.25">
      <c r="A251" s="46"/>
      <c r="B251" s="46"/>
      <c r="C251" s="46"/>
      <c r="D251" s="46"/>
      <c r="E251" s="47"/>
      <c r="F251" s="47"/>
      <c r="G251" s="47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</row>
    <row r="252" spans="1:32" s="48" customFormat="1" ht="14.25" customHeight="1" x14ac:dyDescent="0.25">
      <c r="A252" s="46"/>
      <c r="B252" s="46"/>
      <c r="C252" s="46"/>
      <c r="D252" s="46"/>
      <c r="E252" s="47"/>
      <c r="F252" s="47"/>
      <c r="G252" s="47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</row>
    <row r="253" spans="1:32" s="48" customFormat="1" ht="14.25" customHeight="1" x14ac:dyDescent="0.25">
      <c r="A253" s="46"/>
      <c r="B253" s="46"/>
      <c r="C253" s="46"/>
      <c r="D253" s="46"/>
      <c r="E253" s="47"/>
      <c r="F253" s="47"/>
      <c r="G253" s="47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</row>
    <row r="254" spans="1:32" s="48" customFormat="1" ht="14.25" customHeight="1" x14ac:dyDescent="0.25">
      <c r="A254" s="46"/>
      <c r="B254" s="46"/>
      <c r="C254" s="46"/>
      <c r="D254" s="46"/>
      <c r="E254" s="47"/>
      <c r="F254" s="47"/>
      <c r="G254" s="47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</row>
    <row r="255" spans="1:32" s="48" customFormat="1" ht="14.25" customHeight="1" x14ac:dyDescent="0.25">
      <c r="A255" s="46"/>
      <c r="B255" s="46"/>
      <c r="C255" s="46"/>
      <c r="D255" s="46"/>
      <c r="E255" s="47"/>
      <c r="F255" s="47"/>
      <c r="G255" s="47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</row>
    <row r="256" spans="1:32" s="48" customFormat="1" ht="14.25" customHeight="1" x14ac:dyDescent="0.25">
      <c r="A256" s="46"/>
      <c r="B256" s="46"/>
      <c r="C256" s="46"/>
      <c r="D256" s="46"/>
      <c r="E256" s="47"/>
      <c r="F256" s="47"/>
      <c r="G256" s="47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</row>
    <row r="257" spans="1:32" s="48" customFormat="1" ht="14.25" customHeight="1" x14ac:dyDescent="0.25">
      <c r="A257" s="46"/>
      <c r="B257" s="46"/>
      <c r="C257" s="46"/>
      <c r="D257" s="46"/>
      <c r="E257" s="47"/>
      <c r="F257" s="47"/>
      <c r="G257" s="47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</row>
    <row r="258" spans="1:32" s="48" customFormat="1" ht="14.25" customHeight="1" x14ac:dyDescent="0.25">
      <c r="A258" s="46"/>
      <c r="B258" s="46"/>
      <c r="C258" s="46"/>
      <c r="D258" s="46"/>
      <c r="E258" s="47"/>
      <c r="F258" s="47"/>
      <c r="G258" s="47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</row>
    <row r="259" spans="1:32" s="48" customFormat="1" ht="14.25" customHeight="1" x14ac:dyDescent="0.25">
      <c r="A259" s="46"/>
      <c r="B259" s="46"/>
      <c r="C259" s="46"/>
      <c r="D259" s="46"/>
      <c r="E259" s="47"/>
      <c r="F259" s="47"/>
      <c r="G259" s="47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</row>
    <row r="260" spans="1:32" s="48" customFormat="1" ht="14.25" customHeight="1" x14ac:dyDescent="0.25">
      <c r="A260" s="46"/>
      <c r="B260" s="46"/>
      <c r="C260" s="46"/>
      <c r="D260" s="46"/>
      <c r="E260" s="47"/>
      <c r="F260" s="47"/>
      <c r="G260" s="47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</row>
    <row r="261" spans="1:32" s="48" customFormat="1" ht="14.25" customHeight="1" x14ac:dyDescent="0.25">
      <c r="A261" s="46"/>
      <c r="B261" s="46"/>
      <c r="C261" s="46"/>
      <c r="D261" s="46"/>
      <c r="E261" s="47"/>
      <c r="F261" s="47"/>
      <c r="G261" s="47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</row>
    <row r="262" spans="1:32" s="48" customFormat="1" ht="14.25" customHeight="1" x14ac:dyDescent="0.25">
      <c r="A262" s="46"/>
      <c r="B262" s="46"/>
      <c r="C262" s="46"/>
      <c r="D262" s="46"/>
      <c r="E262" s="47"/>
      <c r="F262" s="47"/>
      <c r="G262" s="47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</row>
    <row r="263" spans="1:32" s="48" customFormat="1" ht="14.25" customHeight="1" x14ac:dyDescent="0.25">
      <c r="A263" s="46"/>
      <c r="B263" s="46"/>
      <c r="C263" s="46"/>
      <c r="D263" s="46"/>
      <c r="E263" s="47"/>
      <c r="F263" s="47"/>
      <c r="G263" s="47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</row>
    <row r="264" spans="1:32" s="48" customFormat="1" ht="14.25" customHeight="1" x14ac:dyDescent="0.25">
      <c r="A264" s="46"/>
      <c r="B264" s="46"/>
      <c r="C264" s="46"/>
      <c r="D264" s="46"/>
      <c r="E264" s="47"/>
      <c r="F264" s="47"/>
      <c r="G264" s="47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</row>
    <row r="265" spans="1:32" s="48" customFormat="1" ht="14.25" customHeight="1" x14ac:dyDescent="0.25">
      <c r="A265" s="46"/>
      <c r="B265" s="46"/>
      <c r="C265" s="46"/>
      <c r="D265" s="46"/>
      <c r="E265" s="47"/>
      <c r="F265" s="47"/>
      <c r="G265" s="47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</row>
    <row r="266" spans="1:32" s="48" customFormat="1" ht="14.25" customHeight="1" x14ac:dyDescent="0.25">
      <c r="A266" s="46"/>
      <c r="B266" s="46"/>
      <c r="C266" s="46"/>
      <c r="D266" s="46"/>
      <c r="E266" s="47"/>
      <c r="F266" s="47"/>
      <c r="G266" s="47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</row>
    <row r="267" spans="1:32" s="48" customFormat="1" ht="14.25" customHeight="1" x14ac:dyDescent="0.25">
      <c r="A267" s="46"/>
      <c r="B267" s="46"/>
      <c r="C267" s="46"/>
      <c r="D267" s="46"/>
      <c r="E267" s="47"/>
      <c r="F267" s="47"/>
      <c r="G267" s="47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</row>
    <row r="268" spans="1:32" s="48" customFormat="1" ht="14.25" customHeight="1" x14ac:dyDescent="0.25">
      <c r="A268" s="46"/>
      <c r="B268" s="46"/>
      <c r="C268" s="46"/>
      <c r="D268" s="46"/>
      <c r="E268" s="47"/>
      <c r="F268" s="47"/>
      <c r="G268" s="47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</row>
    <row r="269" spans="1:32" s="48" customFormat="1" ht="14.25" customHeight="1" x14ac:dyDescent="0.25">
      <c r="A269" s="46"/>
      <c r="B269" s="46"/>
      <c r="C269" s="46"/>
      <c r="D269" s="46"/>
      <c r="E269" s="47"/>
      <c r="F269" s="47"/>
      <c r="G269" s="47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</row>
    <row r="270" spans="1:32" s="48" customFormat="1" ht="14.25" customHeight="1" x14ac:dyDescent="0.25">
      <c r="A270" s="46"/>
      <c r="B270" s="46"/>
      <c r="C270" s="46"/>
      <c r="D270" s="46"/>
      <c r="E270" s="47"/>
      <c r="F270" s="47"/>
      <c r="G270" s="47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</row>
    <row r="271" spans="1:32" s="48" customFormat="1" ht="14.25" customHeight="1" x14ac:dyDescent="0.25">
      <c r="A271" s="46"/>
      <c r="B271" s="46"/>
      <c r="C271" s="46"/>
      <c r="D271" s="46"/>
      <c r="E271" s="47"/>
      <c r="F271" s="47"/>
      <c r="G271" s="47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</row>
    <row r="272" spans="1:32" s="48" customFormat="1" ht="14.25" customHeight="1" x14ac:dyDescent="0.25">
      <c r="A272" s="46"/>
      <c r="B272" s="46"/>
      <c r="C272" s="46"/>
      <c r="D272" s="46"/>
      <c r="E272" s="47"/>
      <c r="F272" s="47"/>
      <c r="G272" s="47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</row>
    <row r="273" spans="1:32" s="48" customFormat="1" ht="14.25" customHeight="1" x14ac:dyDescent="0.25">
      <c r="A273" s="46"/>
      <c r="B273" s="46"/>
      <c r="C273" s="46"/>
      <c r="D273" s="46"/>
      <c r="E273" s="47"/>
      <c r="F273" s="47"/>
      <c r="G273" s="47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</row>
    <row r="274" spans="1:32" s="48" customFormat="1" ht="14.25" customHeight="1" x14ac:dyDescent="0.25">
      <c r="A274" s="46"/>
      <c r="B274" s="46"/>
      <c r="C274" s="46"/>
      <c r="D274" s="46"/>
      <c r="E274" s="47"/>
      <c r="F274" s="47"/>
      <c r="G274" s="47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</row>
    <row r="275" spans="1:32" s="48" customFormat="1" ht="14.25" customHeight="1" x14ac:dyDescent="0.25">
      <c r="A275" s="46"/>
      <c r="B275" s="46"/>
      <c r="C275" s="46"/>
      <c r="D275" s="46"/>
      <c r="E275" s="47"/>
      <c r="F275" s="47"/>
      <c r="G275" s="47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</row>
    <row r="276" spans="1:32" s="48" customFormat="1" ht="14.25" customHeight="1" x14ac:dyDescent="0.25">
      <c r="A276" s="46"/>
      <c r="B276" s="46"/>
      <c r="C276" s="46"/>
      <c r="D276" s="46"/>
      <c r="E276" s="47"/>
      <c r="F276" s="47"/>
      <c r="G276" s="47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</row>
    <row r="277" spans="1:32" s="48" customFormat="1" ht="14.25" customHeight="1" x14ac:dyDescent="0.25">
      <c r="A277" s="46"/>
      <c r="B277" s="46"/>
      <c r="C277" s="46"/>
      <c r="D277" s="46"/>
      <c r="E277" s="47"/>
      <c r="F277" s="47"/>
      <c r="G277" s="47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</row>
    <row r="278" spans="1:32" s="48" customFormat="1" ht="14.25" customHeight="1" x14ac:dyDescent="0.25">
      <c r="A278" s="46"/>
      <c r="B278" s="46"/>
      <c r="C278" s="46"/>
      <c r="D278" s="46"/>
      <c r="E278" s="47"/>
      <c r="F278" s="47"/>
      <c r="G278" s="47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</row>
    <row r="279" spans="1:32" s="48" customFormat="1" ht="14.25" customHeight="1" x14ac:dyDescent="0.25">
      <c r="A279" s="46"/>
      <c r="B279" s="46"/>
      <c r="C279" s="46"/>
      <c r="D279" s="46"/>
      <c r="E279" s="47"/>
      <c r="F279" s="47"/>
      <c r="G279" s="47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</row>
    <row r="280" spans="1:32" s="48" customFormat="1" ht="14.25" customHeight="1" x14ac:dyDescent="0.25">
      <c r="A280" s="46"/>
      <c r="B280" s="46"/>
      <c r="C280" s="46"/>
      <c r="D280" s="46"/>
      <c r="E280" s="47"/>
      <c r="F280" s="47"/>
      <c r="G280" s="47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</row>
    <row r="281" spans="1:32" s="48" customFormat="1" ht="14.25" customHeight="1" x14ac:dyDescent="0.25">
      <c r="A281" s="46"/>
      <c r="B281" s="46"/>
      <c r="C281" s="46"/>
      <c r="D281" s="46"/>
      <c r="E281" s="47"/>
      <c r="F281" s="47"/>
      <c r="G281" s="47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</row>
    <row r="282" spans="1:32" s="48" customFormat="1" ht="14.25" customHeight="1" x14ac:dyDescent="0.25">
      <c r="A282" s="46"/>
      <c r="B282" s="46"/>
      <c r="C282" s="46"/>
      <c r="D282" s="46"/>
      <c r="E282" s="47"/>
      <c r="F282" s="47"/>
      <c r="G282" s="47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</row>
    <row r="283" spans="1:32" s="48" customFormat="1" ht="14.25" customHeight="1" x14ac:dyDescent="0.25">
      <c r="A283" s="46"/>
      <c r="B283" s="46"/>
      <c r="C283" s="46"/>
      <c r="D283" s="46"/>
      <c r="E283" s="47"/>
      <c r="F283" s="47"/>
      <c r="G283" s="47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</row>
    <row r="284" spans="1:32" s="48" customFormat="1" ht="14.25" customHeight="1" x14ac:dyDescent="0.25">
      <c r="A284" s="46"/>
      <c r="B284" s="46"/>
      <c r="C284" s="46"/>
      <c r="D284" s="46"/>
      <c r="E284" s="47"/>
      <c r="F284" s="47"/>
      <c r="G284" s="47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</row>
    <row r="285" spans="1:32" s="48" customFormat="1" ht="14.25" customHeight="1" x14ac:dyDescent="0.25">
      <c r="A285" s="46"/>
      <c r="B285" s="46"/>
      <c r="C285" s="46"/>
      <c r="D285" s="46"/>
      <c r="E285" s="47"/>
      <c r="F285" s="47"/>
      <c r="G285" s="47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</row>
    <row r="286" spans="1:32" s="48" customFormat="1" ht="14.25" customHeight="1" x14ac:dyDescent="0.25">
      <c r="A286" s="46"/>
      <c r="B286" s="46"/>
      <c r="C286" s="46"/>
      <c r="D286" s="46"/>
      <c r="E286" s="47"/>
      <c r="F286" s="47"/>
      <c r="G286" s="47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</row>
    <row r="287" spans="1:32" s="48" customFormat="1" ht="14.25" customHeight="1" x14ac:dyDescent="0.25">
      <c r="A287" s="46"/>
      <c r="B287" s="46"/>
      <c r="C287" s="46"/>
      <c r="D287" s="46"/>
      <c r="E287" s="47"/>
      <c r="F287" s="47"/>
      <c r="G287" s="47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</row>
    <row r="288" spans="1:32" s="48" customFormat="1" ht="14.25" customHeight="1" x14ac:dyDescent="0.25">
      <c r="A288" s="46"/>
      <c r="B288" s="46"/>
      <c r="C288" s="46"/>
      <c r="D288" s="46"/>
      <c r="E288" s="47"/>
      <c r="F288" s="47"/>
      <c r="G288" s="47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</row>
    <row r="289" spans="1:32" s="48" customFormat="1" ht="14.25" customHeight="1" x14ac:dyDescent="0.25">
      <c r="A289" s="46"/>
      <c r="B289" s="46"/>
      <c r="C289" s="46"/>
      <c r="D289" s="46"/>
      <c r="E289" s="47"/>
      <c r="F289" s="47"/>
      <c r="G289" s="47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</row>
    <row r="290" spans="1:32" s="48" customFormat="1" ht="14.25" customHeight="1" x14ac:dyDescent="0.25">
      <c r="A290" s="46"/>
      <c r="B290" s="46"/>
      <c r="C290" s="46"/>
      <c r="D290" s="46"/>
      <c r="E290" s="47"/>
      <c r="F290" s="47"/>
      <c r="G290" s="47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  <c r="AC290" s="46"/>
      <c r="AD290" s="46"/>
      <c r="AE290" s="46"/>
      <c r="AF290" s="46"/>
    </row>
    <row r="291" spans="1:32" s="48" customFormat="1" ht="14.25" customHeight="1" x14ac:dyDescent="0.25">
      <c r="A291" s="46"/>
      <c r="B291" s="46"/>
      <c r="C291" s="46"/>
      <c r="D291" s="46"/>
      <c r="E291" s="47"/>
      <c r="F291" s="47"/>
      <c r="G291" s="47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  <c r="AC291" s="46"/>
      <c r="AD291" s="46"/>
      <c r="AE291" s="46"/>
      <c r="AF291" s="46"/>
    </row>
    <row r="292" spans="1:32" s="48" customFormat="1" ht="14.25" customHeight="1" x14ac:dyDescent="0.25">
      <c r="A292" s="46"/>
      <c r="B292" s="46"/>
      <c r="C292" s="46"/>
      <c r="D292" s="46"/>
      <c r="E292" s="47"/>
      <c r="F292" s="47"/>
      <c r="G292" s="47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  <c r="AC292" s="46"/>
      <c r="AD292" s="46"/>
      <c r="AE292" s="46"/>
      <c r="AF292" s="46"/>
    </row>
    <row r="293" spans="1:32" s="48" customFormat="1" ht="14.25" customHeight="1" x14ac:dyDescent="0.25">
      <c r="A293" s="46"/>
      <c r="B293" s="46"/>
      <c r="C293" s="46"/>
      <c r="D293" s="46"/>
      <c r="E293" s="47"/>
      <c r="F293" s="47"/>
      <c r="G293" s="47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  <c r="AC293" s="46"/>
      <c r="AD293" s="46"/>
      <c r="AE293" s="46"/>
      <c r="AF293" s="46"/>
    </row>
    <row r="294" spans="1:32" s="48" customFormat="1" ht="14.25" customHeight="1" x14ac:dyDescent="0.25">
      <c r="A294" s="46"/>
      <c r="B294" s="46"/>
      <c r="C294" s="46"/>
      <c r="D294" s="46"/>
      <c r="E294" s="47"/>
      <c r="F294" s="47"/>
      <c r="G294" s="47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  <c r="AC294" s="46"/>
      <c r="AD294" s="46"/>
      <c r="AE294" s="46"/>
      <c r="AF294" s="46"/>
    </row>
    <row r="295" spans="1:32" s="48" customFormat="1" ht="14.25" customHeight="1" x14ac:dyDescent="0.25">
      <c r="A295" s="46"/>
      <c r="B295" s="46"/>
      <c r="C295" s="46"/>
      <c r="D295" s="46"/>
      <c r="E295" s="47"/>
      <c r="F295" s="47"/>
      <c r="G295" s="47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  <c r="AC295" s="46"/>
      <c r="AD295" s="46"/>
      <c r="AE295" s="46"/>
      <c r="AF295" s="46"/>
    </row>
    <row r="296" spans="1:32" s="48" customFormat="1" ht="14.25" customHeight="1" x14ac:dyDescent="0.25">
      <c r="A296" s="46"/>
      <c r="B296" s="46"/>
      <c r="C296" s="46"/>
      <c r="D296" s="46"/>
      <c r="E296" s="47"/>
      <c r="F296" s="47"/>
      <c r="G296" s="47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  <c r="AC296" s="46"/>
      <c r="AD296" s="46"/>
      <c r="AE296" s="46"/>
      <c r="AF296" s="46"/>
    </row>
    <row r="297" spans="1:32" s="48" customFormat="1" ht="14.25" customHeight="1" x14ac:dyDescent="0.25">
      <c r="A297" s="46"/>
      <c r="B297" s="46"/>
      <c r="C297" s="46"/>
      <c r="D297" s="46"/>
      <c r="E297" s="47"/>
      <c r="F297" s="47"/>
      <c r="G297" s="47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  <c r="AC297" s="46"/>
      <c r="AD297" s="46"/>
      <c r="AE297" s="46"/>
      <c r="AF297" s="46"/>
    </row>
    <row r="298" spans="1:32" s="48" customFormat="1" ht="14.25" customHeight="1" x14ac:dyDescent="0.25">
      <c r="A298" s="46"/>
      <c r="B298" s="46"/>
      <c r="C298" s="46"/>
      <c r="D298" s="46"/>
      <c r="E298" s="47"/>
      <c r="F298" s="47"/>
      <c r="G298" s="47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  <c r="AC298" s="46"/>
      <c r="AD298" s="46"/>
      <c r="AE298" s="46"/>
      <c r="AF298" s="46"/>
    </row>
    <row r="299" spans="1:32" s="48" customFormat="1" ht="14.25" customHeight="1" x14ac:dyDescent="0.25">
      <c r="A299" s="46"/>
      <c r="B299" s="46"/>
      <c r="C299" s="46"/>
      <c r="D299" s="46"/>
      <c r="E299" s="47"/>
      <c r="F299" s="47"/>
      <c r="G299" s="47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  <c r="AC299" s="46"/>
      <c r="AD299" s="46"/>
      <c r="AE299" s="46"/>
      <c r="AF299" s="46"/>
    </row>
    <row r="300" spans="1:32" s="48" customFormat="1" ht="14.25" customHeight="1" x14ac:dyDescent="0.25">
      <c r="A300" s="46"/>
      <c r="B300" s="46"/>
      <c r="C300" s="46"/>
      <c r="D300" s="46"/>
      <c r="E300" s="47"/>
      <c r="F300" s="47"/>
      <c r="G300" s="47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  <c r="AC300" s="46"/>
      <c r="AD300" s="46"/>
      <c r="AE300" s="46"/>
      <c r="AF300" s="46"/>
    </row>
    <row r="301" spans="1:32" s="48" customFormat="1" ht="14.25" customHeight="1" x14ac:dyDescent="0.25">
      <c r="A301" s="46"/>
      <c r="B301" s="46"/>
      <c r="C301" s="46"/>
      <c r="D301" s="46"/>
      <c r="E301" s="47"/>
      <c r="F301" s="47"/>
      <c r="G301" s="47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  <c r="AC301" s="46"/>
      <c r="AD301" s="46"/>
      <c r="AE301" s="46"/>
      <c r="AF301" s="46"/>
    </row>
    <row r="302" spans="1:32" s="48" customFormat="1" ht="14.25" customHeight="1" x14ac:dyDescent="0.25">
      <c r="A302" s="46"/>
      <c r="B302" s="46"/>
      <c r="C302" s="46"/>
      <c r="D302" s="46"/>
      <c r="E302" s="47"/>
      <c r="F302" s="47"/>
      <c r="G302" s="47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  <c r="AC302" s="46"/>
      <c r="AD302" s="46"/>
      <c r="AE302" s="46"/>
      <c r="AF302" s="46"/>
    </row>
    <row r="303" spans="1:32" s="48" customFormat="1" ht="14.25" customHeight="1" x14ac:dyDescent="0.25">
      <c r="A303" s="46"/>
      <c r="B303" s="46"/>
      <c r="C303" s="46"/>
      <c r="D303" s="46"/>
      <c r="E303" s="47"/>
      <c r="F303" s="47"/>
      <c r="G303" s="47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  <c r="AC303" s="46"/>
      <c r="AD303" s="46"/>
      <c r="AE303" s="46"/>
      <c r="AF303" s="46"/>
    </row>
    <row r="304" spans="1:32" s="48" customFormat="1" ht="14.25" customHeight="1" x14ac:dyDescent="0.25">
      <c r="A304" s="46"/>
      <c r="B304" s="46"/>
      <c r="C304" s="46"/>
      <c r="D304" s="46"/>
      <c r="E304" s="47"/>
      <c r="F304" s="47"/>
      <c r="G304" s="47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  <c r="AC304" s="46"/>
      <c r="AD304" s="46"/>
      <c r="AE304" s="46"/>
      <c r="AF304" s="46"/>
    </row>
    <row r="305" spans="1:32" s="48" customFormat="1" ht="14.25" customHeight="1" x14ac:dyDescent="0.25">
      <c r="A305" s="46"/>
      <c r="B305" s="46"/>
      <c r="C305" s="46"/>
      <c r="D305" s="46"/>
      <c r="E305" s="47"/>
      <c r="F305" s="47"/>
      <c r="G305" s="47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  <c r="AC305" s="46"/>
      <c r="AD305" s="46"/>
      <c r="AE305" s="46"/>
      <c r="AF305" s="46"/>
    </row>
    <row r="306" spans="1:32" s="48" customFormat="1" ht="14.25" customHeight="1" x14ac:dyDescent="0.25">
      <c r="A306" s="46"/>
      <c r="B306" s="46"/>
      <c r="C306" s="46"/>
      <c r="D306" s="46"/>
      <c r="E306" s="47"/>
      <c r="F306" s="47"/>
      <c r="G306" s="47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  <c r="AC306" s="46"/>
      <c r="AD306" s="46"/>
      <c r="AE306" s="46"/>
      <c r="AF306" s="46"/>
    </row>
    <row r="307" spans="1:32" s="48" customFormat="1" ht="14.25" customHeight="1" x14ac:dyDescent="0.25">
      <c r="A307" s="46"/>
      <c r="B307" s="46"/>
      <c r="C307" s="46"/>
      <c r="D307" s="46"/>
      <c r="E307" s="47"/>
      <c r="F307" s="47"/>
      <c r="G307" s="47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  <c r="AC307" s="46"/>
      <c r="AD307" s="46"/>
      <c r="AE307" s="46"/>
      <c r="AF307" s="46"/>
    </row>
    <row r="308" spans="1:32" s="48" customFormat="1" ht="14.25" customHeight="1" x14ac:dyDescent="0.25">
      <c r="A308" s="46"/>
      <c r="B308" s="46"/>
      <c r="C308" s="46"/>
      <c r="D308" s="46"/>
      <c r="E308" s="47"/>
      <c r="F308" s="47"/>
      <c r="G308" s="47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</row>
    <row r="309" spans="1:32" s="48" customFormat="1" ht="14.25" customHeight="1" x14ac:dyDescent="0.25">
      <c r="A309" s="46"/>
      <c r="B309" s="46"/>
      <c r="C309" s="46"/>
      <c r="D309" s="46"/>
      <c r="E309" s="47"/>
      <c r="F309" s="47"/>
      <c r="G309" s="47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  <c r="AC309" s="46"/>
      <c r="AD309" s="46"/>
      <c r="AE309" s="46"/>
      <c r="AF309" s="46"/>
    </row>
    <row r="310" spans="1:32" s="48" customFormat="1" ht="14.25" customHeight="1" x14ac:dyDescent="0.25">
      <c r="A310" s="46"/>
      <c r="B310" s="46"/>
      <c r="C310" s="46"/>
      <c r="D310" s="46"/>
      <c r="E310" s="47"/>
      <c r="F310" s="47"/>
      <c r="G310" s="47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  <c r="AC310" s="46"/>
      <c r="AD310" s="46"/>
      <c r="AE310" s="46"/>
      <c r="AF310" s="46"/>
    </row>
    <row r="311" spans="1:32" s="48" customFormat="1" ht="14.25" customHeight="1" x14ac:dyDescent="0.25">
      <c r="A311" s="46"/>
      <c r="B311" s="46"/>
      <c r="C311" s="46"/>
      <c r="D311" s="46"/>
      <c r="E311" s="47"/>
      <c r="F311" s="47"/>
      <c r="G311" s="47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  <c r="AC311" s="46"/>
      <c r="AD311" s="46"/>
      <c r="AE311" s="46"/>
      <c r="AF311" s="46"/>
    </row>
    <row r="312" spans="1:32" s="48" customFormat="1" ht="14.25" customHeight="1" x14ac:dyDescent="0.25">
      <c r="A312" s="46"/>
      <c r="B312" s="46"/>
      <c r="C312" s="46"/>
      <c r="D312" s="46"/>
      <c r="E312" s="47"/>
      <c r="F312" s="47"/>
      <c r="G312" s="47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  <c r="AC312" s="46"/>
      <c r="AD312" s="46"/>
      <c r="AE312" s="46"/>
      <c r="AF312" s="46"/>
    </row>
    <row r="313" spans="1:32" s="48" customFormat="1" ht="14.25" customHeight="1" x14ac:dyDescent="0.25">
      <c r="A313" s="46"/>
      <c r="B313" s="46"/>
      <c r="C313" s="46"/>
      <c r="D313" s="46"/>
      <c r="E313" s="47"/>
      <c r="F313" s="47"/>
      <c r="G313" s="47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  <c r="AC313" s="46"/>
      <c r="AD313" s="46"/>
      <c r="AE313" s="46"/>
      <c r="AF313" s="46"/>
    </row>
    <row r="314" spans="1:32" s="48" customFormat="1" ht="14.25" customHeight="1" x14ac:dyDescent="0.25">
      <c r="A314" s="46"/>
      <c r="B314" s="46"/>
      <c r="C314" s="46"/>
      <c r="D314" s="46"/>
      <c r="E314" s="47"/>
      <c r="F314" s="47"/>
      <c r="G314" s="47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  <c r="AC314" s="46"/>
      <c r="AD314" s="46"/>
      <c r="AE314" s="46"/>
      <c r="AF314" s="46"/>
    </row>
    <row r="315" spans="1:32" s="48" customFormat="1" ht="14.25" customHeight="1" x14ac:dyDescent="0.25">
      <c r="A315" s="46"/>
      <c r="B315" s="46"/>
      <c r="C315" s="46"/>
      <c r="D315" s="46"/>
      <c r="E315" s="47"/>
      <c r="F315" s="47"/>
      <c r="G315" s="47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  <c r="AC315" s="46"/>
      <c r="AD315" s="46"/>
      <c r="AE315" s="46"/>
      <c r="AF315" s="46"/>
    </row>
    <row r="316" spans="1:32" s="48" customFormat="1" ht="14.25" customHeight="1" x14ac:dyDescent="0.25">
      <c r="A316" s="46"/>
      <c r="B316" s="46"/>
      <c r="C316" s="46"/>
      <c r="D316" s="46"/>
      <c r="E316" s="47"/>
      <c r="F316" s="47"/>
      <c r="G316" s="47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  <c r="AC316" s="46"/>
      <c r="AD316" s="46"/>
      <c r="AE316" s="46"/>
      <c r="AF316" s="46"/>
    </row>
    <row r="317" spans="1:32" s="48" customFormat="1" ht="14.25" customHeight="1" x14ac:dyDescent="0.25">
      <c r="A317" s="46"/>
      <c r="B317" s="46"/>
      <c r="C317" s="46"/>
      <c r="D317" s="46"/>
      <c r="E317" s="47"/>
      <c r="F317" s="47"/>
      <c r="G317" s="47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  <c r="AC317" s="46"/>
      <c r="AD317" s="46"/>
      <c r="AE317" s="46"/>
      <c r="AF317" s="46"/>
    </row>
    <row r="318" spans="1:32" s="48" customFormat="1" ht="14.25" customHeight="1" x14ac:dyDescent="0.25">
      <c r="A318" s="46"/>
      <c r="B318" s="46"/>
      <c r="C318" s="46"/>
      <c r="D318" s="46"/>
      <c r="E318" s="47"/>
      <c r="F318" s="47"/>
      <c r="G318" s="47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  <c r="AC318" s="46"/>
      <c r="AD318" s="46"/>
      <c r="AE318" s="46"/>
      <c r="AF318" s="46"/>
    </row>
    <row r="319" spans="1:32" s="48" customFormat="1" ht="14.25" customHeight="1" x14ac:dyDescent="0.25">
      <c r="A319" s="46"/>
      <c r="B319" s="46"/>
      <c r="C319" s="46"/>
      <c r="D319" s="46"/>
      <c r="E319" s="47"/>
      <c r="F319" s="47"/>
      <c r="G319" s="47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  <c r="AC319" s="46"/>
      <c r="AD319" s="46"/>
      <c r="AE319" s="46"/>
      <c r="AF319" s="46"/>
    </row>
    <row r="320" spans="1:32" s="48" customFormat="1" ht="14.25" customHeight="1" x14ac:dyDescent="0.25">
      <c r="A320" s="46"/>
      <c r="B320" s="46"/>
      <c r="C320" s="46"/>
      <c r="D320" s="46"/>
      <c r="E320" s="47"/>
      <c r="F320" s="47"/>
      <c r="G320" s="47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  <c r="AC320" s="46"/>
      <c r="AD320" s="46"/>
      <c r="AE320" s="46"/>
      <c r="AF320" s="46"/>
    </row>
    <row r="321" spans="1:32" s="48" customFormat="1" ht="14.25" customHeight="1" x14ac:dyDescent="0.25">
      <c r="A321" s="46"/>
      <c r="B321" s="46"/>
      <c r="C321" s="46"/>
      <c r="D321" s="46"/>
      <c r="E321" s="47"/>
      <c r="F321" s="47"/>
      <c r="G321" s="47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  <c r="AC321" s="46"/>
      <c r="AD321" s="46"/>
      <c r="AE321" s="46"/>
      <c r="AF321" s="46"/>
    </row>
    <row r="322" spans="1:32" s="48" customFormat="1" ht="14.25" customHeight="1" x14ac:dyDescent="0.25">
      <c r="A322" s="46"/>
      <c r="B322" s="46"/>
      <c r="C322" s="46"/>
      <c r="D322" s="46"/>
      <c r="E322" s="47"/>
      <c r="F322" s="47"/>
      <c r="G322" s="47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  <c r="AC322" s="46"/>
      <c r="AD322" s="46"/>
      <c r="AE322" s="46"/>
      <c r="AF322" s="46"/>
    </row>
    <row r="323" spans="1:32" s="48" customFormat="1" ht="14.25" customHeight="1" x14ac:dyDescent="0.25">
      <c r="A323" s="46"/>
      <c r="B323" s="46"/>
      <c r="C323" s="46"/>
      <c r="D323" s="46"/>
      <c r="E323" s="47"/>
      <c r="F323" s="47"/>
      <c r="G323" s="47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  <c r="AC323" s="46"/>
      <c r="AD323" s="46"/>
      <c r="AE323" s="46"/>
      <c r="AF323" s="46"/>
    </row>
    <row r="324" spans="1:32" s="48" customFormat="1" ht="14.25" customHeight="1" x14ac:dyDescent="0.25">
      <c r="A324" s="46"/>
      <c r="B324" s="46"/>
      <c r="C324" s="46"/>
      <c r="D324" s="46"/>
      <c r="E324" s="47"/>
      <c r="F324" s="47"/>
      <c r="G324" s="47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  <c r="AC324" s="46"/>
      <c r="AD324" s="46"/>
      <c r="AE324" s="46"/>
      <c r="AF324" s="46"/>
    </row>
    <row r="325" spans="1:32" s="48" customFormat="1" ht="14.25" customHeight="1" x14ac:dyDescent="0.25">
      <c r="A325" s="46"/>
      <c r="B325" s="46"/>
      <c r="C325" s="46"/>
      <c r="D325" s="46"/>
      <c r="E325" s="47"/>
      <c r="F325" s="47"/>
      <c r="G325" s="47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  <c r="AC325" s="46"/>
      <c r="AD325" s="46"/>
      <c r="AE325" s="46"/>
      <c r="AF325" s="46"/>
    </row>
    <row r="326" spans="1:32" s="48" customFormat="1" ht="14.25" customHeight="1" x14ac:dyDescent="0.25">
      <c r="A326" s="46"/>
      <c r="B326" s="46"/>
      <c r="C326" s="46"/>
      <c r="D326" s="46"/>
      <c r="E326" s="47"/>
      <c r="F326" s="47"/>
      <c r="G326" s="47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  <c r="AC326" s="46"/>
      <c r="AD326" s="46"/>
      <c r="AE326" s="46"/>
      <c r="AF326" s="46"/>
    </row>
    <row r="327" spans="1:32" s="48" customFormat="1" ht="14.25" customHeight="1" x14ac:dyDescent="0.25">
      <c r="A327" s="46"/>
      <c r="B327" s="46"/>
      <c r="C327" s="46"/>
      <c r="D327" s="46"/>
      <c r="E327" s="47"/>
      <c r="F327" s="47"/>
      <c r="G327" s="47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  <c r="AC327" s="46"/>
      <c r="AD327" s="46"/>
      <c r="AE327" s="46"/>
      <c r="AF327" s="46"/>
    </row>
    <row r="328" spans="1:32" s="48" customFormat="1" ht="14.25" customHeight="1" x14ac:dyDescent="0.25">
      <c r="A328" s="46"/>
      <c r="B328" s="46"/>
      <c r="C328" s="46"/>
      <c r="D328" s="46"/>
      <c r="E328" s="47"/>
      <c r="F328" s="47"/>
      <c r="G328" s="47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  <c r="AC328" s="46"/>
      <c r="AD328" s="46"/>
      <c r="AE328" s="46"/>
      <c r="AF328" s="46"/>
    </row>
    <row r="329" spans="1:32" s="48" customFormat="1" ht="14.25" customHeight="1" x14ac:dyDescent="0.25">
      <c r="A329" s="46"/>
      <c r="B329" s="46"/>
      <c r="C329" s="46"/>
      <c r="D329" s="46"/>
      <c r="E329" s="47"/>
      <c r="F329" s="47"/>
      <c r="G329" s="47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  <c r="AC329" s="46"/>
      <c r="AD329" s="46"/>
      <c r="AE329" s="46"/>
      <c r="AF329" s="46"/>
    </row>
    <row r="330" spans="1:32" s="48" customFormat="1" ht="14.25" customHeight="1" x14ac:dyDescent="0.25">
      <c r="A330" s="46"/>
      <c r="B330" s="46"/>
      <c r="C330" s="46"/>
      <c r="D330" s="46"/>
      <c r="E330" s="47"/>
      <c r="F330" s="47"/>
      <c r="G330" s="47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  <c r="AC330" s="46"/>
      <c r="AD330" s="46"/>
      <c r="AE330" s="46"/>
      <c r="AF330" s="46"/>
    </row>
    <row r="331" spans="1:32" s="48" customFormat="1" ht="14.25" customHeight="1" x14ac:dyDescent="0.25">
      <c r="A331" s="46"/>
      <c r="B331" s="46"/>
      <c r="C331" s="46"/>
      <c r="D331" s="46"/>
      <c r="E331" s="47"/>
      <c r="F331" s="47"/>
      <c r="G331" s="47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  <c r="AC331" s="46"/>
      <c r="AD331" s="46"/>
      <c r="AE331" s="46"/>
      <c r="AF331" s="46"/>
    </row>
    <row r="332" spans="1:32" s="48" customFormat="1" ht="14.25" customHeight="1" x14ac:dyDescent="0.25">
      <c r="A332" s="46"/>
      <c r="B332" s="46"/>
      <c r="C332" s="46"/>
      <c r="D332" s="46"/>
      <c r="E332" s="47"/>
      <c r="F332" s="47"/>
      <c r="G332" s="47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  <c r="AC332" s="46"/>
      <c r="AD332" s="46"/>
      <c r="AE332" s="46"/>
      <c r="AF332" s="46"/>
    </row>
    <row r="333" spans="1:32" s="48" customFormat="1" ht="14.25" customHeight="1" x14ac:dyDescent="0.25">
      <c r="A333" s="46"/>
      <c r="B333" s="46"/>
      <c r="C333" s="46"/>
      <c r="D333" s="46"/>
      <c r="E333" s="47"/>
      <c r="F333" s="47"/>
      <c r="G333" s="47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  <c r="AC333" s="46"/>
      <c r="AD333" s="46"/>
      <c r="AE333" s="46"/>
      <c r="AF333" s="46"/>
    </row>
    <row r="334" spans="1:32" s="48" customFormat="1" ht="14.25" customHeight="1" x14ac:dyDescent="0.25">
      <c r="A334" s="46"/>
      <c r="B334" s="46"/>
      <c r="C334" s="46"/>
      <c r="D334" s="46"/>
      <c r="E334" s="47"/>
      <c r="F334" s="47"/>
      <c r="G334" s="47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  <c r="AC334" s="46"/>
      <c r="AD334" s="46"/>
      <c r="AE334" s="46"/>
      <c r="AF334" s="46"/>
    </row>
    <row r="335" spans="1:32" s="48" customFormat="1" ht="14.25" customHeight="1" x14ac:dyDescent="0.25">
      <c r="A335" s="46"/>
      <c r="B335" s="46"/>
      <c r="C335" s="46"/>
      <c r="D335" s="46"/>
      <c r="E335" s="47"/>
      <c r="F335" s="47"/>
      <c r="G335" s="47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  <c r="AC335" s="46"/>
      <c r="AD335" s="46"/>
      <c r="AE335" s="46"/>
      <c r="AF335" s="46"/>
    </row>
    <row r="336" spans="1:32" s="48" customFormat="1" ht="14.25" customHeight="1" x14ac:dyDescent="0.25">
      <c r="A336" s="46"/>
      <c r="B336" s="46"/>
      <c r="C336" s="46"/>
      <c r="D336" s="46"/>
      <c r="E336" s="47"/>
      <c r="F336" s="47"/>
      <c r="G336" s="47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  <c r="AC336" s="46"/>
      <c r="AD336" s="46"/>
      <c r="AE336" s="46"/>
      <c r="AF336" s="46"/>
    </row>
    <row r="337" spans="1:32" s="48" customFormat="1" ht="14.25" customHeight="1" x14ac:dyDescent="0.25">
      <c r="A337" s="46"/>
      <c r="B337" s="46"/>
      <c r="C337" s="46"/>
      <c r="D337" s="46"/>
      <c r="E337" s="47"/>
      <c r="F337" s="47"/>
      <c r="G337" s="47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  <c r="AC337" s="46"/>
      <c r="AD337" s="46"/>
      <c r="AE337" s="46"/>
      <c r="AF337" s="46"/>
    </row>
    <row r="338" spans="1:32" s="48" customFormat="1" ht="14.25" customHeight="1" x14ac:dyDescent="0.25">
      <c r="A338" s="46"/>
      <c r="B338" s="46"/>
      <c r="C338" s="46"/>
      <c r="D338" s="46"/>
      <c r="E338" s="47"/>
      <c r="F338" s="47"/>
      <c r="G338" s="47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  <c r="AC338" s="46"/>
      <c r="AD338" s="46"/>
      <c r="AE338" s="46"/>
      <c r="AF338" s="46"/>
    </row>
    <row r="339" spans="1:32" s="48" customFormat="1" ht="14.25" customHeight="1" x14ac:dyDescent="0.25">
      <c r="A339" s="46"/>
      <c r="B339" s="46"/>
      <c r="C339" s="46"/>
      <c r="D339" s="46"/>
      <c r="E339" s="47"/>
      <c r="F339" s="47"/>
      <c r="G339" s="47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  <c r="AC339" s="46"/>
      <c r="AD339" s="46"/>
      <c r="AE339" s="46"/>
      <c r="AF339" s="46"/>
    </row>
    <row r="340" spans="1:32" s="48" customFormat="1" ht="14.25" customHeight="1" x14ac:dyDescent="0.25">
      <c r="A340" s="46"/>
      <c r="B340" s="46"/>
      <c r="C340" s="46"/>
      <c r="D340" s="46"/>
      <c r="E340" s="47"/>
      <c r="F340" s="47"/>
      <c r="G340" s="47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  <c r="AC340" s="46"/>
      <c r="AD340" s="46"/>
      <c r="AE340" s="46"/>
      <c r="AF340" s="46"/>
    </row>
    <row r="341" spans="1:32" s="48" customFormat="1" ht="14.25" customHeight="1" x14ac:dyDescent="0.25">
      <c r="A341" s="46"/>
      <c r="B341" s="46"/>
      <c r="C341" s="46"/>
      <c r="D341" s="46"/>
      <c r="E341" s="47"/>
      <c r="F341" s="47"/>
      <c r="G341" s="47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  <c r="AC341" s="46"/>
      <c r="AD341" s="46"/>
      <c r="AE341" s="46"/>
      <c r="AF341" s="46"/>
    </row>
    <row r="342" spans="1:32" s="48" customFormat="1" ht="14.25" customHeight="1" x14ac:dyDescent="0.25">
      <c r="A342" s="46"/>
      <c r="B342" s="46"/>
      <c r="C342" s="46"/>
      <c r="D342" s="46"/>
      <c r="E342" s="47"/>
      <c r="F342" s="47"/>
      <c r="G342" s="47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  <c r="AC342" s="46"/>
      <c r="AD342" s="46"/>
      <c r="AE342" s="46"/>
      <c r="AF342" s="46"/>
    </row>
    <row r="343" spans="1:32" s="48" customFormat="1" ht="14.25" customHeight="1" x14ac:dyDescent="0.25">
      <c r="A343" s="46"/>
      <c r="B343" s="46"/>
      <c r="C343" s="46"/>
      <c r="D343" s="46"/>
      <c r="E343" s="47"/>
      <c r="F343" s="47"/>
      <c r="G343" s="47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  <c r="AC343" s="46"/>
      <c r="AD343" s="46"/>
      <c r="AE343" s="46"/>
      <c r="AF343" s="46"/>
    </row>
    <row r="344" spans="1:32" s="48" customFormat="1" ht="14.25" customHeight="1" x14ac:dyDescent="0.25">
      <c r="A344" s="46"/>
      <c r="B344" s="46"/>
      <c r="C344" s="46"/>
      <c r="D344" s="46"/>
      <c r="E344" s="47"/>
      <c r="F344" s="47"/>
      <c r="G344" s="47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  <c r="AC344" s="46"/>
      <c r="AD344" s="46"/>
      <c r="AE344" s="46"/>
      <c r="AF344" s="46"/>
    </row>
    <row r="345" spans="1:32" s="48" customFormat="1" ht="14.25" customHeight="1" x14ac:dyDescent="0.25">
      <c r="A345" s="46"/>
      <c r="B345" s="46"/>
      <c r="C345" s="46"/>
      <c r="D345" s="46"/>
      <c r="E345" s="47"/>
      <c r="F345" s="47"/>
      <c r="G345" s="47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  <c r="AC345" s="46"/>
      <c r="AD345" s="46"/>
      <c r="AE345" s="46"/>
      <c r="AF345" s="46"/>
    </row>
    <row r="346" spans="1:32" s="48" customFormat="1" ht="14.25" customHeight="1" x14ac:dyDescent="0.25">
      <c r="A346" s="46"/>
      <c r="B346" s="46"/>
      <c r="C346" s="46"/>
      <c r="D346" s="46"/>
      <c r="E346" s="47"/>
      <c r="F346" s="47"/>
      <c r="G346" s="47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  <c r="AC346" s="46"/>
      <c r="AD346" s="46"/>
      <c r="AE346" s="46"/>
      <c r="AF346" s="46"/>
    </row>
    <row r="347" spans="1:32" s="48" customFormat="1" ht="14.25" customHeight="1" x14ac:dyDescent="0.25">
      <c r="A347" s="46"/>
      <c r="B347" s="46"/>
      <c r="C347" s="46"/>
      <c r="D347" s="46"/>
      <c r="E347" s="47"/>
      <c r="F347" s="47"/>
      <c r="G347" s="47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  <c r="AC347" s="46"/>
      <c r="AD347" s="46"/>
      <c r="AE347" s="46"/>
      <c r="AF347" s="46"/>
    </row>
    <row r="348" spans="1:32" s="48" customFormat="1" ht="14.25" customHeight="1" x14ac:dyDescent="0.25">
      <c r="A348" s="46"/>
      <c r="B348" s="46"/>
      <c r="C348" s="46"/>
      <c r="D348" s="46"/>
      <c r="E348" s="47"/>
      <c r="F348" s="47"/>
      <c r="G348" s="47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  <c r="AC348" s="46"/>
      <c r="AD348" s="46"/>
      <c r="AE348" s="46"/>
      <c r="AF348" s="46"/>
    </row>
    <row r="349" spans="1:32" s="48" customFormat="1" ht="14.25" customHeight="1" x14ac:dyDescent="0.25">
      <c r="A349" s="46"/>
      <c r="B349" s="46"/>
      <c r="C349" s="46"/>
      <c r="D349" s="46"/>
      <c r="E349" s="47"/>
      <c r="F349" s="47"/>
      <c r="G349" s="47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  <c r="AC349" s="46"/>
      <c r="AD349" s="46"/>
      <c r="AE349" s="46"/>
      <c r="AF349" s="46"/>
    </row>
    <row r="350" spans="1:32" s="48" customFormat="1" ht="14.25" customHeight="1" x14ac:dyDescent="0.25">
      <c r="A350" s="46"/>
      <c r="B350" s="46"/>
      <c r="C350" s="46"/>
      <c r="D350" s="46"/>
      <c r="E350" s="47"/>
      <c r="F350" s="47"/>
      <c r="G350" s="47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  <c r="AC350" s="46"/>
      <c r="AD350" s="46"/>
      <c r="AE350" s="46"/>
      <c r="AF350" s="46"/>
    </row>
    <row r="351" spans="1:32" s="48" customFormat="1" ht="14.25" customHeight="1" x14ac:dyDescent="0.25">
      <c r="A351" s="46"/>
      <c r="B351" s="46"/>
      <c r="C351" s="46"/>
      <c r="D351" s="46"/>
      <c r="E351" s="47"/>
      <c r="F351" s="47"/>
      <c r="G351" s="47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  <c r="AC351" s="46"/>
      <c r="AD351" s="46"/>
      <c r="AE351" s="46"/>
      <c r="AF351" s="46"/>
    </row>
    <row r="352" spans="1:32" s="48" customFormat="1" ht="14.25" customHeight="1" x14ac:dyDescent="0.25">
      <c r="A352" s="46"/>
      <c r="B352" s="46"/>
      <c r="C352" s="46"/>
      <c r="D352" s="46"/>
      <c r="E352" s="47"/>
      <c r="F352" s="47"/>
      <c r="G352" s="47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  <c r="AC352" s="46"/>
      <c r="AD352" s="46"/>
      <c r="AE352" s="46"/>
      <c r="AF352" s="46"/>
    </row>
    <row r="353" spans="1:32" s="48" customFormat="1" ht="14.25" customHeight="1" x14ac:dyDescent="0.25">
      <c r="A353" s="46"/>
      <c r="B353" s="46"/>
      <c r="C353" s="46"/>
      <c r="D353" s="46"/>
      <c r="E353" s="47"/>
      <c r="F353" s="47"/>
      <c r="G353" s="47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  <c r="AC353" s="46"/>
      <c r="AD353" s="46"/>
      <c r="AE353" s="46"/>
      <c r="AF353" s="46"/>
    </row>
    <row r="354" spans="1:32" s="48" customFormat="1" ht="14.25" customHeight="1" x14ac:dyDescent="0.25">
      <c r="A354" s="46"/>
      <c r="B354" s="46"/>
      <c r="C354" s="46"/>
      <c r="D354" s="46"/>
      <c r="E354" s="47"/>
      <c r="F354" s="47"/>
      <c r="G354" s="47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  <c r="AC354" s="46"/>
      <c r="AD354" s="46"/>
      <c r="AE354" s="46"/>
      <c r="AF354" s="46"/>
    </row>
    <row r="355" spans="1:32" s="48" customFormat="1" ht="14.25" customHeight="1" x14ac:dyDescent="0.25">
      <c r="A355" s="46"/>
      <c r="B355" s="46"/>
      <c r="C355" s="46"/>
      <c r="D355" s="46"/>
      <c r="E355" s="47"/>
      <c r="F355" s="47"/>
      <c r="G355" s="47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  <c r="AC355" s="46"/>
      <c r="AD355" s="46"/>
      <c r="AE355" s="46"/>
      <c r="AF355" s="46"/>
    </row>
    <row r="356" spans="1:32" s="48" customFormat="1" ht="14.25" customHeight="1" x14ac:dyDescent="0.25">
      <c r="A356" s="46"/>
      <c r="B356" s="46"/>
      <c r="C356" s="46"/>
      <c r="D356" s="46"/>
      <c r="E356" s="47"/>
      <c r="F356" s="47"/>
      <c r="G356" s="47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  <c r="AC356" s="46"/>
      <c r="AD356" s="46"/>
      <c r="AE356" s="46"/>
      <c r="AF356" s="46"/>
    </row>
    <row r="357" spans="1:32" s="48" customFormat="1" ht="14.25" customHeight="1" x14ac:dyDescent="0.25">
      <c r="A357" s="46"/>
      <c r="B357" s="46"/>
      <c r="C357" s="46"/>
      <c r="D357" s="46"/>
      <c r="E357" s="47"/>
      <c r="F357" s="47"/>
      <c r="G357" s="47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  <c r="AC357" s="46"/>
      <c r="AD357" s="46"/>
      <c r="AE357" s="46"/>
      <c r="AF357" s="46"/>
    </row>
    <row r="358" spans="1:32" s="48" customFormat="1" ht="14.25" customHeight="1" x14ac:dyDescent="0.25">
      <c r="A358" s="46"/>
      <c r="B358" s="46"/>
      <c r="C358" s="46"/>
      <c r="D358" s="46"/>
      <c r="E358" s="47"/>
      <c r="F358" s="47"/>
      <c r="G358" s="47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  <c r="AC358" s="46"/>
      <c r="AD358" s="46"/>
      <c r="AE358" s="46"/>
      <c r="AF358" s="46"/>
    </row>
    <row r="359" spans="1:32" s="48" customFormat="1" ht="14.25" customHeight="1" x14ac:dyDescent="0.25">
      <c r="A359" s="46"/>
      <c r="B359" s="46"/>
      <c r="C359" s="46"/>
      <c r="D359" s="46"/>
      <c r="E359" s="47"/>
      <c r="F359" s="47"/>
      <c r="G359" s="47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  <c r="AC359" s="46"/>
      <c r="AD359" s="46"/>
      <c r="AE359" s="46"/>
      <c r="AF359" s="46"/>
    </row>
    <row r="360" spans="1:32" s="48" customFormat="1" ht="14.25" customHeight="1" x14ac:dyDescent="0.25">
      <c r="A360" s="46"/>
      <c r="B360" s="46"/>
      <c r="C360" s="46"/>
      <c r="D360" s="46"/>
      <c r="E360" s="47"/>
      <c r="F360" s="47"/>
      <c r="G360" s="47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  <c r="AC360" s="46"/>
      <c r="AD360" s="46"/>
      <c r="AE360" s="46"/>
      <c r="AF360" s="46"/>
    </row>
    <row r="361" spans="1:32" s="48" customFormat="1" ht="14.25" customHeight="1" x14ac:dyDescent="0.25">
      <c r="A361" s="46"/>
      <c r="B361" s="46"/>
      <c r="C361" s="46"/>
      <c r="D361" s="46"/>
      <c r="E361" s="47"/>
      <c r="F361" s="47"/>
      <c r="G361" s="47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  <c r="AC361" s="46"/>
      <c r="AD361" s="46"/>
      <c r="AE361" s="46"/>
      <c r="AF361" s="46"/>
    </row>
    <row r="362" spans="1:32" s="48" customFormat="1" ht="14.25" customHeight="1" x14ac:dyDescent="0.25">
      <c r="A362" s="46"/>
      <c r="B362" s="46"/>
      <c r="C362" s="46"/>
      <c r="D362" s="46"/>
      <c r="E362" s="47"/>
      <c r="F362" s="47"/>
      <c r="G362" s="47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  <c r="AC362" s="46"/>
      <c r="AD362" s="46"/>
      <c r="AE362" s="46"/>
      <c r="AF362" s="46"/>
    </row>
    <row r="363" spans="1:32" s="48" customFormat="1" ht="14.25" customHeight="1" x14ac:dyDescent="0.25">
      <c r="A363" s="46"/>
      <c r="B363" s="46"/>
      <c r="C363" s="46"/>
      <c r="D363" s="46"/>
      <c r="E363" s="47"/>
      <c r="F363" s="47"/>
      <c r="G363" s="47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  <c r="AC363" s="46"/>
      <c r="AD363" s="46"/>
      <c r="AE363" s="46"/>
      <c r="AF363" s="46"/>
    </row>
    <row r="364" spans="1:32" s="48" customFormat="1" ht="14.25" customHeight="1" x14ac:dyDescent="0.25">
      <c r="A364" s="46"/>
      <c r="B364" s="46"/>
      <c r="C364" s="46"/>
      <c r="D364" s="46"/>
      <c r="E364" s="47"/>
      <c r="F364" s="47"/>
      <c r="G364" s="47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  <c r="AC364" s="46"/>
      <c r="AD364" s="46"/>
      <c r="AE364" s="46"/>
      <c r="AF364" s="46"/>
    </row>
    <row r="365" spans="1:32" s="48" customFormat="1" ht="14.25" customHeight="1" x14ac:dyDescent="0.25">
      <c r="A365" s="46"/>
      <c r="B365" s="46"/>
      <c r="C365" s="46"/>
      <c r="D365" s="46"/>
      <c r="E365" s="47"/>
      <c r="F365" s="47"/>
      <c r="G365" s="47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  <c r="AC365" s="46"/>
      <c r="AD365" s="46"/>
      <c r="AE365" s="46"/>
      <c r="AF365" s="46"/>
    </row>
    <row r="366" spans="1:32" s="48" customFormat="1" ht="14.25" customHeight="1" x14ac:dyDescent="0.25">
      <c r="A366" s="46"/>
      <c r="B366" s="46"/>
      <c r="C366" s="46"/>
      <c r="D366" s="46"/>
      <c r="E366" s="47"/>
      <c r="F366" s="47"/>
      <c r="G366" s="47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  <c r="AC366" s="46"/>
      <c r="AD366" s="46"/>
      <c r="AE366" s="46"/>
      <c r="AF366" s="46"/>
    </row>
    <row r="367" spans="1:32" s="48" customFormat="1" ht="14.25" customHeight="1" x14ac:dyDescent="0.25">
      <c r="A367" s="46"/>
      <c r="B367" s="46"/>
      <c r="C367" s="46"/>
      <c r="D367" s="46"/>
      <c r="E367" s="47"/>
      <c r="F367" s="47"/>
      <c r="G367" s="47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  <c r="AC367" s="46"/>
      <c r="AD367" s="46"/>
      <c r="AE367" s="46"/>
      <c r="AF367" s="46"/>
    </row>
    <row r="368" spans="1:32" s="48" customFormat="1" ht="14.25" customHeight="1" x14ac:dyDescent="0.25">
      <c r="A368" s="46"/>
      <c r="B368" s="46"/>
      <c r="C368" s="46"/>
      <c r="D368" s="46"/>
      <c r="E368" s="47"/>
      <c r="F368" s="47"/>
      <c r="G368" s="47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  <c r="AC368" s="46"/>
      <c r="AD368" s="46"/>
      <c r="AE368" s="46"/>
      <c r="AF368" s="46"/>
    </row>
    <row r="369" spans="1:32" s="48" customFormat="1" ht="14.25" customHeight="1" x14ac:dyDescent="0.25">
      <c r="A369" s="46"/>
      <c r="B369" s="46"/>
      <c r="C369" s="46"/>
      <c r="D369" s="46"/>
      <c r="E369" s="47"/>
      <c r="F369" s="47"/>
      <c r="G369" s="47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  <c r="AC369" s="46"/>
      <c r="AD369" s="46"/>
      <c r="AE369" s="46"/>
      <c r="AF369" s="46"/>
    </row>
    <row r="370" spans="1:32" s="48" customFormat="1" ht="14.25" customHeight="1" x14ac:dyDescent="0.25">
      <c r="A370" s="46"/>
      <c r="B370" s="46"/>
      <c r="C370" s="46"/>
      <c r="D370" s="46"/>
      <c r="E370" s="47"/>
      <c r="F370" s="47"/>
      <c r="G370" s="47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  <c r="AC370" s="46"/>
      <c r="AD370" s="46"/>
      <c r="AE370" s="46"/>
      <c r="AF370" s="46"/>
    </row>
    <row r="371" spans="1:32" s="48" customFormat="1" ht="14.25" customHeight="1" x14ac:dyDescent="0.25">
      <c r="A371" s="46"/>
      <c r="B371" s="46"/>
      <c r="C371" s="46"/>
      <c r="D371" s="46"/>
      <c r="E371" s="47"/>
      <c r="F371" s="47"/>
      <c r="G371" s="47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  <c r="AC371" s="46"/>
      <c r="AD371" s="46"/>
      <c r="AE371" s="46"/>
      <c r="AF371" s="46"/>
    </row>
    <row r="372" spans="1:32" s="48" customFormat="1" ht="14.25" customHeight="1" x14ac:dyDescent="0.25">
      <c r="A372" s="46"/>
      <c r="B372" s="46"/>
      <c r="C372" s="46"/>
      <c r="D372" s="46"/>
      <c r="E372" s="47"/>
      <c r="F372" s="47"/>
      <c r="G372" s="47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  <c r="AC372" s="46"/>
      <c r="AD372" s="46"/>
      <c r="AE372" s="46"/>
      <c r="AF372" s="46"/>
    </row>
    <row r="373" spans="1:32" s="48" customFormat="1" ht="14.25" customHeight="1" x14ac:dyDescent="0.25">
      <c r="A373" s="46"/>
      <c r="B373" s="46"/>
      <c r="C373" s="46"/>
      <c r="D373" s="46"/>
      <c r="E373" s="47"/>
      <c r="F373" s="47"/>
      <c r="G373" s="47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  <c r="AC373" s="46"/>
      <c r="AD373" s="46"/>
      <c r="AE373" s="46"/>
      <c r="AF373" s="46"/>
    </row>
    <row r="374" spans="1:32" s="48" customFormat="1" ht="14.25" customHeight="1" x14ac:dyDescent="0.25">
      <c r="A374" s="46"/>
      <c r="B374" s="46"/>
      <c r="C374" s="46"/>
      <c r="D374" s="46"/>
      <c r="E374" s="47"/>
      <c r="F374" s="47"/>
      <c r="G374" s="47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  <c r="AC374" s="46"/>
      <c r="AD374" s="46"/>
      <c r="AE374" s="46"/>
      <c r="AF374" s="46"/>
    </row>
    <row r="375" spans="1:32" s="48" customFormat="1" ht="14.25" customHeight="1" x14ac:dyDescent="0.25">
      <c r="A375" s="46"/>
      <c r="B375" s="46"/>
      <c r="C375" s="46"/>
      <c r="D375" s="46"/>
      <c r="E375" s="47"/>
      <c r="F375" s="47"/>
      <c r="G375" s="47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  <c r="AC375" s="46"/>
      <c r="AD375" s="46"/>
      <c r="AE375" s="46"/>
      <c r="AF375" s="46"/>
    </row>
    <row r="376" spans="1:32" s="48" customFormat="1" ht="14.25" customHeight="1" x14ac:dyDescent="0.25">
      <c r="A376" s="46"/>
      <c r="B376" s="46"/>
      <c r="C376" s="46"/>
      <c r="D376" s="46"/>
      <c r="E376" s="47"/>
      <c r="F376" s="47"/>
      <c r="G376" s="47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  <c r="AC376" s="46"/>
      <c r="AD376" s="46"/>
      <c r="AE376" s="46"/>
      <c r="AF376" s="46"/>
    </row>
    <row r="377" spans="1:32" s="48" customFormat="1" ht="14.25" customHeight="1" x14ac:dyDescent="0.25">
      <c r="A377" s="46"/>
      <c r="B377" s="46"/>
      <c r="C377" s="46"/>
      <c r="D377" s="46"/>
      <c r="E377" s="47"/>
      <c r="F377" s="47"/>
      <c r="G377" s="47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  <c r="AC377" s="46"/>
      <c r="AD377" s="46"/>
      <c r="AE377" s="46"/>
      <c r="AF377" s="46"/>
    </row>
    <row r="378" spans="1:32" s="48" customFormat="1" ht="14.25" customHeight="1" x14ac:dyDescent="0.25">
      <c r="A378" s="46"/>
      <c r="B378" s="46"/>
      <c r="C378" s="46"/>
      <c r="D378" s="46"/>
      <c r="E378" s="47"/>
      <c r="F378" s="47"/>
      <c r="G378" s="47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  <c r="AC378" s="46"/>
      <c r="AD378" s="46"/>
      <c r="AE378" s="46"/>
      <c r="AF378" s="46"/>
    </row>
    <row r="379" spans="1:32" s="48" customFormat="1" ht="14.25" customHeight="1" x14ac:dyDescent="0.25">
      <c r="A379" s="46"/>
      <c r="B379" s="46"/>
      <c r="C379" s="46"/>
      <c r="D379" s="46"/>
      <c r="E379" s="47"/>
      <c r="F379" s="47"/>
      <c r="G379" s="47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  <c r="AC379" s="46"/>
      <c r="AD379" s="46"/>
      <c r="AE379" s="46"/>
      <c r="AF379" s="46"/>
    </row>
    <row r="380" spans="1:32" s="48" customFormat="1" ht="14.25" customHeight="1" x14ac:dyDescent="0.25">
      <c r="A380" s="46"/>
      <c r="B380" s="46"/>
      <c r="C380" s="46"/>
      <c r="D380" s="46"/>
      <c r="E380" s="47"/>
      <c r="F380" s="47"/>
      <c r="G380" s="47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  <c r="AC380" s="46"/>
      <c r="AD380" s="46"/>
      <c r="AE380" s="46"/>
      <c r="AF380" s="46"/>
    </row>
    <row r="381" spans="1:32" s="48" customFormat="1" ht="14.25" customHeight="1" x14ac:dyDescent="0.25">
      <c r="A381" s="46"/>
      <c r="B381" s="46"/>
      <c r="C381" s="46"/>
      <c r="D381" s="46"/>
      <c r="E381" s="47"/>
      <c r="F381" s="47"/>
      <c r="G381" s="47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  <c r="AC381" s="46"/>
      <c r="AD381" s="46"/>
      <c r="AE381" s="46"/>
      <c r="AF381" s="46"/>
    </row>
    <row r="382" spans="1:32" s="48" customFormat="1" ht="14.25" customHeight="1" x14ac:dyDescent="0.25">
      <c r="A382" s="46"/>
      <c r="B382" s="46"/>
      <c r="C382" s="46"/>
      <c r="D382" s="46"/>
      <c r="E382" s="47"/>
      <c r="F382" s="47"/>
      <c r="G382" s="47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  <c r="AC382" s="46"/>
      <c r="AD382" s="46"/>
      <c r="AE382" s="46"/>
      <c r="AF382" s="46"/>
    </row>
    <row r="383" spans="1:32" s="48" customFormat="1" ht="14.25" customHeight="1" x14ac:dyDescent="0.25">
      <c r="A383" s="46"/>
      <c r="B383" s="46"/>
      <c r="C383" s="46"/>
      <c r="D383" s="46"/>
      <c r="E383" s="47"/>
      <c r="F383" s="47"/>
      <c r="G383" s="47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  <c r="AC383" s="46"/>
      <c r="AD383" s="46"/>
      <c r="AE383" s="46"/>
      <c r="AF383" s="46"/>
    </row>
    <row r="384" spans="1:32" s="48" customFormat="1" ht="14.25" customHeight="1" x14ac:dyDescent="0.25">
      <c r="A384" s="46"/>
      <c r="B384" s="46"/>
      <c r="C384" s="46"/>
      <c r="D384" s="46"/>
      <c r="E384" s="47"/>
      <c r="F384" s="47"/>
      <c r="G384" s="47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  <c r="AC384" s="46"/>
      <c r="AD384" s="46"/>
      <c r="AE384" s="46"/>
      <c r="AF384" s="46"/>
    </row>
    <row r="385" spans="1:32" s="48" customFormat="1" ht="14.25" customHeight="1" x14ac:dyDescent="0.25">
      <c r="A385" s="46"/>
      <c r="B385" s="46"/>
      <c r="C385" s="46"/>
      <c r="D385" s="46"/>
      <c r="E385" s="47"/>
      <c r="F385" s="47"/>
      <c r="G385" s="47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  <c r="AC385" s="46"/>
      <c r="AD385" s="46"/>
      <c r="AE385" s="46"/>
      <c r="AF385" s="46"/>
    </row>
    <row r="386" spans="1:32" s="48" customFormat="1" ht="14.25" customHeight="1" x14ac:dyDescent="0.25">
      <c r="A386" s="46"/>
      <c r="B386" s="46"/>
      <c r="C386" s="46"/>
      <c r="D386" s="46"/>
      <c r="E386" s="47"/>
      <c r="F386" s="47"/>
      <c r="G386" s="47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  <c r="AC386" s="46"/>
      <c r="AD386" s="46"/>
      <c r="AE386" s="46"/>
      <c r="AF386" s="46"/>
    </row>
    <row r="387" spans="1:32" s="48" customFormat="1" ht="14.25" customHeight="1" x14ac:dyDescent="0.25">
      <c r="A387" s="46"/>
      <c r="B387" s="46"/>
      <c r="C387" s="46"/>
      <c r="D387" s="46"/>
      <c r="E387" s="47"/>
      <c r="F387" s="47"/>
      <c r="G387" s="47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  <c r="AC387" s="46"/>
      <c r="AD387" s="46"/>
      <c r="AE387" s="46"/>
      <c r="AF387" s="46"/>
    </row>
    <row r="388" spans="1:32" s="48" customFormat="1" ht="14.25" customHeight="1" x14ac:dyDescent="0.25">
      <c r="A388" s="46"/>
      <c r="B388" s="46"/>
      <c r="C388" s="46"/>
      <c r="D388" s="46"/>
      <c r="E388" s="47"/>
      <c r="F388" s="47"/>
      <c r="G388" s="47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  <c r="AC388" s="46"/>
      <c r="AD388" s="46"/>
      <c r="AE388" s="46"/>
      <c r="AF388" s="46"/>
    </row>
    <row r="389" spans="1:32" s="48" customFormat="1" ht="14.25" customHeight="1" x14ac:dyDescent="0.25">
      <c r="A389" s="46"/>
      <c r="B389" s="46"/>
      <c r="C389" s="46"/>
      <c r="D389" s="46"/>
      <c r="E389" s="47"/>
      <c r="F389" s="47"/>
      <c r="G389" s="47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  <c r="AC389" s="46"/>
      <c r="AD389" s="46"/>
      <c r="AE389" s="46"/>
      <c r="AF389" s="46"/>
    </row>
    <row r="390" spans="1:32" s="48" customFormat="1" ht="14.25" customHeight="1" x14ac:dyDescent="0.25">
      <c r="A390" s="46"/>
      <c r="B390" s="46"/>
      <c r="C390" s="46"/>
      <c r="D390" s="46"/>
      <c r="E390" s="47"/>
      <c r="F390" s="47"/>
      <c r="G390" s="47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  <c r="AC390" s="46"/>
      <c r="AD390" s="46"/>
      <c r="AE390" s="46"/>
      <c r="AF390" s="46"/>
    </row>
    <row r="391" spans="1:32" s="48" customFormat="1" ht="14.25" customHeight="1" x14ac:dyDescent="0.25">
      <c r="A391" s="46"/>
      <c r="B391" s="46"/>
      <c r="C391" s="46"/>
      <c r="D391" s="46"/>
      <c r="E391" s="47"/>
      <c r="F391" s="47"/>
      <c r="G391" s="47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  <c r="AC391" s="46"/>
      <c r="AD391" s="46"/>
      <c r="AE391" s="46"/>
      <c r="AF391" s="46"/>
    </row>
    <row r="392" spans="1:32" s="48" customFormat="1" ht="14.25" customHeight="1" x14ac:dyDescent="0.25">
      <c r="A392" s="46"/>
      <c r="B392" s="46"/>
      <c r="C392" s="46"/>
      <c r="D392" s="46"/>
      <c r="E392" s="47"/>
      <c r="F392" s="47"/>
      <c r="G392" s="47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  <c r="AC392" s="46"/>
      <c r="AD392" s="46"/>
      <c r="AE392" s="46"/>
      <c r="AF392" s="46"/>
    </row>
    <row r="393" spans="1:32" s="48" customFormat="1" ht="14.25" customHeight="1" x14ac:dyDescent="0.25">
      <c r="A393" s="46"/>
      <c r="B393" s="46"/>
      <c r="C393" s="46"/>
      <c r="D393" s="46"/>
      <c r="E393" s="47"/>
      <c r="F393" s="47"/>
      <c r="G393" s="47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  <c r="AC393" s="46"/>
      <c r="AD393" s="46"/>
      <c r="AE393" s="46"/>
      <c r="AF393" s="46"/>
    </row>
    <row r="394" spans="1:32" s="48" customFormat="1" ht="14.25" customHeight="1" x14ac:dyDescent="0.25">
      <c r="A394" s="46"/>
      <c r="B394" s="46"/>
      <c r="C394" s="46"/>
      <c r="D394" s="46"/>
      <c r="E394" s="47"/>
      <c r="F394" s="47"/>
      <c r="G394" s="47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  <c r="AC394" s="46"/>
      <c r="AD394" s="46"/>
      <c r="AE394" s="46"/>
      <c r="AF394" s="46"/>
    </row>
    <row r="395" spans="1:32" s="48" customFormat="1" ht="14.25" customHeight="1" x14ac:dyDescent="0.25">
      <c r="A395" s="46"/>
      <c r="B395" s="46"/>
      <c r="C395" s="46"/>
      <c r="D395" s="46"/>
      <c r="E395" s="47"/>
      <c r="F395" s="47"/>
      <c r="G395" s="47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  <c r="AC395" s="46"/>
      <c r="AD395" s="46"/>
      <c r="AE395" s="46"/>
      <c r="AF395" s="46"/>
    </row>
    <row r="396" spans="1:32" s="48" customFormat="1" ht="14.25" customHeight="1" x14ac:dyDescent="0.25">
      <c r="A396" s="46"/>
      <c r="B396" s="46"/>
      <c r="C396" s="46"/>
      <c r="D396" s="46"/>
      <c r="E396" s="47"/>
      <c r="F396" s="47"/>
      <c r="G396" s="47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  <c r="AC396" s="46"/>
      <c r="AD396" s="46"/>
      <c r="AE396" s="46"/>
      <c r="AF396" s="46"/>
    </row>
    <row r="397" spans="1:32" s="48" customFormat="1" ht="14.25" customHeight="1" x14ac:dyDescent="0.25">
      <c r="A397" s="46"/>
      <c r="B397" s="46"/>
      <c r="C397" s="46"/>
      <c r="D397" s="46"/>
      <c r="E397" s="47"/>
      <c r="F397" s="47"/>
      <c r="G397" s="47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  <c r="AC397" s="46"/>
      <c r="AD397" s="46"/>
      <c r="AE397" s="46"/>
      <c r="AF397" s="46"/>
    </row>
    <row r="398" spans="1:32" s="48" customFormat="1" ht="14.25" customHeight="1" x14ac:dyDescent="0.25">
      <c r="A398" s="46"/>
      <c r="B398" s="46"/>
      <c r="C398" s="46"/>
      <c r="D398" s="46"/>
      <c r="E398" s="47"/>
      <c r="F398" s="47"/>
      <c r="G398" s="47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  <c r="AC398" s="46"/>
      <c r="AD398" s="46"/>
      <c r="AE398" s="46"/>
      <c r="AF398" s="46"/>
    </row>
    <row r="399" spans="1:32" s="48" customFormat="1" ht="14.25" customHeight="1" x14ac:dyDescent="0.25">
      <c r="A399" s="46"/>
      <c r="B399" s="46"/>
      <c r="C399" s="46"/>
      <c r="D399" s="46"/>
      <c r="E399" s="47"/>
      <c r="F399" s="47"/>
      <c r="G399" s="47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  <c r="AC399" s="46"/>
      <c r="AD399" s="46"/>
      <c r="AE399" s="46"/>
      <c r="AF399" s="46"/>
    </row>
    <row r="400" spans="1:32" s="48" customFormat="1" ht="14.25" customHeight="1" x14ac:dyDescent="0.25">
      <c r="A400" s="46"/>
      <c r="B400" s="46"/>
      <c r="C400" s="46"/>
      <c r="D400" s="46"/>
      <c r="E400" s="47"/>
      <c r="F400" s="47"/>
      <c r="G400" s="47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  <c r="AC400" s="46"/>
      <c r="AD400" s="46"/>
      <c r="AE400" s="46"/>
      <c r="AF400" s="46"/>
    </row>
    <row r="401" spans="1:32" s="48" customFormat="1" ht="14.25" customHeight="1" x14ac:dyDescent="0.25">
      <c r="A401" s="46"/>
      <c r="B401" s="46"/>
      <c r="C401" s="46"/>
      <c r="D401" s="46"/>
      <c r="E401" s="47"/>
      <c r="F401" s="47"/>
      <c r="G401" s="47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  <c r="AC401" s="46"/>
      <c r="AD401" s="46"/>
      <c r="AE401" s="46"/>
      <c r="AF401" s="46"/>
    </row>
    <row r="402" spans="1:32" s="48" customFormat="1" ht="14.25" customHeight="1" x14ac:dyDescent="0.25">
      <c r="A402" s="46"/>
      <c r="B402" s="46"/>
      <c r="C402" s="46"/>
      <c r="D402" s="46"/>
      <c r="E402" s="47"/>
      <c r="F402" s="47"/>
      <c r="G402" s="47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  <c r="AC402" s="46"/>
      <c r="AD402" s="46"/>
      <c r="AE402" s="46"/>
      <c r="AF402" s="46"/>
    </row>
    <row r="403" spans="1:32" s="48" customFormat="1" ht="14.25" customHeight="1" x14ac:dyDescent="0.25">
      <c r="A403" s="46"/>
      <c r="B403" s="46"/>
      <c r="C403" s="46"/>
      <c r="D403" s="46"/>
      <c r="E403" s="47"/>
      <c r="F403" s="47"/>
      <c r="G403" s="47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  <c r="AC403" s="46"/>
      <c r="AD403" s="46"/>
      <c r="AE403" s="46"/>
      <c r="AF403" s="46"/>
    </row>
    <row r="404" spans="1:32" s="48" customFormat="1" ht="14.25" customHeight="1" x14ac:dyDescent="0.25">
      <c r="A404" s="46"/>
      <c r="B404" s="46"/>
      <c r="C404" s="46"/>
      <c r="D404" s="46"/>
      <c r="E404" s="47"/>
      <c r="F404" s="47"/>
      <c r="G404" s="47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  <c r="AC404" s="46"/>
      <c r="AD404" s="46"/>
      <c r="AE404" s="46"/>
      <c r="AF404" s="46"/>
    </row>
    <row r="405" spans="1:32" s="48" customFormat="1" ht="14.25" customHeight="1" x14ac:dyDescent="0.25">
      <c r="A405" s="46"/>
      <c r="B405" s="46"/>
      <c r="C405" s="46"/>
      <c r="D405" s="46"/>
      <c r="E405" s="47"/>
      <c r="F405" s="47"/>
      <c r="G405" s="47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  <c r="AC405" s="46"/>
      <c r="AD405" s="46"/>
      <c r="AE405" s="46"/>
      <c r="AF405" s="46"/>
    </row>
    <row r="406" spans="1:32" s="48" customFormat="1" ht="14.25" customHeight="1" x14ac:dyDescent="0.25">
      <c r="A406" s="46"/>
      <c r="B406" s="46"/>
      <c r="C406" s="46"/>
      <c r="D406" s="46"/>
      <c r="E406" s="47"/>
      <c r="F406" s="47"/>
      <c r="G406" s="47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  <c r="AC406" s="46"/>
      <c r="AD406" s="46"/>
      <c r="AE406" s="46"/>
      <c r="AF406" s="46"/>
    </row>
    <row r="407" spans="1:32" s="48" customFormat="1" ht="14.25" customHeight="1" x14ac:dyDescent="0.25">
      <c r="A407" s="46"/>
      <c r="B407" s="46"/>
      <c r="C407" s="46"/>
      <c r="D407" s="46"/>
      <c r="E407" s="47"/>
      <c r="F407" s="47"/>
      <c r="G407" s="47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  <c r="AC407" s="46"/>
      <c r="AD407" s="46"/>
      <c r="AE407" s="46"/>
      <c r="AF407" s="46"/>
    </row>
    <row r="408" spans="1:32" s="48" customFormat="1" ht="14.25" customHeight="1" x14ac:dyDescent="0.25">
      <c r="A408" s="46"/>
      <c r="B408" s="46"/>
      <c r="C408" s="46"/>
      <c r="D408" s="46"/>
      <c r="E408" s="47"/>
      <c r="F408" s="47"/>
      <c r="G408" s="47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  <c r="AC408" s="46"/>
      <c r="AD408" s="46"/>
      <c r="AE408" s="46"/>
      <c r="AF408" s="46"/>
    </row>
    <row r="409" spans="1:32" s="48" customFormat="1" ht="14.25" customHeight="1" x14ac:dyDescent="0.25">
      <c r="A409" s="46"/>
      <c r="B409" s="46"/>
      <c r="C409" s="46"/>
      <c r="D409" s="46"/>
      <c r="E409" s="47"/>
      <c r="F409" s="47"/>
      <c r="G409" s="47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  <c r="AC409" s="46"/>
      <c r="AD409" s="46"/>
      <c r="AE409" s="46"/>
      <c r="AF409" s="46"/>
    </row>
    <row r="410" spans="1:32" s="48" customFormat="1" ht="14.25" customHeight="1" x14ac:dyDescent="0.25">
      <c r="A410" s="46"/>
      <c r="B410" s="46"/>
      <c r="C410" s="46"/>
      <c r="D410" s="46"/>
      <c r="E410" s="47"/>
      <c r="F410" s="47"/>
      <c r="G410" s="47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  <c r="AC410" s="46"/>
      <c r="AD410" s="46"/>
      <c r="AE410" s="46"/>
      <c r="AF410" s="46"/>
    </row>
    <row r="411" spans="1:32" s="48" customFormat="1" ht="14.25" customHeight="1" x14ac:dyDescent="0.25">
      <c r="A411" s="46"/>
      <c r="B411" s="46"/>
      <c r="C411" s="46"/>
      <c r="D411" s="46"/>
      <c r="E411" s="47"/>
      <c r="F411" s="47"/>
      <c r="G411" s="47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  <c r="AC411" s="46"/>
      <c r="AD411" s="46"/>
      <c r="AE411" s="46"/>
      <c r="AF411" s="46"/>
    </row>
    <row r="412" spans="1:32" s="48" customFormat="1" ht="14.25" customHeight="1" x14ac:dyDescent="0.25">
      <c r="A412" s="46"/>
      <c r="B412" s="46"/>
      <c r="C412" s="46"/>
      <c r="D412" s="46"/>
      <c r="E412" s="47"/>
      <c r="F412" s="47"/>
      <c r="G412" s="47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  <c r="AC412" s="46"/>
      <c r="AD412" s="46"/>
      <c r="AE412" s="46"/>
      <c r="AF412" s="46"/>
    </row>
    <row r="413" spans="1:32" s="48" customFormat="1" ht="14.25" customHeight="1" x14ac:dyDescent="0.25">
      <c r="A413" s="46"/>
      <c r="B413" s="46"/>
      <c r="C413" s="46"/>
      <c r="D413" s="46"/>
      <c r="E413" s="47"/>
      <c r="F413" s="47"/>
      <c r="G413" s="47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  <c r="AC413" s="46"/>
      <c r="AD413" s="46"/>
      <c r="AE413" s="46"/>
      <c r="AF413" s="46"/>
    </row>
    <row r="414" spans="1:32" s="48" customFormat="1" ht="14.25" customHeight="1" x14ac:dyDescent="0.25">
      <c r="A414" s="46"/>
      <c r="B414" s="46"/>
      <c r="C414" s="46"/>
      <c r="D414" s="46"/>
      <c r="E414" s="47"/>
      <c r="F414" s="47"/>
      <c r="G414" s="47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  <c r="AC414" s="46"/>
      <c r="AD414" s="46"/>
      <c r="AE414" s="46"/>
      <c r="AF414" s="46"/>
    </row>
    <row r="415" spans="1:32" s="48" customFormat="1" ht="14.25" customHeight="1" x14ac:dyDescent="0.25">
      <c r="A415" s="46"/>
      <c r="B415" s="46"/>
      <c r="C415" s="46"/>
      <c r="D415" s="46"/>
      <c r="E415" s="47"/>
      <c r="F415" s="47"/>
      <c r="G415" s="47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  <c r="AC415" s="46"/>
      <c r="AD415" s="46"/>
      <c r="AE415" s="46"/>
      <c r="AF415" s="46"/>
    </row>
    <row r="416" spans="1:32" s="48" customFormat="1" ht="14.25" customHeight="1" x14ac:dyDescent="0.25">
      <c r="A416" s="46"/>
      <c r="B416" s="46"/>
      <c r="C416" s="46"/>
      <c r="D416" s="46"/>
      <c r="E416" s="47"/>
      <c r="F416" s="47"/>
      <c r="G416" s="47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  <c r="AC416" s="46"/>
      <c r="AD416" s="46"/>
      <c r="AE416" s="46"/>
      <c r="AF416" s="46"/>
    </row>
    <row r="417" spans="1:32" s="48" customFormat="1" ht="14.25" customHeight="1" x14ac:dyDescent="0.25">
      <c r="A417" s="46"/>
      <c r="B417" s="46"/>
      <c r="C417" s="46"/>
      <c r="D417" s="46"/>
      <c r="E417" s="47"/>
      <c r="F417" s="47"/>
      <c r="G417" s="47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  <c r="AC417" s="46"/>
      <c r="AD417" s="46"/>
      <c r="AE417" s="46"/>
      <c r="AF417" s="46"/>
    </row>
    <row r="418" spans="1:32" s="48" customFormat="1" ht="14.25" customHeight="1" x14ac:dyDescent="0.25">
      <c r="A418" s="46"/>
      <c r="B418" s="46"/>
      <c r="C418" s="46"/>
      <c r="D418" s="46"/>
      <c r="E418" s="47"/>
      <c r="F418" s="47"/>
      <c r="G418" s="47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  <c r="AC418" s="46"/>
      <c r="AD418" s="46"/>
      <c r="AE418" s="46"/>
      <c r="AF418" s="46"/>
    </row>
    <row r="419" spans="1:32" s="48" customFormat="1" ht="14.25" customHeight="1" x14ac:dyDescent="0.25">
      <c r="A419" s="46"/>
      <c r="B419" s="46"/>
      <c r="C419" s="46"/>
      <c r="D419" s="46"/>
      <c r="E419" s="47"/>
      <c r="F419" s="47"/>
      <c r="G419" s="47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  <c r="AC419" s="46"/>
      <c r="AD419" s="46"/>
      <c r="AE419" s="46"/>
      <c r="AF419" s="46"/>
    </row>
    <row r="420" spans="1:32" s="48" customFormat="1" ht="14.25" customHeight="1" x14ac:dyDescent="0.25">
      <c r="A420" s="46"/>
      <c r="B420" s="46"/>
      <c r="C420" s="46"/>
      <c r="D420" s="46"/>
      <c r="E420" s="47"/>
      <c r="F420" s="47"/>
      <c r="G420" s="47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  <c r="AC420" s="46"/>
      <c r="AD420" s="46"/>
      <c r="AE420" s="46"/>
      <c r="AF420" s="46"/>
    </row>
    <row r="421" spans="1:32" s="48" customFormat="1" ht="14.25" customHeight="1" x14ac:dyDescent="0.25">
      <c r="A421" s="46"/>
      <c r="B421" s="46"/>
      <c r="C421" s="46"/>
      <c r="D421" s="46"/>
      <c r="E421" s="47"/>
      <c r="F421" s="47"/>
      <c r="G421" s="47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  <c r="AC421" s="46"/>
      <c r="AD421" s="46"/>
      <c r="AE421" s="46"/>
      <c r="AF421" s="46"/>
    </row>
    <row r="422" spans="1:32" s="48" customFormat="1" ht="14.25" customHeight="1" x14ac:dyDescent="0.25">
      <c r="A422" s="46"/>
      <c r="B422" s="46"/>
      <c r="C422" s="46"/>
      <c r="D422" s="46"/>
      <c r="E422" s="47"/>
      <c r="F422" s="47"/>
      <c r="G422" s="47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  <c r="AC422" s="46"/>
      <c r="AD422" s="46"/>
      <c r="AE422" s="46"/>
      <c r="AF422" s="46"/>
    </row>
    <row r="423" spans="1:32" s="48" customFormat="1" ht="14.25" customHeight="1" x14ac:dyDescent="0.25">
      <c r="A423" s="46"/>
      <c r="B423" s="46"/>
      <c r="C423" s="46"/>
      <c r="D423" s="46"/>
      <c r="E423" s="47"/>
      <c r="F423" s="47"/>
      <c r="G423" s="47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  <c r="AC423" s="46"/>
      <c r="AD423" s="46"/>
      <c r="AE423" s="46"/>
      <c r="AF423" s="46"/>
    </row>
    <row r="424" spans="1:32" s="48" customFormat="1" ht="14.25" customHeight="1" x14ac:dyDescent="0.25">
      <c r="A424" s="46"/>
      <c r="B424" s="46"/>
      <c r="C424" s="46"/>
      <c r="D424" s="46"/>
      <c r="E424" s="47"/>
      <c r="F424" s="47"/>
      <c r="G424" s="47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  <c r="AC424" s="46"/>
      <c r="AD424" s="46"/>
      <c r="AE424" s="46"/>
      <c r="AF424" s="46"/>
    </row>
    <row r="425" spans="1:32" s="48" customFormat="1" ht="14.25" customHeight="1" x14ac:dyDescent="0.25">
      <c r="A425" s="46"/>
      <c r="B425" s="46"/>
      <c r="C425" s="46"/>
      <c r="D425" s="46"/>
      <c r="E425" s="47"/>
      <c r="F425" s="47"/>
      <c r="G425" s="47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  <c r="AC425" s="46"/>
      <c r="AD425" s="46"/>
      <c r="AE425" s="46"/>
      <c r="AF425" s="46"/>
    </row>
    <row r="426" spans="1:32" s="48" customFormat="1" ht="14.25" customHeight="1" x14ac:dyDescent="0.25">
      <c r="A426" s="46"/>
      <c r="B426" s="46"/>
      <c r="C426" s="46"/>
      <c r="D426" s="46"/>
      <c r="E426" s="47"/>
      <c r="F426" s="47"/>
      <c r="G426" s="47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  <c r="AC426" s="46"/>
      <c r="AD426" s="46"/>
      <c r="AE426" s="46"/>
      <c r="AF426" s="46"/>
    </row>
    <row r="427" spans="1:32" s="48" customFormat="1" ht="14.25" customHeight="1" x14ac:dyDescent="0.25">
      <c r="A427" s="46"/>
      <c r="B427" s="46"/>
      <c r="C427" s="46"/>
      <c r="D427" s="46"/>
      <c r="E427" s="47"/>
      <c r="F427" s="47"/>
      <c r="G427" s="47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  <c r="AC427" s="46"/>
      <c r="AD427" s="46"/>
      <c r="AE427" s="46"/>
      <c r="AF427" s="46"/>
    </row>
    <row r="428" spans="1:32" s="48" customFormat="1" ht="14.25" customHeight="1" x14ac:dyDescent="0.25">
      <c r="A428" s="46"/>
      <c r="B428" s="46"/>
      <c r="C428" s="46"/>
      <c r="D428" s="46"/>
      <c r="E428" s="47"/>
      <c r="F428" s="47"/>
      <c r="G428" s="47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  <c r="AC428" s="46"/>
      <c r="AD428" s="46"/>
      <c r="AE428" s="46"/>
      <c r="AF428" s="46"/>
    </row>
    <row r="429" spans="1:32" s="48" customFormat="1" ht="14.25" customHeight="1" x14ac:dyDescent="0.25">
      <c r="A429" s="46"/>
      <c r="B429" s="46"/>
      <c r="C429" s="46"/>
      <c r="D429" s="46"/>
      <c r="E429" s="47"/>
      <c r="F429" s="47"/>
      <c r="G429" s="47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  <c r="AC429" s="46"/>
      <c r="AD429" s="46"/>
      <c r="AE429" s="46"/>
      <c r="AF429" s="46"/>
    </row>
    <row r="430" spans="1:32" s="48" customFormat="1" ht="14.25" customHeight="1" x14ac:dyDescent="0.25">
      <c r="A430" s="46"/>
      <c r="B430" s="46"/>
      <c r="C430" s="46"/>
      <c r="D430" s="46"/>
      <c r="E430" s="47"/>
      <c r="F430" s="47"/>
      <c r="G430" s="47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  <c r="AC430" s="46"/>
      <c r="AD430" s="46"/>
      <c r="AE430" s="46"/>
      <c r="AF430" s="46"/>
    </row>
    <row r="431" spans="1:32" s="48" customFormat="1" ht="14.25" customHeight="1" x14ac:dyDescent="0.25">
      <c r="A431" s="46"/>
      <c r="B431" s="46"/>
      <c r="C431" s="46"/>
      <c r="D431" s="46"/>
      <c r="E431" s="47"/>
      <c r="F431" s="47"/>
      <c r="G431" s="47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  <c r="AC431" s="46"/>
      <c r="AD431" s="46"/>
      <c r="AE431" s="46"/>
      <c r="AF431" s="46"/>
    </row>
    <row r="432" spans="1:32" s="48" customFormat="1" ht="14.25" customHeight="1" x14ac:dyDescent="0.25">
      <c r="A432" s="46"/>
      <c r="B432" s="46"/>
      <c r="C432" s="46"/>
      <c r="D432" s="46"/>
      <c r="E432" s="47"/>
      <c r="F432" s="47"/>
      <c r="G432" s="47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  <c r="AC432" s="46"/>
      <c r="AD432" s="46"/>
      <c r="AE432" s="46"/>
      <c r="AF432" s="46"/>
    </row>
    <row r="433" spans="1:32" s="48" customFormat="1" ht="14.25" customHeight="1" x14ac:dyDescent="0.25">
      <c r="A433" s="46"/>
      <c r="B433" s="46"/>
      <c r="C433" s="46"/>
      <c r="D433" s="46"/>
      <c r="E433" s="47"/>
      <c r="F433" s="47"/>
      <c r="G433" s="47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  <c r="AC433" s="46"/>
      <c r="AD433" s="46"/>
      <c r="AE433" s="46"/>
      <c r="AF433" s="46"/>
    </row>
    <row r="434" spans="1:32" s="48" customFormat="1" ht="14.25" customHeight="1" x14ac:dyDescent="0.25">
      <c r="A434" s="46"/>
      <c r="B434" s="46"/>
      <c r="C434" s="46"/>
      <c r="D434" s="46"/>
      <c r="E434" s="47"/>
      <c r="F434" s="47"/>
      <c r="G434" s="47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  <c r="AC434" s="46"/>
      <c r="AD434" s="46"/>
      <c r="AE434" s="46"/>
      <c r="AF434" s="46"/>
    </row>
    <row r="435" spans="1:32" s="48" customFormat="1" ht="14.25" customHeight="1" x14ac:dyDescent="0.25">
      <c r="A435" s="46"/>
      <c r="B435" s="46"/>
      <c r="C435" s="46"/>
      <c r="D435" s="46"/>
      <c r="E435" s="47"/>
      <c r="F435" s="47"/>
      <c r="G435" s="47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  <c r="AC435" s="46"/>
      <c r="AD435" s="46"/>
      <c r="AE435" s="46"/>
      <c r="AF435" s="46"/>
    </row>
    <row r="436" spans="1:32" s="48" customFormat="1" ht="14.25" customHeight="1" x14ac:dyDescent="0.25">
      <c r="A436" s="46"/>
      <c r="B436" s="46"/>
      <c r="C436" s="46"/>
      <c r="D436" s="46"/>
      <c r="E436" s="47"/>
      <c r="F436" s="47"/>
      <c r="G436" s="47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  <c r="AC436" s="46"/>
      <c r="AD436" s="46"/>
      <c r="AE436" s="46"/>
      <c r="AF436" s="46"/>
    </row>
    <row r="437" spans="1:32" s="48" customFormat="1" ht="14.25" customHeight="1" x14ac:dyDescent="0.25">
      <c r="A437" s="46"/>
      <c r="B437" s="46"/>
      <c r="C437" s="46"/>
      <c r="D437" s="46"/>
      <c r="E437" s="47"/>
      <c r="F437" s="47"/>
      <c r="G437" s="47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  <c r="AC437" s="46"/>
      <c r="AD437" s="46"/>
      <c r="AE437" s="46"/>
      <c r="AF437" s="46"/>
    </row>
    <row r="438" spans="1:32" s="48" customFormat="1" ht="14.25" customHeight="1" x14ac:dyDescent="0.25">
      <c r="A438" s="46"/>
      <c r="B438" s="46"/>
      <c r="C438" s="46"/>
      <c r="D438" s="46"/>
      <c r="E438" s="47"/>
      <c r="F438" s="47"/>
      <c r="G438" s="47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  <c r="AC438" s="46"/>
      <c r="AD438" s="46"/>
      <c r="AE438" s="46"/>
      <c r="AF438" s="46"/>
    </row>
    <row r="439" spans="1:32" s="48" customFormat="1" ht="14.25" customHeight="1" x14ac:dyDescent="0.25">
      <c r="A439" s="46"/>
      <c r="B439" s="46"/>
      <c r="C439" s="46"/>
      <c r="D439" s="46"/>
      <c r="E439" s="47"/>
      <c r="F439" s="47"/>
      <c r="G439" s="47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  <c r="AC439" s="46"/>
      <c r="AD439" s="46"/>
      <c r="AE439" s="46"/>
      <c r="AF439" s="46"/>
    </row>
    <row r="440" spans="1:32" s="48" customFormat="1" ht="14.25" customHeight="1" x14ac:dyDescent="0.25">
      <c r="A440" s="46"/>
      <c r="B440" s="46"/>
      <c r="C440" s="46"/>
      <c r="D440" s="46"/>
      <c r="E440" s="47"/>
      <c r="F440" s="47"/>
      <c r="G440" s="47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  <c r="AC440" s="46"/>
      <c r="AD440" s="46"/>
      <c r="AE440" s="46"/>
      <c r="AF440" s="46"/>
    </row>
    <row r="441" spans="1:32" s="48" customFormat="1" ht="14.25" customHeight="1" x14ac:dyDescent="0.25">
      <c r="A441" s="46"/>
      <c r="B441" s="46"/>
      <c r="C441" s="46"/>
      <c r="D441" s="46"/>
      <c r="E441" s="47"/>
      <c r="F441" s="47"/>
      <c r="G441" s="47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  <c r="AC441" s="46"/>
      <c r="AD441" s="46"/>
      <c r="AE441" s="46"/>
      <c r="AF441" s="46"/>
    </row>
    <row r="442" spans="1:32" s="48" customFormat="1" ht="14.25" customHeight="1" x14ac:dyDescent="0.25">
      <c r="A442" s="46"/>
      <c r="B442" s="46"/>
      <c r="C442" s="46"/>
      <c r="D442" s="46"/>
      <c r="E442" s="47"/>
      <c r="F442" s="47"/>
      <c r="G442" s="47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  <c r="AC442" s="46"/>
      <c r="AD442" s="46"/>
      <c r="AE442" s="46"/>
      <c r="AF442" s="46"/>
    </row>
    <row r="443" spans="1:32" s="48" customFormat="1" ht="14.25" customHeight="1" x14ac:dyDescent="0.25">
      <c r="A443" s="46"/>
      <c r="B443" s="46"/>
      <c r="C443" s="46"/>
      <c r="D443" s="46"/>
      <c r="E443" s="47"/>
      <c r="F443" s="47"/>
      <c r="G443" s="47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  <c r="AC443" s="46"/>
      <c r="AD443" s="46"/>
      <c r="AE443" s="46"/>
      <c r="AF443" s="46"/>
    </row>
    <row r="444" spans="1:32" s="48" customFormat="1" ht="14.25" customHeight="1" x14ac:dyDescent="0.25">
      <c r="A444" s="46"/>
      <c r="B444" s="46"/>
      <c r="C444" s="46"/>
      <c r="D444" s="46"/>
      <c r="E444" s="47"/>
      <c r="F444" s="47"/>
      <c r="G444" s="47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  <c r="AC444" s="46"/>
      <c r="AD444" s="46"/>
      <c r="AE444" s="46"/>
      <c r="AF444" s="46"/>
    </row>
    <row r="445" spans="1:32" s="48" customFormat="1" ht="14.25" customHeight="1" x14ac:dyDescent="0.25">
      <c r="A445" s="46"/>
      <c r="B445" s="46"/>
      <c r="C445" s="46"/>
      <c r="D445" s="46"/>
      <c r="E445" s="47"/>
      <c r="F445" s="47"/>
      <c r="G445" s="47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  <c r="AC445" s="46"/>
      <c r="AD445" s="46"/>
      <c r="AE445" s="46"/>
      <c r="AF445" s="46"/>
    </row>
    <row r="446" spans="1:32" s="48" customFormat="1" ht="14.25" customHeight="1" x14ac:dyDescent="0.25">
      <c r="A446" s="46"/>
      <c r="B446" s="46"/>
      <c r="C446" s="46"/>
      <c r="D446" s="46"/>
      <c r="E446" s="47"/>
      <c r="F446" s="47"/>
      <c r="G446" s="47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  <c r="AC446" s="46"/>
      <c r="AD446" s="46"/>
      <c r="AE446" s="46"/>
      <c r="AF446" s="46"/>
    </row>
    <row r="447" spans="1:32" s="48" customFormat="1" ht="14.25" customHeight="1" x14ac:dyDescent="0.25">
      <c r="A447" s="46"/>
      <c r="B447" s="46"/>
      <c r="C447" s="46"/>
      <c r="D447" s="46"/>
      <c r="E447" s="47"/>
      <c r="F447" s="47"/>
      <c r="G447" s="47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  <c r="AC447" s="46"/>
      <c r="AD447" s="46"/>
      <c r="AE447" s="46"/>
      <c r="AF447" s="46"/>
    </row>
    <row r="448" spans="1:32" s="48" customFormat="1" ht="14.25" customHeight="1" x14ac:dyDescent="0.25">
      <c r="A448" s="46"/>
      <c r="B448" s="46"/>
      <c r="C448" s="46"/>
      <c r="D448" s="46"/>
      <c r="E448" s="47"/>
      <c r="F448" s="47"/>
      <c r="G448" s="47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  <c r="AC448" s="46"/>
      <c r="AD448" s="46"/>
      <c r="AE448" s="46"/>
      <c r="AF448" s="46"/>
    </row>
    <row r="449" spans="1:32" s="48" customFormat="1" ht="14.25" customHeight="1" x14ac:dyDescent="0.25">
      <c r="A449" s="46"/>
      <c r="B449" s="46"/>
      <c r="C449" s="46"/>
      <c r="D449" s="46"/>
      <c r="E449" s="47"/>
      <c r="F449" s="47"/>
      <c r="G449" s="47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  <c r="AC449" s="46"/>
      <c r="AD449" s="46"/>
      <c r="AE449" s="46"/>
      <c r="AF449" s="46"/>
    </row>
    <row r="450" spans="1:32" s="48" customFormat="1" ht="14.25" customHeight="1" x14ac:dyDescent="0.25">
      <c r="A450" s="46"/>
      <c r="B450" s="46"/>
      <c r="C450" s="46"/>
      <c r="D450" s="46"/>
      <c r="E450" s="47"/>
      <c r="F450" s="47"/>
      <c r="G450" s="47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  <c r="AC450" s="46"/>
      <c r="AD450" s="46"/>
      <c r="AE450" s="46"/>
      <c r="AF450" s="46"/>
    </row>
    <row r="451" spans="1:32" s="48" customFormat="1" ht="14.25" customHeight="1" x14ac:dyDescent="0.25">
      <c r="A451" s="46"/>
      <c r="B451" s="46"/>
      <c r="C451" s="46"/>
      <c r="D451" s="46"/>
      <c r="E451" s="47"/>
      <c r="F451" s="47"/>
      <c r="G451" s="47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  <c r="AC451" s="46"/>
      <c r="AD451" s="46"/>
      <c r="AE451" s="46"/>
      <c r="AF451" s="46"/>
    </row>
    <row r="452" spans="1:32" s="48" customFormat="1" ht="14.25" customHeight="1" x14ac:dyDescent="0.25">
      <c r="A452" s="46"/>
      <c r="B452" s="46"/>
      <c r="C452" s="46"/>
      <c r="D452" s="46"/>
      <c r="E452" s="47"/>
      <c r="F452" s="47"/>
      <c r="G452" s="47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  <c r="AC452" s="46"/>
      <c r="AD452" s="46"/>
      <c r="AE452" s="46"/>
      <c r="AF452" s="46"/>
    </row>
    <row r="453" spans="1:32" s="48" customFormat="1" ht="14.25" customHeight="1" x14ac:dyDescent="0.25">
      <c r="A453" s="46"/>
      <c r="B453" s="46"/>
      <c r="C453" s="46"/>
      <c r="D453" s="46"/>
      <c r="E453" s="47"/>
      <c r="F453" s="47"/>
      <c r="G453" s="47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  <c r="AC453" s="46"/>
      <c r="AD453" s="46"/>
      <c r="AE453" s="46"/>
      <c r="AF453" s="46"/>
    </row>
    <row r="454" spans="1:32" s="48" customFormat="1" ht="14.25" customHeight="1" x14ac:dyDescent="0.25">
      <c r="A454" s="46"/>
      <c r="B454" s="46"/>
      <c r="C454" s="46"/>
      <c r="D454" s="46"/>
      <c r="E454" s="47"/>
      <c r="F454" s="47"/>
      <c r="G454" s="47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  <c r="AC454" s="46"/>
      <c r="AD454" s="46"/>
      <c r="AE454" s="46"/>
      <c r="AF454" s="46"/>
    </row>
    <row r="455" spans="1:32" s="48" customFormat="1" ht="14.25" customHeight="1" x14ac:dyDescent="0.25">
      <c r="A455" s="46"/>
      <c r="B455" s="46"/>
      <c r="C455" s="46"/>
      <c r="D455" s="46"/>
      <c r="E455" s="47"/>
      <c r="F455" s="47"/>
      <c r="G455" s="47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  <c r="AC455" s="46"/>
      <c r="AD455" s="46"/>
      <c r="AE455" s="46"/>
      <c r="AF455" s="46"/>
    </row>
    <row r="456" spans="1:32" s="48" customFormat="1" ht="14.25" customHeight="1" x14ac:dyDescent="0.25">
      <c r="A456" s="46"/>
      <c r="B456" s="46"/>
      <c r="C456" s="46"/>
      <c r="D456" s="46"/>
      <c r="E456" s="47"/>
      <c r="F456" s="47"/>
      <c r="G456" s="47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  <c r="AB456" s="46"/>
      <c r="AC456" s="46"/>
      <c r="AD456" s="46"/>
      <c r="AE456" s="46"/>
      <c r="AF456" s="46"/>
    </row>
    <row r="457" spans="1:32" s="48" customFormat="1" ht="14.25" customHeight="1" x14ac:dyDescent="0.25">
      <c r="A457" s="46"/>
      <c r="B457" s="46"/>
      <c r="C457" s="46"/>
      <c r="D457" s="46"/>
      <c r="E457" s="47"/>
      <c r="F457" s="47"/>
      <c r="G457" s="47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  <c r="AB457" s="46"/>
      <c r="AC457" s="46"/>
      <c r="AD457" s="46"/>
      <c r="AE457" s="46"/>
      <c r="AF457" s="46"/>
    </row>
    <row r="458" spans="1:32" s="48" customFormat="1" ht="14.25" customHeight="1" x14ac:dyDescent="0.25">
      <c r="A458" s="46"/>
      <c r="B458" s="46"/>
      <c r="C458" s="46"/>
      <c r="D458" s="46"/>
      <c r="E458" s="47"/>
      <c r="F458" s="47"/>
      <c r="G458" s="47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  <c r="AB458" s="46"/>
      <c r="AC458" s="46"/>
      <c r="AD458" s="46"/>
      <c r="AE458" s="46"/>
      <c r="AF458" s="46"/>
    </row>
    <row r="459" spans="1:32" s="48" customFormat="1" ht="14.25" customHeight="1" x14ac:dyDescent="0.25">
      <c r="A459" s="46"/>
      <c r="B459" s="46"/>
      <c r="C459" s="46"/>
      <c r="D459" s="46"/>
      <c r="E459" s="47"/>
      <c r="F459" s="47"/>
      <c r="G459" s="47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  <c r="AB459" s="46"/>
      <c r="AC459" s="46"/>
      <c r="AD459" s="46"/>
      <c r="AE459" s="46"/>
      <c r="AF459" s="46"/>
    </row>
    <row r="460" spans="1:32" s="48" customFormat="1" ht="14.25" customHeight="1" x14ac:dyDescent="0.25">
      <c r="A460" s="46"/>
      <c r="B460" s="46"/>
      <c r="C460" s="46"/>
      <c r="D460" s="46"/>
      <c r="E460" s="47"/>
      <c r="F460" s="47"/>
      <c r="G460" s="47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  <c r="AB460" s="46"/>
      <c r="AC460" s="46"/>
      <c r="AD460" s="46"/>
      <c r="AE460" s="46"/>
      <c r="AF460" s="46"/>
    </row>
    <row r="461" spans="1:32" s="48" customFormat="1" ht="14.25" customHeight="1" x14ac:dyDescent="0.25">
      <c r="A461" s="46"/>
      <c r="B461" s="46"/>
      <c r="C461" s="46"/>
      <c r="D461" s="46"/>
      <c r="E461" s="47"/>
      <c r="F461" s="47"/>
      <c r="G461" s="47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  <c r="AB461" s="46"/>
      <c r="AC461" s="46"/>
      <c r="AD461" s="46"/>
      <c r="AE461" s="46"/>
      <c r="AF461" s="46"/>
    </row>
    <row r="462" spans="1:32" s="48" customFormat="1" ht="14.25" customHeight="1" x14ac:dyDescent="0.25">
      <c r="A462" s="46"/>
      <c r="B462" s="46"/>
      <c r="C462" s="46"/>
      <c r="D462" s="46"/>
      <c r="E462" s="47"/>
      <c r="F462" s="47"/>
      <c r="G462" s="47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  <c r="AB462" s="46"/>
      <c r="AC462" s="46"/>
      <c r="AD462" s="46"/>
      <c r="AE462" s="46"/>
      <c r="AF462" s="46"/>
    </row>
    <row r="463" spans="1:32" s="48" customFormat="1" ht="14.25" customHeight="1" x14ac:dyDescent="0.25">
      <c r="A463" s="46"/>
      <c r="B463" s="46"/>
      <c r="C463" s="46"/>
      <c r="D463" s="46"/>
      <c r="E463" s="47"/>
      <c r="F463" s="47"/>
      <c r="G463" s="47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  <c r="AB463" s="46"/>
      <c r="AC463" s="46"/>
      <c r="AD463" s="46"/>
      <c r="AE463" s="46"/>
      <c r="AF463" s="46"/>
    </row>
    <row r="464" spans="1:32" s="48" customFormat="1" ht="14.25" customHeight="1" x14ac:dyDescent="0.25">
      <c r="A464" s="46"/>
      <c r="B464" s="46"/>
      <c r="C464" s="46"/>
      <c r="D464" s="46"/>
      <c r="E464" s="47"/>
      <c r="F464" s="47"/>
      <c r="G464" s="47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  <c r="AB464" s="46"/>
      <c r="AC464" s="46"/>
      <c r="AD464" s="46"/>
      <c r="AE464" s="46"/>
      <c r="AF464" s="46"/>
    </row>
    <row r="465" spans="1:32" s="48" customFormat="1" ht="14.25" customHeight="1" x14ac:dyDescent="0.25">
      <c r="A465" s="46"/>
      <c r="B465" s="46"/>
      <c r="C465" s="46"/>
      <c r="D465" s="46"/>
      <c r="E465" s="47"/>
      <c r="F465" s="47"/>
      <c r="G465" s="47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  <c r="AB465" s="46"/>
      <c r="AC465" s="46"/>
      <c r="AD465" s="46"/>
      <c r="AE465" s="46"/>
      <c r="AF465" s="46"/>
    </row>
    <row r="466" spans="1:32" s="48" customFormat="1" ht="14.25" customHeight="1" x14ac:dyDescent="0.25">
      <c r="A466" s="46"/>
      <c r="B466" s="46"/>
      <c r="C466" s="46"/>
      <c r="D466" s="46"/>
      <c r="E466" s="47"/>
      <c r="F466" s="47"/>
      <c r="G466" s="47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  <c r="AB466" s="46"/>
      <c r="AC466" s="46"/>
      <c r="AD466" s="46"/>
      <c r="AE466" s="46"/>
      <c r="AF466" s="46"/>
    </row>
    <row r="467" spans="1:32" s="48" customFormat="1" ht="14.25" customHeight="1" x14ac:dyDescent="0.25">
      <c r="A467" s="46"/>
      <c r="B467" s="46"/>
      <c r="C467" s="46"/>
      <c r="D467" s="46"/>
      <c r="E467" s="47"/>
      <c r="F467" s="47"/>
      <c r="G467" s="47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  <c r="AB467" s="46"/>
      <c r="AC467" s="46"/>
      <c r="AD467" s="46"/>
      <c r="AE467" s="46"/>
      <c r="AF467" s="46"/>
    </row>
    <row r="468" spans="1:32" s="48" customFormat="1" ht="14.25" customHeight="1" x14ac:dyDescent="0.25">
      <c r="A468" s="46"/>
      <c r="B468" s="46"/>
      <c r="C468" s="46"/>
      <c r="D468" s="46"/>
      <c r="E468" s="47"/>
      <c r="F468" s="47"/>
      <c r="G468" s="47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  <c r="AB468" s="46"/>
      <c r="AC468" s="46"/>
      <c r="AD468" s="46"/>
      <c r="AE468" s="46"/>
      <c r="AF468" s="46"/>
    </row>
    <row r="469" spans="1:32" s="48" customFormat="1" ht="14.25" customHeight="1" x14ac:dyDescent="0.25">
      <c r="A469" s="46"/>
      <c r="B469" s="46"/>
      <c r="C469" s="46"/>
      <c r="D469" s="46"/>
      <c r="E469" s="47"/>
      <c r="F469" s="47"/>
      <c r="G469" s="47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  <c r="AB469" s="46"/>
      <c r="AC469" s="46"/>
      <c r="AD469" s="46"/>
      <c r="AE469" s="46"/>
      <c r="AF469" s="46"/>
    </row>
    <row r="470" spans="1:32" s="48" customFormat="1" ht="14.25" customHeight="1" x14ac:dyDescent="0.25">
      <c r="A470" s="46"/>
      <c r="B470" s="46"/>
      <c r="C470" s="46"/>
      <c r="D470" s="46"/>
      <c r="E470" s="47"/>
      <c r="F470" s="47"/>
      <c r="G470" s="47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  <c r="AB470" s="46"/>
      <c r="AC470" s="46"/>
      <c r="AD470" s="46"/>
      <c r="AE470" s="46"/>
      <c r="AF470" s="46"/>
    </row>
    <row r="471" spans="1:32" s="48" customFormat="1" ht="14.25" customHeight="1" x14ac:dyDescent="0.25">
      <c r="A471" s="46"/>
      <c r="B471" s="46"/>
      <c r="C471" s="46"/>
      <c r="D471" s="46"/>
      <c r="E471" s="47"/>
      <c r="F471" s="47"/>
      <c r="G471" s="47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  <c r="AB471" s="46"/>
      <c r="AC471" s="46"/>
      <c r="AD471" s="46"/>
      <c r="AE471" s="46"/>
      <c r="AF471" s="46"/>
    </row>
    <row r="472" spans="1:32" s="48" customFormat="1" ht="14.25" customHeight="1" x14ac:dyDescent="0.25">
      <c r="A472" s="46"/>
      <c r="B472" s="46"/>
      <c r="C472" s="46"/>
      <c r="D472" s="46"/>
      <c r="E472" s="47"/>
      <c r="F472" s="47"/>
      <c r="G472" s="47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  <c r="AB472" s="46"/>
      <c r="AC472" s="46"/>
      <c r="AD472" s="46"/>
      <c r="AE472" s="46"/>
      <c r="AF472" s="46"/>
    </row>
    <row r="473" spans="1:32" s="48" customFormat="1" ht="14.25" customHeight="1" x14ac:dyDescent="0.25">
      <c r="A473" s="46"/>
      <c r="B473" s="46"/>
      <c r="C473" s="46"/>
      <c r="D473" s="46"/>
      <c r="E473" s="47"/>
      <c r="F473" s="47"/>
      <c r="G473" s="47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  <c r="AB473" s="46"/>
      <c r="AC473" s="46"/>
      <c r="AD473" s="46"/>
      <c r="AE473" s="46"/>
      <c r="AF473" s="46"/>
    </row>
    <row r="474" spans="1:32" s="48" customFormat="1" ht="14.25" customHeight="1" x14ac:dyDescent="0.25">
      <c r="A474" s="46"/>
      <c r="B474" s="46"/>
      <c r="C474" s="46"/>
      <c r="D474" s="46"/>
      <c r="E474" s="47"/>
      <c r="F474" s="47"/>
      <c r="G474" s="47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  <c r="AB474" s="46"/>
      <c r="AC474" s="46"/>
      <c r="AD474" s="46"/>
      <c r="AE474" s="46"/>
      <c r="AF474" s="46"/>
    </row>
    <row r="475" spans="1:32" s="48" customFormat="1" ht="14.25" customHeight="1" x14ac:dyDescent="0.25">
      <c r="A475" s="46"/>
      <c r="B475" s="46"/>
      <c r="C475" s="46"/>
      <c r="D475" s="46"/>
      <c r="E475" s="47"/>
      <c r="F475" s="47"/>
      <c r="G475" s="47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  <c r="AB475" s="46"/>
      <c r="AC475" s="46"/>
      <c r="AD475" s="46"/>
      <c r="AE475" s="46"/>
      <c r="AF475" s="46"/>
    </row>
    <row r="476" spans="1:32" s="48" customFormat="1" ht="14.25" customHeight="1" x14ac:dyDescent="0.25">
      <c r="A476" s="46"/>
      <c r="B476" s="46"/>
      <c r="C476" s="46"/>
      <c r="D476" s="46"/>
      <c r="E476" s="47"/>
      <c r="F476" s="47"/>
      <c r="G476" s="47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  <c r="AB476" s="46"/>
      <c r="AC476" s="46"/>
      <c r="AD476" s="46"/>
      <c r="AE476" s="46"/>
      <c r="AF476" s="46"/>
    </row>
    <row r="477" spans="1:32" s="48" customFormat="1" ht="14.25" customHeight="1" x14ac:dyDescent="0.25">
      <c r="A477" s="46"/>
      <c r="B477" s="46"/>
      <c r="C477" s="46"/>
      <c r="D477" s="46"/>
      <c r="E477" s="47"/>
      <c r="F477" s="47"/>
      <c r="G477" s="47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  <c r="AB477" s="46"/>
      <c r="AC477" s="46"/>
      <c r="AD477" s="46"/>
      <c r="AE477" s="46"/>
      <c r="AF477" s="46"/>
    </row>
    <row r="478" spans="1:32" s="48" customFormat="1" ht="14.25" customHeight="1" x14ac:dyDescent="0.25">
      <c r="A478" s="46"/>
      <c r="B478" s="46"/>
      <c r="C478" s="46"/>
      <c r="D478" s="46"/>
      <c r="E478" s="47"/>
      <c r="F478" s="47"/>
      <c r="G478" s="47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  <c r="AB478" s="46"/>
      <c r="AC478" s="46"/>
      <c r="AD478" s="46"/>
      <c r="AE478" s="46"/>
      <c r="AF478" s="46"/>
    </row>
    <row r="479" spans="1:32" s="48" customFormat="1" ht="14.25" customHeight="1" x14ac:dyDescent="0.25">
      <c r="A479" s="46"/>
      <c r="B479" s="46"/>
      <c r="C479" s="46"/>
      <c r="D479" s="46"/>
      <c r="E479" s="47"/>
      <c r="F479" s="47"/>
      <c r="G479" s="47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  <c r="AB479" s="46"/>
      <c r="AC479" s="46"/>
      <c r="AD479" s="46"/>
      <c r="AE479" s="46"/>
      <c r="AF479" s="46"/>
    </row>
    <row r="480" spans="1:32" s="48" customFormat="1" ht="14.25" customHeight="1" x14ac:dyDescent="0.25">
      <c r="A480" s="46"/>
      <c r="B480" s="46"/>
      <c r="C480" s="46"/>
      <c r="D480" s="46"/>
      <c r="E480" s="47"/>
      <c r="F480" s="47"/>
      <c r="G480" s="47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  <c r="AB480" s="46"/>
      <c r="AC480" s="46"/>
      <c r="AD480" s="46"/>
      <c r="AE480" s="46"/>
      <c r="AF480" s="46"/>
    </row>
    <row r="481" spans="1:32" s="48" customFormat="1" ht="14.25" customHeight="1" x14ac:dyDescent="0.25">
      <c r="A481" s="46"/>
      <c r="B481" s="46"/>
      <c r="C481" s="46"/>
      <c r="D481" s="46"/>
      <c r="E481" s="47"/>
      <c r="F481" s="47"/>
      <c r="G481" s="47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  <c r="AB481" s="46"/>
      <c r="AC481" s="46"/>
      <c r="AD481" s="46"/>
      <c r="AE481" s="46"/>
      <c r="AF481" s="46"/>
    </row>
    <row r="482" spans="1:32" s="48" customFormat="1" ht="14.25" customHeight="1" x14ac:dyDescent="0.25">
      <c r="A482" s="46"/>
      <c r="B482" s="46"/>
      <c r="C482" s="46"/>
      <c r="D482" s="46"/>
      <c r="E482" s="47"/>
      <c r="F482" s="47"/>
      <c r="G482" s="47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  <c r="AB482" s="46"/>
      <c r="AC482" s="46"/>
      <c r="AD482" s="46"/>
      <c r="AE482" s="46"/>
      <c r="AF482" s="46"/>
    </row>
    <row r="483" spans="1:32" s="48" customFormat="1" ht="14.25" customHeight="1" x14ac:dyDescent="0.25">
      <c r="A483" s="46"/>
      <c r="B483" s="46"/>
      <c r="C483" s="46"/>
      <c r="D483" s="46"/>
      <c r="E483" s="47"/>
      <c r="F483" s="47"/>
      <c r="G483" s="47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  <c r="AB483" s="46"/>
      <c r="AC483" s="46"/>
      <c r="AD483" s="46"/>
      <c r="AE483" s="46"/>
      <c r="AF483" s="46"/>
    </row>
    <row r="484" spans="1:32" s="48" customFormat="1" ht="14.25" customHeight="1" x14ac:dyDescent="0.25">
      <c r="A484" s="46"/>
      <c r="B484" s="46"/>
      <c r="C484" s="46"/>
      <c r="D484" s="46"/>
      <c r="E484" s="47"/>
      <c r="F484" s="47"/>
      <c r="G484" s="47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  <c r="AB484" s="46"/>
      <c r="AC484" s="46"/>
      <c r="AD484" s="46"/>
      <c r="AE484" s="46"/>
      <c r="AF484" s="46"/>
    </row>
    <row r="485" spans="1:32" s="48" customFormat="1" ht="14.25" customHeight="1" x14ac:dyDescent="0.25">
      <c r="A485" s="46"/>
      <c r="B485" s="46"/>
      <c r="C485" s="46"/>
      <c r="D485" s="46"/>
      <c r="E485" s="47"/>
      <c r="F485" s="47"/>
      <c r="G485" s="47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  <c r="AB485" s="46"/>
      <c r="AC485" s="46"/>
      <c r="AD485" s="46"/>
      <c r="AE485" s="46"/>
      <c r="AF485" s="46"/>
    </row>
    <row r="486" spans="1:32" s="48" customFormat="1" ht="14.25" customHeight="1" x14ac:dyDescent="0.25">
      <c r="A486" s="46"/>
      <c r="B486" s="46"/>
      <c r="C486" s="46"/>
      <c r="D486" s="46"/>
      <c r="E486" s="47"/>
      <c r="F486" s="47"/>
      <c r="G486" s="47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  <c r="AB486" s="46"/>
      <c r="AC486" s="46"/>
      <c r="AD486" s="46"/>
      <c r="AE486" s="46"/>
      <c r="AF486" s="46"/>
    </row>
    <row r="487" spans="1:32" s="48" customFormat="1" ht="14.25" customHeight="1" x14ac:dyDescent="0.25">
      <c r="A487" s="46"/>
      <c r="B487" s="46"/>
      <c r="C487" s="46"/>
      <c r="D487" s="46"/>
      <c r="E487" s="47"/>
      <c r="F487" s="47"/>
      <c r="G487" s="47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  <c r="AB487" s="46"/>
      <c r="AC487" s="46"/>
      <c r="AD487" s="46"/>
      <c r="AE487" s="46"/>
      <c r="AF487" s="46"/>
    </row>
    <row r="488" spans="1:32" s="48" customFormat="1" ht="14.25" customHeight="1" x14ac:dyDescent="0.25">
      <c r="A488" s="46"/>
      <c r="B488" s="46"/>
      <c r="C488" s="46"/>
      <c r="D488" s="46"/>
      <c r="E488" s="47"/>
      <c r="F488" s="47"/>
      <c r="G488" s="47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  <c r="AB488" s="46"/>
      <c r="AC488" s="46"/>
      <c r="AD488" s="46"/>
      <c r="AE488" s="46"/>
      <c r="AF488" s="46"/>
    </row>
    <row r="489" spans="1:32" s="48" customFormat="1" ht="14.25" customHeight="1" x14ac:dyDescent="0.25">
      <c r="A489" s="46"/>
      <c r="B489" s="46"/>
      <c r="C489" s="46"/>
      <c r="D489" s="46"/>
      <c r="E489" s="47"/>
      <c r="F489" s="47"/>
      <c r="G489" s="47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  <c r="AB489" s="46"/>
      <c r="AC489" s="46"/>
      <c r="AD489" s="46"/>
      <c r="AE489" s="46"/>
      <c r="AF489" s="46"/>
    </row>
    <row r="490" spans="1:32" s="48" customFormat="1" ht="14.25" customHeight="1" x14ac:dyDescent="0.25">
      <c r="A490" s="46"/>
      <c r="B490" s="46"/>
      <c r="C490" s="46"/>
      <c r="D490" s="46"/>
      <c r="E490" s="47"/>
      <c r="F490" s="47"/>
      <c r="G490" s="47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  <c r="AB490" s="46"/>
      <c r="AC490" s="46"/>
      <c r="AD490" s="46"/>
      <c r="AE490" s="46"/>
      <c r="AF490" s="46"/>
    </row>
    <row r="491" spans="1:32" s="48" customFormat="1" ht="14.25" customHeight="1" x14ac:dyDescent="0.25">
      <c r="A491" s="46"/>
      <c r="B491" s="46"/>
      <c r="C491" s="46"/>
      <c r="D491" s="46"/>
      <c r="E491" s="47"/>
      <c r="F491" s="47"/>
      <c r="G491" s="47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  <c r="AB491" s="46"/>
      <c r="AC491" s="46"/>
      <c r="AD491" s="46"/>
      <c r="AE491" s="46"/>
      <c r="AF491" s="46"/>
    </row>
    <row r="492" spans="1:32" s="48" customFormat="1" ht="14.25" customHeight="1" x14ac:dyDescent="0.25">
      <c r="A492" s="46"/>
      <c r="B492" s="46"/>
      <c r="C492" s="46"/>
      <c r="D492" s="46"/>
      <c r="E492" s="47"/>
      <c r="F492" s="47"/>
      <c r="G492" s="47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  <c r="AB492" s="46"/>
      <c r="AC492" s="46"/>
      <c r="AD492" s="46"/>
      <c r="AE492" s="46"/>
      <c r="AF492" s="46"/>
    </row>
    <row r="493" spans="1:32" s="48" customFormat="1" ht="14.25" customHeight="1" x14ac:dyDescent="0.25">
      <c r="A493" s="46"/>
      <c r="B493" s="46"/>
      <c r="C493" s="46"/>
      <c r="D493" s="46"/>
      <c r="E493" s="47"/>
      <c r="F493" s="47"/>
      <c r="G493" s="47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  <c r="AB493" s="46"/>
      <c r="AC493" s="46"/>
      <c r="AD493" s="46"/>
      <c r="AE493" s="46"/>
      <c r="AF493" s="46"/>
    </row>
    <row r="494" spans="1:32" s="48" customFormat="1" ht="14.25" customHeight="1" x14ac:dyDescent="0.25">
      <c r="A494" s="46"/>
      <c r="B494" s="46"/>
      <c r="C494" s="46"/>
      <c r="D494" s="46"/>
      <c r="E494" s="47"/>
      <c r="F494" s="47"/>
      <c r="G494" s="47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  <c r="AB494" s="46"/>
      <c r="AC494" s="46"/>
      <c r="AD494" s="46"/>
      <c r="AE494" s="46"/>
      <c r="AF494" s="46"/>
    </row>
    <row r="495" spans="1:32" s="48" customFormat="1" ht="14.25" customHeight="1" x14ac:dyDescent="0.25">
      <c r="A495" s="46"/>
      <c r="B495" s="46"/>
      <c r="C495" s="46"/>
      <c r="D495" s="46"/>
      <c r="E495" s="47"/>
      <c r="F495" s="47"/>
      <c r="G495" s="47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  <c r="AB495" s="46"/>
      <c r="AC495" s="46"/>
      <c r="AD495" s="46"/>
      <c r="AE495" s="46"/>
      <c r="AF495" s="46"/>
    </row>
    <row r="496" spans="1:32" s="48" customFormat="1" ht="14.25" customHeight="1" x14ac:dyDescent="0.25">
      <c r="A496" s="46"/>
      <c r="B496" s="46"/>
      <c r="C496" s="46"/>
      <c r="D496" s="46"/>
      <c r="E496" s="47"/>
      <c r="F496" s="47"/>
      <c r="G496" s="47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  <c r="AB496" s="46"/>
      <c r="AC496" s="46"/>
      <c r="AD496" s="46"/>
      <c r="AE496" s="46"/>
      <c r="AF496" s="46"/>
    </row>
    <row r="497" spans="1:32" s="48" customFormat="1" ht="14.25" customHeight="1" x14ac:dyDescent="0.25">
      <c r="A497" s="46"/>
      <c r="B497" s="46"/>
      <c r="C497" s="46"/>
      <c r="D497" s="46"/>
      <c r="E497" s="47"/>
      <c r="F497" s="47"/>
      <c r="G497" s="47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  <c r="AB497" s="46"/>
      <c r="AC497" s="46"/>
      <c r="AD497" s="46"/>
      <c r="AE497" s="46"/>
      <c r="AF497" s="46"/>
    </row>
    <row r="498" spans="1:32" s="48" customFormat="1" ht="14.25" customHeight="1" x14ac:dyDescent="0.25">
      <c r="A498" s="46"/>
      <c r="B498" s="46"/>
      <c r="C498" s="46"/>
      <c r="D498" s="46"/>
      <c r="E498" s="47"/>
      <c r="F498" s="47"/>
      <c r="G498" s="47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  <c r="AB498" s="46"/>
      <c r="AC498" s="46"/>
      <c r="AD498" s="46"/>
      <c r="AE498" s="46"/>
      <c r="AF498" s="46"/>
    </row>
    <row r="499" spans="1:32" s="48" customFormat="1" ht="14.25" customHeight="1" x14ac:dyDescent="0.25">
      <c r="A499" s="46"/>
      <c r="B499" s="46"/>
      <c r="C499" s="46"/>
      <c r="D499" s="46"/>
      <c r="E499" s="47"/>
      <c r="F499" s="47"/>
      <c r="G499" s="47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  <c r="AB499" s="46"/>
      <c r="AC499" s="46"/>
      <c r="AD499" s="46"/>
      <c r="AE499" s="46"/>
      <c r="AF499" s="46"/>
    </row>
    <row r="500" spans="1:32" s="48" customFormat="1" ht="14.25" customHeight="1" x14ac:dyDescent="0.25">
      <c r="A500" s="46"/>
      <c r="B500" s="46"/>
      <c r="C500" s="46"/>
      <c r="D500" s="46"/>
      <c r="E500" s="47"/>
      <c r="F500" s="47"/>
      <c r="G500" s="47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  <c r="AB500" s="46"/>
      <c r="AC500" s="46"/>
      <c r="AD500" s="46"/>
      <c r="AE500" s="46"/>
      <c r="AF500" s="46"/>
    </row>
    <row r="501" spans="1:32" s="48" customFormat="1" ht="14.25" customHeight="1" x14ac:dyDescent="0.25">
      <c r="A501" s="46"/>
      <c r="B501" s="46"/>
      <c r="C501" s="46"/>
      <c r="D501" s="46"/>
      <c r="E501" s="47"/>
      <c r="F501" s="47"/>
      <c r="G501" s="47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  <c r="AB501" s="46"/>
      <c r="AC501" s="46"/>
      <c r="AD501" s="46"/>
      <c r="AE501" s="46"/>
      <c r="AF501" s="46"/>
    </row>
    <row r="502" spans="1:32" s="48" customFormat="1" ht="14.25" customHeight="1" x14ac:dyDescent="0.25">
      <c r="A502" s="46"/>
      <c r="B502" s="46"/>
      <c r="C502" s="46"/>
      <c r="D502" s="46"/>
      <c r="E502" s="47"/>
      <c r="F502" s="47"/>
      <c r="G502" s="47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  <c r="AB502" s="46"/>
      <c r="AC502" s="46"/>
      <c r="AD502" s="46"/>
      <c r="AE502" s="46"/>
      <c r="AF502" s="46"/>
    </row>
    <row r="503" spans="1:32" s="48" customFormat="1" ht="14.25" customHeight="1" x14ac:dyDescent="0.25">
      <c r="A503" s="46"/>
      <c r="B503" s="46"/>
      <c r="C503" s="46"/>
      <c r="D503" s="46"/>
      <c r="E503" s="47"/>
      <c r="F503" s="47"/>
      <c r="G503" s="47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  <c r="AB503" s="46"/>
      <c r="AC503" s="46"/>
      <c r="AD503" s="46"/>
      <c r="AE503" s="46"/>
      <c r="AF503" s="46"/>
    </row>
    <row r="504" spans="1:32" s="48" customFormat="1" ht="14.25" customHeight="1" x14ac:dyDescent="0.25">
      <c r="A504" s="46"/>
      <c r="B504" s="46"/>
      <c r="C504" s="46"/>
      <c r="D504" s="46"/>
      <c r="E504" s="47"/>
      <c r="F504" s="47"/>
      <c r="G504" s="47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  <c r="AB504" s="46"/>
      <c r="AC504" s="46"/>
      <c r="AD504" s="46"/>
      <c r="AE504" s="46"/>
      <c r="AF504" s="46"/>
    </row>
    <row r="505" spans="1:32" s="48" customFormat="1" ht="14.25" customHeight="1" x14ac:dyDescent="0.25">
      <c r="A505" s="46"/>
      <c r="B505" s="46"/>
      <c r="C505" s="46"/>
      <c r="D505" s="46"/>
      <c r="E505" s="47"/>
      <c r="F505" s="47"/>
      <c r="G505" s="47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  <c r="AB505" s="46"/>
      <c r="AC505" s="46"/>
      <c r="AD505" s="46"/>
      <c r="AE505" s="46"/>
      <c r="AF505" s="46"/>
    </row>
    <row r="506" spans="1:32" s="48" customFormat="1" ht="14.25" customHeight="1" x14ac:dyDescent="0.25">
      <c r="A506" s="46"/>
      <c r="B506" s="46"/>
      <c r="C506" s="46"/>
      <c r="D506" s="46"/>
      <c r="E506" s="47"/>
      <c r="F506" s="47"/>
      <c r="G506" s="47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  <c r="AB506" s="46"/>
      <c r="AC506" s="46"/>
      <c r="AD506" s="46"/>
      <c r="AE506" s="46"/>
      <c r="AF506" s="46"/>
    </row>
    <row r="507" spans="1:32" s="48" customFormat="1" ht="14.25" customHeight="1" x14ac:dyDescent="0.25">
      <c r="A507" s="46"/>
      <c r="B507" s="46"/>
      <c r="C507" s="46"/>
      <c r="D507" s="46"/>
      <c r="E507" s="47"/>
      <c r="F507" s="47"/>
      <c r="G507" s="47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  <c r="AB507" s="46"/>
      <c r="AC507" s="46"/>
      <c r="AD507" s="46"/>
      <c r="AE507" s="46"/>
      <c r="AF507" s="46"/>
    </row>
    <row r="508" spans="1:32" s="48" customFormat="1" ht="14.25" customHeight="1" x14ac:dyDescent="0.25">
      <c r="A508" s="46"/>
      <c r="B508" s="46"/>
      <c r="C508" s="46"/>
      <c r="D508" s="46"/>
      <c r="E508" s="47"/>
      <c r="F508" s="47"/>
      <c r="G508" s="47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  <c r="AB508" s="46"/>
      <c r="AC508" s="46"/>
      <c r="AD508" s="46"/>
      <c r="AE508" s="46"/>
      <c r="AF508" s="46"/>
    </row>
    <row r="509" spans="1:32" s="48" customFormat="1" ht="14.25" customHeight="1" x14ac:dyDescent="0.25">
      <c r="A509" s="46"/>
      <c r="B509" s="46"/>
      <c r="C509" s="46"/>
      <c r="D509" s="46"/>
      <c r="E509" s="47"/>
      <c r="F509" s="47"/>
      <c r="G509" s="47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  <c r="AB509" s="46"/>
      <c r="AC509" s="46"/>
      <c r="AD509" s="46"/>
      <c r="AE509" s="46"/>
      <c r="AF509" s="46"/>
    </row>
    <row r="510" spans="1:32" s="48" customFormat="1" ht="14.25" customHeight="1" x14ac:dyDescent="0.25">
      <c r="A510" s="46"/>
      <c r="B510" s="46"/>
      <c r="C510" s="46"/>
      <c r="D510" s="46"/>
      <c r="E510" s="47"/>
      <c r="F510" s="47"/>
      <c r="G510" s="47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  <c r="AB510" s="46"/>
      <c r="AC510" s="46"/>
      <c r="AD510" s="46"/>
      <c r="AE510" s="46"/>
      <c r="AF510" s="46"/>
    </row>
    <row r="511" spans="1:32" s="48" customFormat="1" ht="14.25" customHeight="1" x14ac:dyDescent="0.25">
      <c r="A511" s="46"/>
      <c r="B511" s="46"/>
      <c r="C511" s="46"/>
      <c r="D511" s="46"/>
      <c r="E511" s="47"/>
      <c r="F511" s="47"/>
      <c r="G511" s="47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</row>
    <row r="512" spans="1:32" s="48" customFormat="1" ht="14.25" customHeight="1" x14ac:dyDescent="0.25">
      <c r="A512" s="46"/>
      <c r="B512" s="46"/>
      <c r="C512" s="46"/>
      <c r="D512" s="46"/>
      <c r="E512" s="47"/>
      <c r="F512" s="47"/>
      <c r="G512" s="47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  <c r="AB512" s="46"/>
      <c r="AC512" s="46"/>
      <c r="AD512" s="46"/>
      <c r="AE512" s="46"/>
      <c r="AF512" s="46"/>
    </row>
    <row r="513" spans="1:32" s="48" customFormat="1" ht="14.25" customHeight="1" x14ac:dyDescent="0.25">
      <c r="A513" s="46"/>
      <c r="B513" s="46"/>
      <c r="C513" s="46"/>
      <c r="D513" s="46"/>
      <c r="E513" s="47"/>
      <c r="F513" s="47"/>
      <c r="G513" s="47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  <c r="AB513" s="46"/>
      <c r="AC513" s="46"/>
      <c r="AD513" s="46"/>
      <c r="AE513" s="46"/>
      <c r="AF513" s="46"/>
    </row>
    <row r="514" spans="1:32" s="48" customFormat="1" ht="14.25" customHeight="1" x14ac:dyDescent="0.25">
      <c r="A514" s="46"/>
      <c r="B514" s="46"/>
      <c r="C514" s="46"/>
      <c r="D514" s="46"/>
      <c r="E514" s="47"/>
      <c r="F514" s="47"/>
      <c r="G514" s="47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  <c r="AB514" s="46"/>
      <c r="AC514" s="46"/>
      <c r="AD514" s="46"/>
      <c r="AE514" s="46"/>
      <c r="AF514" s="46"/>
    </row>
    <row r="515" spans="1:32" s="48" customFormat="1" ht="14.25" customHeight="1" x14ac:dyDescent="0.25">
      <c r="A515" s="46"/>
      <c r="B515" s="46"/>
      <c r="C515" s="46"/>
      <c r="D515" s="46"/>
      <c r="E515" s="47"/>
      <c r="F515" s="47"/>
      <c r="G515" s="47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  <c r="AB515" s="46"/>
      <c r="AC515" s="46"/>
      <c r="AD515" s="46"/>
      <c r="AE515" s="46"/>
      <c r="AF515" s="46"/>
    </row>
    <row r="516" spans="1:32" s="48" customFormat="1" ht="14.25" customHeight="1" x14ac:dyDescent="0.25">
      <c r="A516" s="46"/>
      <c r="B516" s="46"/>
      <c r="C516" s="46"/>
      <c r="D516" s="46"/>
      <c r="E516" s="47"/>
      <c r="F516" s="47"/>
      <c r="G516" s="47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  <c r="AB516" s="46"/>
      <c r="AC516" s="46"/>
      <c r="AD516" s="46"/>
      <c r="AE516" s="46"/>
      <c r="AF516" s="46"/>
    </row>
    <row r="517" spans="1:32" s="48" customFormat="1" ht="14.25" customHeight="1" x14ac:dyDescent="0.25">
      <c r="A517" s="46"/>
      <c r="B517" s="46"/>
      <c r="C517" s="46"/>
      <c r="D517" s="46"/>
      <c r="E517" s="47"/>
      <c r="F517" s="47"/>
      <c r="G517" s="47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  <c r="AB517" s="46"/>
      <c r="AC517" s="46"/>
      <c r="AD517" s="46"/>
      <c r="AE517" s="46"/>
      <c r="AF517" s="46"/>
    </row>
    <row r="518" spans="1:32" s="48" customFormat="1" ht="14.25" customHeight="1" x14ac:dyDescent="0.25">
      <c r="A518" s="46"/>
      <c r="B518" s="46"/>
      <c r="C518" s="46"/>
      <c r="D518" s="46"/>
      <c r="E518" s="47"/>
      <c r="F518" s="47"/>
      <c r="G518" s="47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  <c r="AB518" s="46"/>
      <c r="AC518" s="46"/>
      <c r="AD518" s="46"/>
      <c r="AE518" s="46"/>
      <c r="AF518" s="46"/>
    </row>
    <row r="519" spans="1:32" s="48" customFormat="1" ht="14.25" customHeight="1" x14ac:dyDescent="0.25">
      <c r="A519" s="46"/>
      <c r="B519" s="46"/>
      <c r="C519" s="46"/>
      <c r="D519" s="46"/>
      <c r="E519" s="47"/>
      <c r="F519" s="47"/>
      <c r="G519" s="47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  <c r="AB519" s="46"/>
      <c r="AC519" s="46"/>
      <c r="AD519" s="46"/>
      <c r="AE519" s="46"/>
      <c r="AF519" s="46"/>
    </row>
    <row r="520" spans="1:32" s="48" customFormat="1" ht="14.25" customHeight="1" x14ac:dyDescent="0.25">
      <c r="A520" s="46"/>
      <c r="B520" s="46"/>
      <c r="C520" s="46"/>
      <c r="D520" s="46"/>
      <c r="E520" s="47"/>
      <c r="F520" s="47"/>
      <c r="G520" s="47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  <c r="AB520" s="46"/>
      <c r="AC520" s="46"/>
      <c r="AD520" s="46"/>
      <c r="AE520" s="46"/>
      <c r="AF520" s="46"/>
    </row>
    <row r="521" spans="1:32" s="48" customFormat="1" ht="14.25" customHeight="1" x14ac:dyDescent="0.25">
      <c r="A521" s="46"/>
      <c r="B521" s="46"/>
      <c r="C521" s="46"/>
      <c r="D521" s="46"/>
      <c r="E521" s="47"/>
      <c r="F521" s="47"/>
      <c r="G521" s="47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  <c r="AB521" s="46"/>
      <c r="AC521" s="46"/>
      <c r="AD521" s="46"/>
      <c r="AE521" s="46"/>
      <c r="AF521" s="46"/>
    </row>
    <row r="522" spans="1:32" s="48" customFormat="1" ht="14.25" customHeight="1" x14ac:dyDescent="0.25">
      <c r="A522" s="46"/>
      <c r="B522" s="46"/>
      <c r="C522" s="46"/>
      <c r="D522" s="46"/>
      <c r="E522" s="47"/>
      <c r="F522" s="47"/>
      <c r="G522" s="47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  <c r="AB522" s="46"/>
      <c r="AC522" s="46"/>
      <c r="AD522" s="46"/>
      <c r="AE522" s="46"/>
      <c r="AF522" s="46"/>
    </row>
    <row r="523" spans="1:32" s="48" customFormat="1" ht="14.25" customHeight="1" x14ac:dyDescent="0.25">
      <c r="A523" s="46"/>
      <c r="B523" s="46"/>
      <c r="C523" s="46"/>
      <c r="D523" s="46"/>
      <c r="E523" s="47"/>
      <c r="F523" s="47"/>
      <c r="G523" s="47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  <c r="AB523" s="46"/>
      <c r="AC523" s="46"/>
      <c r="AD523" s="46"/>
      <c r="AE523" s="46"/>
      <c r="AF523" s="46"/>
    </row>
    <row r="524" spans="1:32" s="48" customFormat="1" ht="14.25" customHeight="1" x14ac:dyDescent="0.25">
      <c r="A524" s="46"/>
      <c r="B524" s="46"/>
      <c r="C524" s="46"/>
      <c r="D524" s="46"/>
      <c r="E524" s="47"/>
      <c r="F524" s="47"/>
      <c r="G524" s="47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  <c r="AB524" s="46"/>
      <c r="AC524" s="46"/>
      <c r="AD524" s="46"/>
      <c r="AE524" s="46"/>
      <c r="AF524" s="46"/>
    </row>
    <row r="525" spans="1:32" s="48" customFormat="1" ht="14.25" customHeight="1" x14ac:dyDescent="0.25">
      <c r="A525" s="46"/>
      <c r="B525" s="46"/>
      <c r="C525" s="46"/>
      <c r="D525" s="46"/>
      <c r="E525" s="47"/>
      <c r="F525" s="47"/>
      <c r="G525" s="47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  <c r="AB525" s="46"/>
      <c r="AC525" s="46"/>
      <c r="AD525" s="46"/>
      <c r="AE525" s="46"/>
      <c r="AF525" s="46"/>
    </row>
    <row r="526" spans="1:32" s="48" customFormat="1" ht="14.25" customHeight="1" x14ac:dyDescent="0.25">
      <c r="A526" s="46"/>
      <c r="B526" s="46"/>
      <c r="C526" s="46"/>
      <c r="D526" s="46"/>
      <c r="E526" s="47"/>
      <c r="F526" s="47"/>
      <c r="G526" s="47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  <c r="AB526" s="46"/>
      <c r="AC526" s="46"/>
      <c r="AD526" s="46"/>
      <c r="AE526" s="46"/>
      <c r="AF526" s="46"/>
    </row>
    <row r="527" spans="1:32" s="48" customFormat="1" ht="14.25" customHeight="1" x14ac:dyDescent="0.25">
      <c r="A527" s="46"/>
      <c r="B527" s="46"/>
      <c r="C527" s="46"/>
      <c r="D527" s="46"/>
      <c r="E527" s="47"/>
      <c r="F527" s="47"/>
      <c r="G527" s="47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  <c r="AB527" s="46"/>
      <c r="AC527" s="46"/>
      <c r="AD527" s="46"/>
      <c r="AE527" s="46"/>
      <c r="AF527" s="46"/>
    </row>
    <row r="528" spans="1:32" s="48" customFormat="1" ht="14.25" customHeight="1" x14ac:dyDescent="0.25">
      <c r="A528" s="46"/>
      <c r="B528" s="46"/>
      <c r="C528" s="46"/>
      <c r="D528" s="46"/>
      <c r="E528" s="47"/>
      <c r="F528" s="47"/>
      <c r="G528" s="47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  <c r="AB528" s="46"/>
      <c r="AC528" s="46"/>
      <c r="AD528" s="46"/>
      <c r="AE528" s="46"/>
      <c r="AF528" s="46"/>
    </row>
    <row r="529" spans="1:32" s="48" customFormat="1" ht="14.25" customHeight="1" x14ac:dyDescent="0.25">
      <c r="A529" s="46"/>
      <c r="B529" s="46"/>
      <c r="C529" s="46"/>
      <c r="D529" s="46"/>
      <c r="E529" s="47"/>
      <c r="F529" s="47"/>
      <c r="G529" s="47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  <c r="AB529" s="46"/>
      <c r="AC529" s="46"/>
      <c r="AD529" s="46"/>
      <c r="AE529" s="46"/>
      <c r="AF529" s="46"/>
    </row>
    <row r="530" spans="1:32" s="48" customFormat="1" ht="14.25" customHeight="1" x14ac:dyDescent="0.25">
      <c r="A530" s="46"/>
      <c r="B530" s="46"/>
      <c r="C530" s="46"/>
      <c r="D530" s="46"/>
      <c r="E530" s="47"/>
      <c r="F530" s="47"/>
      <c r="G530" s="47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  <c r="AB530" s="46"/>
      <c r="AC530" s="46"/>
      <c r="AD530" s="46"/>
      <c r="AE530" s="46"/>
      <c r="AF530" s="46"/>
    </row>
    <row r="531" spans="1:32" s="48" customFormat="1" ht="14.25" customHeight="1" x14ac:dyDescent="0.25">
      <c r="A531" s="46"/>
      <c r="B531" s="46"/>
      <c r="C531" s="46"/>
      <c r="D531" s="46"/>
      <c r="E531" s="47"/>
      <c r="F531" s="47"/>
      <c r="G531" s="47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  <c r="AB531" s="46"/>
      <c r="AC531" s="46"/>
      <c r="AD531" s="46"/>
      <c r="AE531" s="46"/>
      <c r="AF531" s="46"/>
    </row>
    <row r="532" spans="1:32" s="48" customFormat="1" ht="14.25" customHeight="1" x14ac:dyDescent="0.25">
      <c r="A532" s="46"/>
      <c r="B532" s="46"/>
      <c r="C532" s="46"/>
      <c r="D532" s="46"/>
      <c r="E532" s="47"/>
      <c r="F532" s="47"/>
      <c r="G532" s="47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  <c r="AB532" s="46"/>
      <c r="AC532" s="46"/>
      <c r="AD532" s="46"/>
      <c r="AE532" s="46"/>
      <c r="AF532" s="46"/>
    </row>
    <row r="533" spans="1:32" s="48" customFormat="1" ht="14.25" customHeight="1" x14ac:dyDescent="0.25">
      <c r="A533" s="46"/>
      <c r="B533" s="46"/>
      <c r="C533" s="46"/>
      <c r="D533" s="46"/>
      <c r="E533" s="47"/>
      <c r="F533" s="47"/>
      <c r="G533" s="47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  <c r="AB533" s="46"/>
      <c r="AC533" s="46"/>
      <c r="AD533" s="46"/>
      <c r="AE533" s="46"/>
      <c r="AF533" s="46"/>
    </row>
    <row r="534" spans="1:32" s="48" customFormat="1" ht="14.25" customHeight="1" x14ac:dyDescent="0.25">
      <c r="A534" s="46"/>
      <c r="B534" s="46"/>
      <c r="C534" s="46"/>
      <c r="D534" s="46"/>
      <c r="E534" s="47"/>
      <c r="F534" s="47"/>
      <c r="G534" s="47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  <c r="AB534" s="46"/>
      <c r="AC534" s="46"/>
      <c r="AD534" s="46"/>
      <c r="AE534" s="46"/>
      <c r="AF534" s="46"/>
    </row>
    <row r="535" spans="1:32" s="48" customFormat="1" ht="14.25" customHeight="1" x14ac:dyDescent="0.25">
      <c r="A535" s="46"/>
      <c r="B535" s="46"/>
      <c r="C535" s="46"/>
      <c r="D535" s="46"/>
      <c r="E535" s="47"/>
      <c r="F535" s="47"/>
      <c r="G535" s="47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  <c r="AB535" s="46"/>
      <c r="AC535" s="46"/>
      <c r="AD535" s="46"/>
      <c r="AE535" s="46"/>
      <c r="AF535" s="46"/>
    </row>
    <row r="536" spans="1:32" s="48" customFormat="1" ht="14.25" customHeight="1" x14ac:dyDescent="0.25">
      <c r="A536" s="46"/>
      <c r="B536" s="46"/>
      <c r="C536" s="46"/>
      <c r="D536" s="46"/>
      <c r="E536" s="47"/>
      <c r="F536" s="47"/>
      <c r="G536" s="47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  <c r="AB536" s="46"/>
      <c r="AC536" s="46"/>
      <c r="AD536" s="46"/>
      <c r="AE536" s="46"/>
      <c r="AF536" s="46"/>
    </row>
    <row r="537" spans="1:32" s="48" customFormat="1" ht="14.25" customHeight="1" x14ac:dyDescent="0.25">
      <c r="A537" s="46"/>
      <c r="B537" s="46"/>
      <c r="C537" s="46"/>
      <c r="D537" s="46"/>
      <c r="E537" s="47"/>
      <c r="F537" s="47"/>
      <c r="G537" s="47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  <c r="AB537" s="46"/>
      <c r="AC537" s="46"/>
      <c r="AD537" s="46"/>
      <c r="AE537" s="46"/>
      <c r="AF537" s="46"/>
    </row>
    <row r="538" spans="1:32" s="48" customFormat="1" ht="14.25" customHeight="1" x14ac:dyDescent="0.25">
      <c r="A538" s="46"/>
      <c r="B538" s="46"/>
      <c r="C538" s="46"/>
      <c r="D538" s="46"/>
      <c r="E538" s="47"/>
      <c r="F538" s="47"/>
      <c r="G538" s="47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  <c r="AB538" s="46"/>
      <c r="AC538" s="46"/>
      <c r="AD538" s="46"/>
      <c r="AE538" s="46"/>
      <c r="AF538" s="46"/>
    </row>
    <row r="539" spans="1:32" s="48" customFormat="1" ht="14.25" customHeight="1" x14ac:dyDescent="0.25">
      <c r="A539" s="46"/>
      <c r="B539" s="46"/>
      <c r="C539" s="46"/>
      <c r="D539" s="46"/>
      <c r="E539" s="47"/>
      <c r="F539" s="47"/>
      <c r="G539" s="47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  <c r="AB539" s="46"/>
      <c r="AC539" s="46"/>
      <c r="AD539" s="46"/>
      <c r="AE539" s="46"/>
      <c r="AF539" s="46"/>
    </row>
    <row r="540" spans="1:32" s="48" customFormat="1" ht="14.25" customHeight="1" x14ac:dyDescent="0.25">
      <c r="A540" s="46"/>
      <c r="B540" s="46"/>
      <c r="C540" s="46"/>
      <c r="D540" s="46"/>
      <c r="E540" s="47"/>
      <c r="F540" s="47"/>
      <c r="G540" s="47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  <c r="AB540" s="46"/>
      <c r="AC540" s="46"/>
      <c r="AD540" s="46"/>
      <c r="AE540" s="46"/>
      <c r="AF540" s="46"/>
    </row>
    <row r="541" spans="1:32" s="48" customFormat="1" ht="14.25" customHeight="1" x14ac:dyDescent="0.25">
      <c r="A541" s="46"/>
      <c r="B541" s="46"/>
      <c r="C541" s="46"/>
      <c r="D541" s="46"/>
      <c r="E541" s="47"/>
      <c r="F541" s="47"/>
      <c r="G541" s="47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  <c r="AB541" s="46"/>
      <c r="AC541" s="46"/>
      <c r="AD541" s="46"/>
      <c r="AE541" s="46"/>
      <c r="AF541" s="46"/>
    </row>
    <row r="542" spans="1:32" s="48" customFormat="1" ht="14.25" customHeight="1" x14ac:dyDescent="0.25">
      <c r="A542" s="46"/>
      <c r="B542" s="46"/>
      <c r="C542" s="46"/>
      <c r="D542" s="46"/>
      <c r="E542" s="47"/>
      <c r="F542" s="47"/>
      <c r="G542" s="47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  <c r="AB542" s="46"/>
      <c r="AC542" s="46"/>
      <c r="AD542" s="46"/>
      <c r="AE542" s="46"/>
      <c r="AF542" s="46"/>
    </row>
    <row r="543" spans="1:32" s="48" customFormat="1" ht="14.25" customHeight="1" x14ac:dyDescent="0.25">
      <c r="A543" s="46"/>
      <c r="B543" s="46"/>
      <c r="C543" s="46"/>
      <c r="D543" s="46"/>
      <c r="E543" s="47"/>
      <c r="F543" s="47"/>
      <c r="G543" s="47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  <c r="AB543" s="46"/>
      <c r="AC543" s="46"/>
      <c r="AD543" s="46"/>
      <c r="AE543" s="46"/>
      <c r="AF543" s="46"/>
    </row>
    <row r="544" spans="1:32" s="48" customFormat="1" ht="14.25" customHeight="1" x14ac:dyDescent="0.25">
      <c r="A544" s="46"/>
      <c r="B544" s="46"/>
      <c r="C544" s="46"/>
      <c r="D544" s="46"/>
      <c r="E544" s="47"/>
      <c r="F544" s="47"/>
      <c r="G544" s="47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  <c r="AB544" s="46"/>
      <c r="AC544" s="46"/>
      <c r="AD544" s="46"/>
      <c r="AE544" s="46"/>
      <c r="AF544" s="46"/>
    </row>
    <row r="545" spans="1:32" s="48" customFormat="1" ht="14.25" customHeight="1" x14ac:dyDescent="0.25">
      <c r="A545" s="46"/>
      <c r="B545" s="46"/>
      <c r="C545" s="46"/>
      <c r="D545" s="46"/>
      <c r="E545" s="47"/>
      <c r="F545" s="47"/>
      <c r="G545" s="47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  <c r="AB545" s="46"/>
      <c r="AC545" s="46"/>
      <c r="AD545" s="46"/>
      <c r="AE545" s="46"/>
      <c r="AF545" s="46"/>
    </row>
    <row r="546" spans="1:32" s="48" customFormat="1" ht="14.25" customHeight="1" x14ac:dyDescent="0.25">
      <c r="A546" s="46"/>
      <c r="B546" s="46"/>
      <c r="C546" s="46"/>
      <c r="D546" s="46"/>
      <c r="E546" s="47"/>
      <c r="F546" s="47"/>
      <c r="G546" s="47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  <c r="AB546" s="46"/>
      <c r="AC546" s="46"/>
      <c r="AD546" s="46"/>
      <c r="AE546" s="46"/>
      <c r="AF546" s="46"/>
    </row>
    <row r="547" spans="1:32" s="48" customFormat="1" ht="14.25" customHeight="1" x14ac:dyDescent="0.25">
      <c r="A547" s="46"/>
      <c r="B547" s="46"/>
      <c r="C547" s="46"/>
      <c r="D547" s="46"/>
      <c r="E547" s="47"/>
      <c r="F547" s="47"/>
      <c r="G547" s="47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  <c r="AB547" s="46"/>
      <c r="AC547" s="46"/>
      <c r="AD547" s="46"/>
      <c r="AE547" s="46"/>
      <c r="AF547" s="46"/>
    </row>
    <row r="548" spans="1:32" s="48" customFormat="1" ht="14.25" customHeight="1" x14ac:dyDescent="0.25">
      <c r="A548" s="46"/>
      <c r="B548" s="46"/>
      <c r="C548" s="46"/>
      <c r="D548" s="46"/>
      <c r="E548" s="47"/>
      <c r="F548" s="47"/>
      <c r="G548" s="47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  <c r="AB548" s="46"/>
      <c r="AC548" s="46"/>
      <c r="AD548" s="46"/>
      <c r="AE548" s="46"/>
      <c r="AF548" s="46"/>
    </row>
    <row r="549" spans="1:32" s="48" customFormat="1" ht="14.25" customHeight="1" x14ac:dyDescent="0.25">
      <c r="A549" s="46"/>
      <c r="B549" s="46"/>
      <c r="C549" s="46"/>
      <c r="D549" s="46"/>
      <c r="E549" s="47"/>
      <c r="F549" s="47"/>
      <c r="G549" s="47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  <c r="AB549" s="46"/>
      <c r="AC549" s="46"/>
      <c r="AD549" s="46"/>
      <c r="AE549" s="46"/>
      <c r="AF549" s="46"/>
    </row>
    <row r="550" spans="1:32" s="48" customFormat="1" ht="14.25" customHeight="1" x14ac:dyDescent="0.25">
      <c r="A550" s="46"/>
      <c r="B550" s="46"/>
      <c r="C550" s="46"/>
      <c r="D550" s="46"/>
      <c r="E550" s="47"/>
      <c r="F550" s="47"/>
      <c r="G550" s="47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  <c r="AB550" s="46"/>
      <c r="AC550" s="46"/>
      <c r="AD550" s="46"/>
      <c r="AE550" s="46"/>
      <c r="AF550" s="46"/>
    </row>
    <row r="551" spans="1:32" s="48" customFormat="1" ht="14.25" customHeight="1" x14ac:dyDescent="0.25">
      <c r="A551" s="46"/>
      <c r="B551" s="46"/>
      <c r="C551" s="46"/>
      <c r="D551" s="46"/>
      <c r="E551" s="47"/>
      <c r="F551" s="47"/>
      <c r="G551" s="47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  <c r="AB551" s="46"/>
      <c r="AC551" s="46"/>
      <c r="AD551" s="46"/>
      <c r="AE551" s="46"/>
      <c r="AF551" s="46"/>
    </row>
    <row r="552" spans="1:32" s="48" customFormat="1" ht="14.25" customHeight="1" x14ac:dyDescent="0.25">
      <c r="A552" s="46"/>
      <c r="B552" s="46"/>
      <c r="C552" s="46"/>
      <c r="D552" s="46"/>
      <c r="E552" s="47"/>
      <c r="F552" s="47"/>
      <c r="G552" s="47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  <c r="AB552" s="46"/>
      <c r="AC552" s="46"/>
      <c r="AD552" s="46"/>
      <c r="AE552" s="46"/>
      <c r="AF552" s="46"/>
    </row>
    <row r="553" spans="1:32" s="48" customFormat="1" ht="14.25" customHeight="1" x14ac:dyDescent="0.25">
      <c r="A553" s="46"/>
      <c r="B553" s="46"/>
      <c r="C553" s="46"/>
      <c r="D553" s="46"/>
      <c r="E553" s="47"/>
      <c r="F553" s="47"/>
      <c r="G553" s="47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  <c r="AB553" s="46"/>
      <c r="AC553" s="46"/>
      <c r="AD553" s="46"/>
      <c r="AE553" s="46"/>
      <c r="AF553" s="46"/>
    </row>
    <row r="554" spans="1:32" s="48" customFormat="1" ht="14.25" customHeight="1" x14ac:dyDescent="0.25">
      <c r="A554" s="46"/>
      <c r="B554" s="46"/>
      <c r="C554" s="46"/>
      <c r="D554" s="46"/>
      <c r="E554" s="47"/>
      <c r="F554" s="47"/>
      <c r="G554" s="47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  <c r="AB554" s="46"/>
      <c r="AC554" s="46"/>
      <c r="AD554" s="46"/>
      <c r="AE554" s="46"/>
      <c r="AF554" s="46"/>
    </row>
    <row r="555" spans="1:32" s="48" customFormat="1" ht="14.25" customHeight="1" x14ac:dyDescent="0.25">
      <c r="A555" s="46"/>
      <c r="B555" s="46"/>
      <c r="C555" s="46"/>
      <c r="D555" s="46"/>
      <c r="E555" s="47"/>
      <c r="F555" s="47"/>
      <c r="G555" s="47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  <c r="AB555" s="46"/>
      <c r="AC555" s="46"/>
      <c r="AD555" s="46"/>
      <c r="AE555" s="46"/>
      <c r="AF555" s="46"/>
    </row>
    <row r="556" spans="1:32" s="48" customFormat="1" ht="14.25" customHeight="1" x14ac:dyDescent="0.25">
      <c r="A556" s="46"/>
      <c r="B556" s="46"/>
      <c r="C556" s="46"/>
      <c r="D556" s="46"/>
      <c r="E556" s="47"/>
      <c r="F556" s="47"/>
      <c r="G556" s="47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  <c r="AB556" s="46"/>
      <c r="AC556" s="46"/>
      <c r="AD556" s="46"/>
      <c r="AE556" s="46"/>
      <c r="AF556" s="46"/>
    </row>
    <row r="557" spans="1:32" s="48" customFormat="1" ht="14.25" customHeight="1" x14ac:dyDescent="0.25">
      <c r="A557" s="46"/>
      <c r="B557" s="46"/>
      <c r="C557" s="46"/>
      <c r="D557" s="46"/>
      <c r="E557" s="47"/>
      <c r="F557" s="47"/>
      <c r="G557" s="47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  <c r="AB557" s="46"/>
      <c r="AC557" s="46"/>
      <c r="AD557" s="46"/>
      <c r="AE557" s="46"/>
      <c r="AF557" s="46"/>
    </row>
    <row r="558" spans="1:32" s="48" customFormat="1" ht="14.25" customHeight="1" x14ac:dyDescent="0.25">
      <c r="A558" s="46"/>
      <c r="B558" s="46"/>
      <c r="C558" s="46"/>
      <c r="D558" s="46"/>
      <c r="E558" s="47"/>
      <c r="F558" s="47"/>
      <c r="G558" s="47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  <c r="AB558" s="46"/>
      <c r="AC558" s="46"/>
      <c r="AD558" s="46"/>
      <c r="AE558" s="46"/>
      <c r="AF558" s="46"/>
    </row>
    <row r="559" spans="1:32" s="48" customFormat="1" ht="14.25" customHeight="1" x14ac:dyDescent="0.25">
      <c r="A559" s="46"/>
      <c r="B559" s="46"/>
      <c r="C559" s="46"/>
      <c r="D559" s="46"/>
      <c r="E559" s="47"/>
      <c r="F559" s="47"/>
      <c r="G559" s="47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  <c r="AB559" s="46"/>
      <c r="AC559" s="46"/>
      <c r="AD559" s="46"/>
      <c r="AE559" s="46"/>
      <c r="AF559" s="46"/>
    </row>
    <row r="560" spans="1:32" s="48" customFormat="1" ht="14.25" customHeight="1" x14ac:dyDescent="0.25">
      <c r="A560" s="46"/>
      <c r="B560" s="46"/>
      <c r="C560" s="46"/>
      <c r="D560" s="46"/>
      <c r="E560" s="47"/>
      <c r="F560" s="47"/>
      <c r="G560" s="47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  <c r="AB560" s="46"/>
      <c r="AC560" s="46"/>
      <c r="AD560" s="46"/>
      <c r="AE560" s="46"/>
      <c r="AF560" s="46"/>
    </row>
    <row r="561" spans="1:32" s="48" customFormat="1" ht="14.25" customHeight="1" x14ac:dyDescent="0.25">
      <c r="A561" s="46"/>
      <c r="B561" s="46"/>
      <c r="C561" s="46"/>
      <c r="D561" s="46"/>
      <c r="E561" s="47"/>
      <c r="F561" s="47"/>
      <c r="G561" s="47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  <c r="AB561" s="46"/>
      <c r="AC561" s="46"/>
      <c r="AD561" s="46"/>
      <c r="AE561" s="46"/>
      <c r="AF561" s="46"/>
    </row>
    <row r="562" spans="1:32" s="48" customFormat="1" ht="14.25" customHeight="1" x14ac:dyDescent="0.25">
      <c r="A562" s="46"/>
      <c r="B562" s="46"/>
      <c r="C562" s="46"/>
      <c r="D562" s="46"/>
      <c r="E562" s="47"/>
      <c r="F562" s="47"/>
      <c r="G562" s="47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  <c r="AB562" s="46"/>
      <c r="AC562" s="46"/>
      <c r="AD562" s="46"/>
      <c r="AE562" s="46"/>
      <c r="AF562" s="46"/>
    </row>
    <row r="563" spans="1:32" s="48" customFormat="1" ht="14.25" customHeight="1" x14ac:dyDescent="0.25">
      <c r="A563" s="46"/>
      <c r="B563" s="46"/>
      <c r="C563" s="46"/>
      <c r="D563" s="46"/>
      <c r="E563" s="47"/>
      <c r="F563" s="47"/>
      <c r="G563" s="47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  <c r="AB563" s="46"/>
      <c r="AC563" s="46"/>
      <c r="AD563" s="46"/>
      <c r="AE563" s="46"/>
      <c r="AF563" s="46"/>
    </row>
    <row r="564" spans="1:32" s="48" customFormat="1" ht="14.25" customHeight="1" x14ac:dyDescent="0.25">
      <c r="A564" s="46"/>
      <c r="B564" s="46"/>
      <c r="C564" s="46"/>
      <c r="D564" s="46"/>
      <c r="E564" s="47"/>
      <c r="F564" s="47"/>
      <c r="G564" s="47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  <c r="AB564" s="46"/>
      <c r="AC564" s="46"/>
      <c r="AD564" s="46"/>
      <c r="AE564" s="46"/>
      <c r="AF564" s="46"/>
    </row>
    <row r="565" spans="1:32" s="48" customFormat="1" ht="14.25" customHeight="1" x14ac:dyDescent="0.25">
      <c r="A565" s="46"/>
      <c r="B565" s="46"/>
      <c r="C565" s="46"/>
      <c r="D565" s="46"/>
      <c r="E565" s="47"/>
      <c r="F565" s="47"/>
      <c r="G565" s="47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  <c r="AB565" s="46"/>
      <c r="AC565" s="46"/>
      <c r="AD565" s="46"/>
      <c r="AE565" s="46"/>
      <c r="AF565" s="46"/>
    </row>
    <row r="566" spans="1:32" s="48" customFormat="1" ht="14.25" customHeight="1" x14ac:dyDescent="0.25">
      <c r="A566" s="46"/>
      <c r="B566" s="46"/>
      <c r="C566" s="46"/>
      <c r="D566" s="46"/>
      <c r="E566" s="47"/>
      <c r="F566" s="47"/>
      <c r="G566" s="47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  <c r="AB566" s="46"/>
      <c r="AC566" s="46"/>
      <c r="AD566" s="46"/>
      <c r="AE566" s="46"/>
      <c r="AF566" s="46"/>
    </row>
    <row r="567" spans="1:32" s="48" customFormat="1" ht="14.25" customHeight="1" x14ac:dyDescent="0.25">
      <c r="A567" s="46"/>
      <c r="B567" s="46"/>
      <c r="C567" s="46"/>
      <c r="D567" s="46"/>
      <c r="E567" s="47"/>
      <c r="F567" s="47"/>
      <c r="G567" s="47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  <c r="AB567" s="46"/>
      <c r="AC567" s="46"/>
      <c r="AD567" s="46"/>
      <c r="AE567" s="46"/>
      <c r="AF567" s="46"/>
    </row>
    <row r="568" spans="1:32" s="48" customFormat="1" ht="14.25" customHeight="1" x14ac:dyDescent="0.25">
      <c r="A568" s="46"/>
      <c r="B568" s="46"/>
      <c r="C568" s="46"/>
      <c r="D568" s="46"/>
      <c r="E568" s="47"/>
      <c r="F568" s="47"/>
      <c r="G568" s="47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  <c r="AB568" s="46"/>
      <c r="AC568" s="46"/>
      <c r="AD568" s="46"/>
      <c r="AE568" s="46"/>
      <c r="AF568" s="46"/>
    </row>
    <row r="569" spans="1:32" s="48" customFormat="1" ht="14.25" customHeight="1" x14ac:dyDescent="0.25">
      <c r="A569" s="46"/>
      <c r="B569" s="46"/>
      <c r="C569" s="46"/>
      <c r="D569" s="46"/>
      <c r="E569" s="47"/>
      <c r="F569" s="47"/>
      <c r="G569" s="47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  <c r="AB569" s="46"/>
      <c r="AC569" s="46"/>
      <c r="AD569" s="46"/>
      <c r="AE569" s="46"/>
      <c r="AF569" s="46"/>
    </row>
    <row r="570" spans="1:32" s="48" customFormat="1" ht="14.25" customHeight="1" x14ac:dyDescent="0.25">
      <c r="A570" s="46"/>
      <c r="B570" s="46"/>
      <c r="C570" s="46"/>
      <c r="D570" s="46"/>
      <c r="E570" s="47"/>
      <c r="F570" s="47"/>
      <c r="G570" s="47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  <c r="AB570" s="46"/>
      <c r="AC570" s="46"/>
      <c r="AD570" s="46"/>
      <c r="AE570" s="46"/>
      <c r="AF570" s="46"/>
    </row>
    <row r="571" spans="1:32" s="48" customFormat="1" ht="14.25" customHeight="1" x14ac:dyDescent="0.25">
      <c r="A571" s="46"/>
      <c r="B571" s="46"/>
      <c r="C571" s="46"/>
      <c r="D571" s="46"/>
      <c r="E571" s="47"/>
      <c r="F571" s="47"/>
      <c r="G571" s="47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  <c r="AB571" s="46"/>
      <c r="AC571" s="46"/>
      <c r="AD571" s="46"/>
      <c r="AE571" s="46"/>
      <c r="AF571" s="46"/>
    </row>
    <row r="572" spans="1:32" s="48" customFormat="1" ht="14.25" customHeight="1" x14ac:dyDescent="0.25">
      <c r="A572" s="46"/>
      <c r="B572" s="46"/>
      <c r="C572" s="46"/>
      <c r="D572" s="46"/>
      <c r="E572" s="47"/>
      <c r="F572" s="47"/>
      <c r="G572" s="47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  <c r="AB572" s="46"/>
      <c r="AC572" s="46"/>
      <c r="AD572" s="46"/>
      <c r="AE572" s="46"/>
      <c r="AF572" s="46"/>
    </row>
    <row r="573" spans="1:32" s="48" customFormat="1" ht="14.25" customHeight="1" x14ac:dyDescent="0.25">
      <c r="A573" s="46"/>
      <c r="B573" s="46"/>
      <c r="C573" s="46"/>
      <c r="D573" s="46"/>
      <c r="E573" s="47"/>
      <c r="F573" s="47"/>
      <c r="G573" s="47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  <c r="AB573" s="46"/>
      <c r="AC573" s="46"/>
      <c r="AD573" s="46"/>
      <c r="AE573" s="46"/>
      <c r="AF573" s="46"/>
    </row>
    <row r="574" spans="1:32" s="48" customFormat="1" ht="14.25" customHeight="1" x14ac:dyDescent="0.25">
      <c r="A574" s="46"/>
      <c r="B574" s="46"/>
      <c r="C574" s="46"/>
      <c r="D574" s="46"/>
      <c r="E574" s="47"/>
      <c r="F574" s="47"/>
      <c r="G574" s="47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  <c r="AB574" s="46"/>
      <c r="AC574" s="46"/>
      <c r="AD574" s="46"/>
      <c r="AE574" s="46"/>
      <c r="AF574" s="46"/>
    </row>
    <row r="575" spans="1:32" s="48" customFormat="1" ht="14.25" customHeight="1" x14ac:dyDescent="0.25">
      <c r="A575" s="46"/>
      <c r="B575" s="46"/>
      <c r="C575" s="46"/>
      <c r="D575" s="46"/>
      <c r="E575" s="47"/>
      <c r="F575" s="47"/>
      <c r="G575" s="47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  <c r="AB575" s="46"/>
      <c r="AC575" s="46"/>
      <c r="AD575" s="46"/>
      <c r="AE575" s="46"/>
      <c r="AF575" s="46"/>
    </row>
    <row r="576" spans="1:32" s="48" customFormat="1" ht="14.25" customHeight="1" x14ac:dyDescent="0.25">
      <c r="A576" s="46"/>
      <c r="B576" s="46"/>
      <c r="C576" s="46"/>
      <c r="D576" s="46"/>
      <c r="E576" s="47"/>
      <c r="F576" s="47"/>
      <c r="G576" s="47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  <c r="AB576" s="46"/>
      <c r="AC576" s="46"/>
      <c r="AD576" s="46"/>
      <c r="AE576" s="46"/>
      <c r="AF576" s="46"/>
    </row>
    <row r="577" spans="1:32" s="48" customFormat="1" ht="14.25" customHeight="1" x14ac:dyDescent="0.25">
      <c r="A577" s="46"/>
      <c r="B577" s="46"/>
      <c r="C577" s="46"/>
      <c r="D577" s="46"/>
      <c r="E577" s="47"/>
      <c r="F577" s="47"/>
      <c r="G577" s="47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  <c r="AB577" s="46"/>
      <c r="AC577" s="46"/>
      <c r="AD577" s="46"/>
      <c r="AE577" s="46"/>
      <c r="AF577" s="46"/>
    </row>
    <row r="578" spans="1:32" s="48" customFormat="1" ht="14.25" customHeight="1" x14ac:dyDescent="0.25">
      <c r="A578" s="46"/>
      <c r="B578" s="46"/>
      <c r="C578" s="46"/>
      <c r="D578" s="46"/>
      <c r="E578" s="47"/>
      <c r="F578" s="47"/>
      <c r="G578" s="47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  <c r="AB578" s="46"/>
      <c r="AC578" s="46"/>
      <c r="AD578" s="46"/>
      <c r="AE578" s="46"/>
      <c r="AF578" s="46"/>
    </row>
    <row r="579" spans="1:32" s="48" customFormat="1" ht="14.25" customHeight="1" x14ac:dyDescent="0.25">
      <c r="A579" s="46"/>
      <c r="B579" s="46"/>
      <c r="C579" s="46"/>
      <c r="D579" s="46"/>
      <c r="E579" s="47"/>
      <c r="F579" s="47"/>
      <c r="G579" s="47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  <c r="AB579" s="46"/>
      <c r="AC579" s="46"/>
      <c r="AD579" s="46"/>
      <c r="AE579" s="46"/>
      <c r="AF579" s="46"/>
    </row>
    <row r="580" spans="1:32" s="48" customFormat="1" ht="14.25" customHeight="1" x14ac:dyDescent="0.25">
      <c r="A580" s="46"/>
      <c r="B580" s="46"/>
      <c r="C580" s="46"/>
      <c r="D580" s="46"/>
      <c r="E580" s="47"/>
      <c r="F580" s="47"/>
      <c r="G580" s="47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  <c r="AB580" s="46"/>
      <c r="AC580" s="46"/>
      <c r="AD580" s="46"/>
      <c r="AE580" s="46"/>
      <c r="AF580" s="46"/>
    </row>
    <row r="581" spans="1:32" s="48" customFormat="1" ht="14.25" customHeight="1" x14ac:dyDescent="0.25">
      <c r="A581" s="46"/>
      <c r="B581" s="46"/>
      <c r="C581" s="46"/>
      <c r="D581" s="46"/>
      <c r="E581" s="47"/>
      <c r="F581" s="47"/>
      <c r="G581" s="47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  <c r="AB581" s="46"/>
      <c r="AC581" s="46"/>
      <c r="AD581" s="46"/>
      <c r="AE581" s="46"/>
      <c r="AF581" s="46"/>
    </row>
    <row r="582" spans="1:32" s="48" customFormat="1" ht="14.25" customHeight="1" x14ac:dyDescent="0.25">
      <c r="A582" s="46"/>
      <c r="B582" s="46"/>
      <c r="C582" s="46"/>
      <c r="D582" s="46"/>
      <c r="E582" s="47"/>
      <c r="F582" s="47"/>
      <c r="G582" s="47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  <c r="AB582" s="46"/>
      <c r="AC582" s="46"/>
      <c r="AD582" s="46"/>
      <c r="AE582" s="46"/>
      <c r="AF582" s="46"/>
    </row>
    <row r="583" spans="1:32" s="48" customFormat="1" ht="14.25" customHeight="1" x14ac:dyDescent="0.25">
      <c r="A583" s="46"/>
      <c r="B583" s="46"/>
      <c r="C583" s="46"/>
      <c r="D583" s="46"/>
      <c r="E583" s="47"/>
      <c r="F583" s="47"/>
      <c r="G583" s="47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  <c r="AB583" s="46"/>
      <c r="AC583" s="46"/>
      <c r="AD583" s="46"/>
      <c r="AE583" s="46"/>
      <c r="AF583" s="46"/>
    </row>
    <row r="584" spans="1:32" s="48" customFormat="1" ht="14.25" customHeight="1" x14ac:dyDescent="0.25">
      <c r="A584" s="46"/>
      <c r="B584" s="46"/>
      <c r="C584" s="46"/>
      <c r="D584" s="46"/>
      <c r="E584" s="47"/>
      <c r="F584" s="47"/>
      <c r="G584" s="47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  <c r="AB584" s="46"/>
      <c r="AC584" s="46"/>
      <c r="AD584" s="46"/>
      <c r="AE584" s="46"/>
      <c r="AF584" s="46"/>
    </row>
    <row r="585" spans="1:32" s="48" customFormat="1" ht="14.25" customHeight="1" x14ac:dyDescent="0.25">
      <c r="A585" s="46"/>
      <c r="B585" s="46"/>
      <c r="C585" s="46"/>
      <c r="D585" s="46"/>
      <c r="E585" s="47"/>
      <c r="F585" s="47"/>
      <c r="G585" s="47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  <c r="AB585" s="46"/>
      <c r="AC585" s="46"/>
      <c r="AD585" s="46"/>
      <c r="AE585" s="46"/>
      <c r="AF585" s="46"/>
    </row>
    <row r="586" spans="1:32" s="48" customFormat="1" ht="14.25" customHeight="1" x14ac:dyDescent="0.25">
      <c r="A586" s="46"/>
      <c r="B586" s="46"/>
      <c r="C586" s="46"/>
      <c r="D586" s="46"/>
      <c r="E586" s="47"/>
      <c r="F586" s="47"/>
      <c r="G586" s="47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  <c r="AB586" s="46"/>
      <c r="AC586" s="46"/>
      <c r="AD586" s="46"/>
      <c r="AE586" s="46"/>
      <c r="AF586" s="46"/>
    </row>
    <row r="587" spans="1:32" s="48" customFormat="1" ht="14.25" customHeight="1" x14ac:dyDescent="0.25">
      <c r="A587" s="46"/>
      <c r="B587" s="46"/>
      <c r="C587" s="46"/>
      <c r="D587" s="46"/>
      <c r="E587" s="47"/>
      <c r="F587" s="47"/>
      <c r="G587" s="47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  <c r="AB587" s="46"/>
      <c r="AC587" s="46"/>
      <c r="AD587" s="46"/>
      <c r="AE587" s="46"/>
      <c r="AF587" s="46"/>
    </row>
    <row r="588" spans="1:32" s="48" customFormat="1" ht="14.25" customHeight="1" x14ac:dyDescent="0.25">
      <c r="A588" s="46"/>
      <c r="B588" s="46"/>
      <c r="C588" s="46"/>
      <c r="D588" s="46"/>
      <c r="E588" s="47"/>
      <c r="F588" s="47"/>
      <c r="G588" s="47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  <c r="AB588" s="46"/>
      <c r="AC588" s="46"/>
      <c r="AD588" s="46"/>
      <c r="AE588" s="46"/>
      <c r="AF588" s="46"/>
    </row>
    <row r="589" spans="1:32" s="48" customFormat="1" ht="14.25" customHeight="1" x14ac:dyDescent="0.25">
      <c r="A589" s="46"/>
      <c r="B589" s="46"/>
      <c r="C589" s="46"/>
      <c r="D589" s="46"/>
      <c r="E589" s="47"/>
      <c r="F589" s="47"/>
      <c r="G589" s="47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  <c r="AB589" s="46"/>
      <c r="AC589" s="46"/>
      <c r="AD589" s="46"/>
      <c r="AE589" s="46"/>
      <c r="AF589" s="46"/>
    </row>
    <row r="590" spans="1:32" s="48" customFormat="1" ht="14.25" customHeight="1" x14ac:dyDescent="0.25">
      <c r="A590" s="46"/>
      <c r="B590" s="46"/>
      <c r="C590" s="46"/>
      <c r="D590" s="46"/>
      <c r="E590" s="47"/>
      <c r="F590" s="47"/>
      <c r="G590" s="47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  <c r="AB590" s="46"/>
      <c r="AC590" s="46"/>
      <c r="AD590" s="46"/>
      <c r="AE590" s="46"/>
      <c r="AF590" s="46"/>
    </row>
    <row r="591" spans="1:32" s="48" customFormat="1" ht="14.25" customHeight="1" x14ac:dyDescent="0.25">
      <c r="A591" s="46"/>
      <c r="B591" s="46"/>
      <c r="C591" s="46"/>
      <c r="D591" s="46"/>
      <c r="E591" s="47"/>
      <c r="F591" s="47"/>
      <c r="G591" s="47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  <c r="AB591" s="46"/>
      <c r="AC591" s="46"/>
      <c r="AD591" s="46"/>
      <c r="AE591" s="46"/>
      <c r="AF591" s="46"/>
    </row>
    <row r="592" spans="1:32" s="48" customFormat="1" ht="14.25" customHeight="1" x14ac:dyDescent="0.25">
      <c r="A592" s="46"/>
      <c r="B592" s="46"/>
      <c r="C592" s="46"/>
      <c r="D592" s="46"/>
      <c r="E592" s="47"/>
      <c r="F592" s="47"/>
      <c r="G592" s="47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  <c r="AB592" s="46"/>
      <c r="AC592" s="46"/>
      <c r="AD592" s="46"/>
      <c r="AE592" s="46"/>
      <c r="AF592" s="46"/>
    </row>
    <row r="593" spans="1:32" s="48" customFormat="1" ht="14.25" customHeight="1" x14ac:dyDescent="0.25">
      <c r="A593" s="46"/>
      <c r="B593" s="46"/>
      <c r="C593" s="46"/>
      <c r="D593" s="46"/>
      <c r="E593" s="47"/>
      <c r="F593" s="47"/>
      <c r="G593" s="47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  <c r="AB593" s="46"/>
      <c r="AC593" s="46"/>
      <c r="AD593" s="46"/>
      <c r="AE593" s="46"/>
      <c r="AF593" s="46"/>
    </row>
    <row r="594" spans="1:32" s="48" customFormat="1" ht="14.25" customHeight="1" x14ac:dyDescent="0.25">
      <c r="A594" s="46"/>
      <c r="B594" s="46"/>
      <c r="C594" s="46"/>
      <c r="D594" s="46"/>
      <c r="E594" s="47"/>
      <c r="F594" s="47"/>
      <c r="G594" s="47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  <c r="AB594" s="46"/>
      <c r="AC594" s="46"/>
      <c r="AD594" s="46"/>
      <c r="AE594" s="46"/>
      <c r="AF594" s="46"/>
    </row>
    <row r="595" spans="1:32" s="48" customFormat="1" ht="14.25" customHeight="1" x14ac:dyDescent="0.25">
      <c r="A595" s="46"/>
      <c r="B595" s="46"/>
      <c r="C595" s="46"/>
      <c r="D595" s="46"/>
      <c r="E595" s="47"/>
      <c r="F595" s="47"/>
      <c r="G595" s="47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  <c r="AB595" s="46"/>
      <c r="AC595" s="46"/>
      <c r="AD595" s="46"/>
      <c r="AE595" s="46"/>
      <c r="AF595" s="46"/>
    </row>
    <row r="596" spans="1:32" s="48" customFormat="1" ht="14.25" customHeight="1" x14ac:dyDescent="0.25">
      <c r="A596" s="46"/>
      <c r="B596" s="46"/>
      <c r="C596" s="46"/>
      <c r="D596" s="46"/>
      <c r="E596" s="47"/>
      <c r="F596" s="47"/>
      <c r="G596" s="47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  <c r="AB596" s="46"/>
      <c r="AC596" s="46"/>
      <c r="AD596" s="46"/>
      <c r="AE596" s="46"/>
      <c r="AF596" s="46"/>
    </row>
    <row r="597" spans="1:32" s="48" customFormat="1" ht="14.25" customHeight="1" x14ac:dyDescent="0.25">
      <c r="A597" s="46"/>
      <c r="B597" s="46"/>
      <c r="C597" s="46"/>
      <c r="D597" s="46"/>
      <c r="E597" s="47"/>
      <c r="F597" s="47"/>
      <c r="G597" s="47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  <c r="AB597" s="46"/>
      <c r="AC597" s="46"/>
      <c r="AD597" s="46"/>
      <c r="AE597" s="46"/>
      <c r="AF597" s="46"/>
    </row>
    <row r="598" spans="1:32" s="48" customFormat="1" ht="14.25" customHeight="1" x14ac:dyDescent="0.25">
      <c r="A598" s="46"/>
      <c r="B598" s="46"/>
      <c r="C598" s="46"/>
      <c r="D598" s="46"/>
      <c r="E598" s="47"/>
      <c r="F598" s="47"/>
      <c r="G598" s="47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  <c r="AB598" s="46"/>
      <c r="AC598" s="46"/>
      <c r="AD598" s="46"/>
      <c r="AE598" s="46"/>
      <c r="AF598" s="46"/>
    </row>
    <row r="599" spans="1:32" s="48" customFormat="1" ht="14.25" customHeight="1" x14ac:dyDescent="0.25">
      <c r="A599" s="46"/>
      <c r="B599" s="46"/>
      <c r="C599" s="46"/>
      <c r="D599" s="46"/>
      <c r="E599" s="47"/>
      <c r="F599" s="47"/>
      <c r="G599" s="47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  <c r="AB599" s="46"/>
      <c r="AC599" s="46"/>
      <c r="AD599" s="46"/>
      <c r="AE599" s="46"/>
      <c r="AF599" s="46"/>
    </row>
    <row r="600" spans="1:32" s="48" customFormat="1" ht="14.25" customHeight="1" x14ac:dyDescent="0.25">
      <c r="A600" s="46"/>
      <c r="B600" s="46"/>
      <c r="C600" s="46"/>
      <c r="D600" s="46"/>
      <c r="E600" s="47"/>
      <c r="F600" s="47"/>
      <c r="G600" s="47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  <c r="AB600" s="46"/>
      <c r="AC600" s="46"/>
      <c r="AD600" s="46"/>
      <c r="AE600" s="46"/>
      <c r="AF600" s="46"/>
    </row>
    <row r="601" spans="1:32" s="48" customFormat="1" ht="14.25" customHeight="1" x14ac:dyDescent="0.25">
      <c r="A601" s="46"/>
      <c r="B601" s="46"/>
      <c r="C601" s="46"/>
      <c r="D601" s="46"/>
      <c r="E601" s="47"/>
      <c r="F601" s="47"/>
      <c r="G601" s="47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  <c r="AB601" s="46"/>
      <c r="AC601" s="46"/>
      <c r="AD601" s="46"/>
      <c r="AE601" s="46"/>
      <c r="AF601" s="46"/>
    </row>
    <row r="602" spans="1:32" s="48" customFormat="1" ht="14.25" customHeight="1" x14ac:dyDescent="0.25">
      <c r="A602" s="46"/>
      <c r="B602" s="46"/>
      <c r="C602" s="46"/>
      <c r="D602" s="46"/>
      <c r="E602" s="47"/>
      <c r="F602" s="47"/>
      <c r="G602" s="47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  <c r="AB602" s="46"/>
      <c r="AC602" s="46"/>
      <c r="AD602" s="46"/>
      <c r="AE602" s="46"/>
      <c r="AF602" s="46"/>
    </row>
    <row r="603" spans="1:32" s="48" customFormat="1" ht="14.25" customHeight="1" x14ac:dyDescent="0.25">
      <c r="A603" s="46"/>
      <c r="B603" s="46"/>
      <c r="C603" s="46"/>
      <c r="D603" s="46"/>
      <c r="E603" s="47"/>
      <c r="F603" s="47"/>
      <c r="G603" s="47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  <c r="AB603" s="46"/>
      <c r="AC603" s="46"/>
      <c r="AD603" s="46"/>
      <c r="AE603" s="46"/>
      <c r="AF603" s="46"/>
    </row>
    <row r="604" spans="1:32" s="48" customFormat="1" ht="14.25" customHeight="1" x14ac:dyDescent="0.25">
      <c r="A604" s="46"/>
      <c r="B604" s="46"/>
      <c r="C604" s="46"/>
      <c r="D604" s="46"/>
      <c r="E604" s="47"/>
      <c r="F604" s="47"/>
      <c r="G604" s="47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  <c r="AB604" s="46"/>
      <c r="AC604" s="46"/>
      <c r="AD604" s="46"/>
      <c r="AE604" s="46"/>
      <c r="AF604" s="46"/>
    </row>
    <row r="605" spans="1:32" s="48" customFormat="1" ht="14.25" customHeight="1" x14ac:dyDescent="0.25">
      <c r="A605" s="46"/>
      <c r="B605" s="46"/>
      <c r="C605" s="46"/>
      <c r="D605" s="46"/>
      <c r="E605" s="47"/>
      <c r="F605" s="47"/>
      <c r="G605" s="47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  <c r="AB605" s="46"/>
      <c r="AC605" s="46"/>
      <c r="AD605" s="46"/>
      <c r="AE605" s="46"/>
      <c r="AF605" s="46"/>
    </row>
    <row r="606" spans="1:32" s="48" customFormat="1" ht="14.25" customHeight="1" x14ac:dyDescent="0.25">
      <c r="A606" s="46"/>
      <c r="B606" s="46"/>
      <c r="C606" s="46"/>
      <c r="D606" s="46"/>
      <c r="E606" s="47"/>
      <c r="F606" s="47"/>
      <c r="G606" s="47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  <c r="AB606" s="46"/>
      <c r="AC606" s="46"/>
      <c r="AD606" s="46"/>
      <c r="AE606" s="46"/>
      <c r="AF606" s="46"/>
    </row>
    <row r="607" spans="1:32" s="48" customFormat="1" ht="14.25" customHeight="1" x14ac:dyDescent="0.25">
      <c r="A607" s="46"/>
      <c r="B607" s="46"/>
      <c r="C607" s="46"/>
      <c r="D607" s="46"/>
      <c r="E607" s="47"/>
      <c r="F607" s="47"/>
      <c r="G607" s="47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  <c r="AB607" s="46"/>
      <c r="AC607" s="46"/>
      <c r="AD607" s="46"/>
      <c r="AE607" s="46"/>
      <c r="AF607" s="46"/>
    </row>
    <row r="608" spans="1:32" s="48" customFormat="1" ht="14.25" customHeight="1" x14ac:dyDescent="0.25">
      <c r="A608" s="46"/>
      <c r="B608" s="46"/>
      <c r="C608" s="46"/>
      <c r="D608" s="46"/>
      <c r="E608" s="47"/>
      <c r="F608" s="47"/>
      <c r="G608" s="47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  <c r="AB608" s="46"/>
      <c r="AC608" s="46"/>
      <c r="AD608" s="46"/>
      <c r="AE608" s="46"/>
      <c r="AF608" s="46"/>
    </row>
    <row r="609" spans="1:32" s="48" customFormat="1" ht="14.25" customHeight="1" x14ac:dyDescent="0.25">
      <c r="A609" s="46"/>
      <c r="B609" s="46"/>
      <c r="C609" s="46"/>
      <c r="D609" s="46"/>
      <c r="E609" s="47"/>
      <c r="F609" s="47"/>
      <c r="G609" s="47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  <c r="AB609" s="46"/>
      <c r="AC609" s="46"/>
      <c r="AD609" s="46"/>
      <c r="AE609" s="46"/>
      <c r="AF609" s="46"/>
    </row>
    <row r="610" spans="1:32" s="48" customFormat="1" ht="14.25" customHeight="1" x14ac:dyDescent="0.25">
      <c r="A610" s="46"/>
      <c r="B610" s="46"/>
      <c r="C610" s="46"/>
      <c r="D610" s="46"/>
      <c r="E610" s="47"/>
      <c r="F610" s="47"/>
      <c r="G610" s="47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  <c r="AB610" s="46"/>
      <c r="AC610" s="46"/>
      <c r="AD610" s="46"/>
      <c r="AE610" s="46"/>
      <c r="AF610" s="46"/>
    </row>
    <row r="611" spans="1:32" s="48" customFormat="1" ht="14.25" customHeight="1" x14ac:dyDescent="0.25">
      <c r="A611" s="46"/>
      <c r="B611" s="46"/>
      <c r="C611" s="46"/>
      <c r="D611" s="46"/>
      <c r="E611" s="47"/>
      <c r="F611" s="47"/>
      <c r="G611" s="47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  <c r="AB611" s="46"/>
      <c r="AC611" s="46"/>
      <c r="AD611" s="46"/>
      <c r="AE611" s="46"/>
      <c r="AF611" s="46"/>
    </row>
    <row r="612" spans="1:32" s="48" customFormat="1" ht="14.25" customHeight="1" x14ac:dyDescent="0.25">
      <c r="A612" s="46"/>
      <c r="B612" s="46"/>
      <c r="C612" s="46"/>
      <c r="D612" s="46"/>
      <c r="E612" s="47"/>
      <c r="F612" s="47"/>
      <c r="G612" s="47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  <c r="AB612" s="46"/>
      <c r="AC612" s="46"/>
      <c r="AD612" s="46"/>
      <c r="AE612" s="46"/>
      <c r="AF612" s="46"/>
    </row>
    <row r="613" spans="1:32" s="48" customFormat="1" ht="14.25" customHeight="1" x14ac:dyDescent="0.25">
      <c r="A613" s="46"/>
      <c r="B613" s="46"/>
      <c r="C613" s="46"/>
      <c r="D613" s="46"/>
      <c r="E613" s="47"/>
      <c r="F613" s="47"/>
      <c r="G613" s="47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  <c r="AB613" s="46"/>
      <c r="AC613" s="46"/>
      <c r="AD613" s="46"/>
      <c r="AE613" s="46"/>
      <c r="AF613" s="46"/>
    </row>
    <row r="614" spans="1:32" s="48" customFormat="1" ht="14.25" customHeight="1" x14ac:dyDescent="0.25">
      <c r="A614" s="46"/>
      <c r="B614" s="46"/>
      <c r="C614" s="46"/>
      <c r="D614" s="46"/>
      <c r="E614" s="47"/>
      <c r="F614" s="47"/>
      <c r="G614" s="47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  <c r="AB614" s="46"/>
      <c r="AC614" s="46"/>
      <c r="AD614" s="46"/>
      <c r="AE614" s="46"/>
      <c r="AF614" s="46"/>
    </row>
    <row r="615" spans="1:32" s="48" customFormat="1" ht="14.25" customHeight="1" x14ac:dyDescent="0.25">
      <c r="A615" s="46"/>
      <c r="B615" s="46"/>
      <c r="C615" s="46"/>
      <c r="D615" s="46"/>
      <c r="E615" s="47"/>
      <c r="F615" s="47"/>
      <c r="G615" s="47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  <c r="AB615" s="46"/>
      <c r="AC615" s="46"/>
      <c r="AD615" s="46"/>
      <c r="AE615" s="46"/>
      <c r="AF615" s="46"/>
    </row>
    <row r="616" spans="1:32" s="48" customFormat="1" ht="14.25" customHeight="1" x14ac:dyDescent="0.25">
      <c r="A616" s="46"/>
      <c r="B616" s="46"/>
      <c r="C616" s="46"/>
      <c r="D616" s="46"/>
      <c r="E616" s="47"/>
      <c r="F616" s="47"/>
      <c r="G616" s="47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  <c r="AB616" s="46"/>
      <c r="AC616" s="46"/>
      <c r="AD616" s="46"/>
      <c r="AE616" s="46"/>
      <c r="AF616" s="46"/>
    </row>
    <row r="617" spans="1:32" s="48" customFormat="1" ht="14.25" customHeight="1" x14ac:dyDescent="0.25">
      <c r="A617" s="46"/>
      <c r="B617" s="46"/>
      <c r="C617" s="46"/>
      <c r="D617" s="46"/>
      <c r="E617" s="47"/>
      <c r="F617" s="47"/>
      <c r="G617" s="47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  <c r="AB617" s="46"/>
      <c r="AC617" s="46"/>
      <c r="AD617" s="46"/>
      <c r="AE617" s="46"/>
      <c r="AF617" s="46"/>
    </row>
    <row r="618" spans="1:32" s="48" customFormat="1" ht="14.25" customHeight="1" x14ac:dyDescent="0.25">
      <c r="A618" s="46"/>
      <c r="B618" s="46"/>
      <c r="C618" s="46"/>
      <c r="D618" s="46"/>
      <c r="E618" s="47"/>
      <c r="F618" s="47"/>
      <c r="G618" s="47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  <c r="AB618" s="46"/>
      <c r="AC618" s="46"/>
      <c r="AD618" s="46"/>
      <c r="AE618" s="46"/>
      <c r="AF618" s="46"/>
    </row>
    <row r="619" spans="1:32" s="48" customFormat="1" ht="14.25" customHeight="1" x14ac:dyDescent="0.25">
      <c r="A619" s="46"/>
      <c r="B619" s="46"/>
      <c r="C619" s="46"/>
      <c r="D619" s="46"/>
      <c r="E619" s="47"/>
      <c r="F619" s="47"/>
      <c r="G619" s="47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  <c r="AB619" s="46"/>
      <c r="AC619" s="46"/>
      <c r="AD619" s="46"/>
      <c r="AE619" s="46"/>
      <c r="AF619" s="46"/>
    </row>
    <row r="620" spans="1:32" s="48" customFormat="1" ht="14.25" customHeight="1" x14ac:dyDescent="0.25">
      <c r="A620" s="46"/>
      <c r="B620" s="46"/>
      <c r="C620" s="46"/>
      <c r="D620" s="46"/>
      <c r="E620" s="47"/>
      <c r="F620" s="47"/>
      <c r="G620" s="47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  <c r="AB620" s="46"/>
      <c r="AC620" s="46"/>
      <c r="AD620" s="46"/>
      <c r="AE620" s="46"/>
      <c r="AF620" s="46"/>
    </row>
    <row r="621" spans="1:32" s="48" customFormat="1" ht="14.25" customHeight="1" x14ac:dyDescent="0.25">
      <c r="A621" s="46"/>
      <c r="B621" s="46"/>
      <c r="C621" s="46"/>
      <c r="D621" s="46"/>
      <c r="E621" s="47"/>
      <c r="F621" s="47"/>
      <c r="G621" s="47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  <c r="AB621" s="46"/>
      <c r="AC621" s="46"/>
      <c r="AD621" s="46"/>
      <c r="AE621" s="46"/>
      <c r="AF621" s="46"/>
    </row>
    <row r="622" spans="1:32" s="48" customFormat="1" ht="14.25" customHeight="1" x14ac:dyDescent="0.25">
      <c r="A622" s="46"/>
      <c r="B622" s="46"/>
      <c r="C622" s="46"/>
      <c r="D622" s="46"/>
      <c r="E622" s="47"/>
      <c r="F622" s="47"/>
      <c r="G622" s="47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  <c r="AB622" s="46"/>
      <c r="AC622" s="46"/>
      <c r="AD622" s="46"/>
      <c r="AE622" s="46"/>
      <c r="AF622" s="46"/>
    </row>
    <row r="623" spans="1:32" s="48" customFormat="1" ht="14.25" customHeight="1" x14ac:dyDescent="0.25">
      <c r="A623" s="46"/>
      <c r="B623" s="46"/>
      <c r="C623" s="46"/>
      <c r="D623" s="46"/>
      <c r="E623" s="47"/>
      <c r="F623" s="47"/>
      <c r="G623" s="47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  <c r="AB623" s="46"/>
      <c r="AC623" s="46"/>
      <c r="AD623" s="46"/>
      <c r="AE623" s="46"/>
      <c r="AF623" s="46"/>
    </row>
    <row r="624" spans="1:32" s="48" customFormat="1" ht="14.25" customHeight="1" x14ac:dyDescent="0.25">
      <c r="A624" s="46"/>
      <c r="B624" s="46"/>
      <c r="C624" s="46"/>
      <c r="D624" s="46"/>
      <c r="E624" s="47"/>
      <c r="F624" s="47"/>
      <c r="G624" s="47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  <c r="AB624" s="46"/>
      <c r="AC624" s="46"/>
      <c r="AD624" s="46"/>
      <c r="AE624" s="46"/>
      <c r="AF624" s="46"/>
    </row>
    <row r="625" spans="1:32" s="48" customFormat="1" ht="14.25" customHeight="1" x14ac:dyDescent="0.25">
      <c r="A625" s="46"/>
      <c r="B625" s="46"/>
      <c r="C625" s="46"/>
      <c r="D625" s="46"/>
      <c r="E625" s="47"/>
      <c r="F625" s="47"/>
      <c r="G625" s="47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  <c r="AB625" s="46"/>
      <c r="AC625" s="46"/>
      <c r="AD625" s="46"/>
      <c r="AE625" s="46"/>
      <c r="AF625" s="46"/>
    </row>
    <row r="626" spans="1:32" s="48" customFormat="1" ht="14.25" customHeight="1" x14ac:dyDescent="0.25">
      <c r="A626" s="46"/>
      <c r="B626" s="46"/>
      <c r="C626" s="46"/>
      <c r="D626" s="46"/>
      <c r="E626" s="47"/>
      <c r="F626" s="47"/>
      <c r="G626" s="47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  <c r="AB626" s="46"/>
      <c r="AC626" s="46"/>
      <c r="AD626" s="46"/>
      <c r="AE626" s="46"/>
      <c r="AF626" s="46"/>
    </row>
    <row r="627" spans="1:32" s="48" customFormat="1" ht="14.25" customHeight="1" x14ac:dyDescent="0.25">
      <c r="A627" s="46"/>
      <c r="B627" s="46"/>
      <c r="C627" s="46"/>
      <c r="D627" s="46"/>
      <c r="E627" s="47"/>
      <c r="F627" s="47"/>
      <c r="G627" s="47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  <c r="AB627" s="46"/>
      <c r="AC627" s="46"/>
      <c r="AD627" s="46"/>
      <c r="AE627" s="46"/>
      <c r="AF627" s="46"/>
    </row>
    <row r="628" spans="1:32" s="48" customFormat="1" ht="14.25" customHeight="1" x14ac:dyDescent="0.25">
      <c r="A628" s="46"/>
      <c r="B628" s="46"/>
      <c r="C628" s="46"/>
      <c r="D628" s="46"/>
      <c r="E628" s="47"/>
      <c r="F628" s="47"/>
      <c r="G628" s="47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  <c r="AB628" s="46"/>
      <c r="AC628" s="46"/>
      <c r="AD628" s="46"/>
      <c r="AE628" s="46"/>
      <c r="AF628" s="46"/>
    </row>
    <row r="629" spans="1:32" s="48" customFormat="1" ht="14.25" customHeight="1" x14ac:dyDescent="0.25">
      <c r="A629" s="46"/>
      <c r="B629" s="46"/>
      <c r="C629" s="46"/>
      <c r="D629" s="46"/>
      <c r="E629" s="47"/>
      <c r="F629" s="47"/>
      <c r="G629" s="47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  <c r="AB629" s="46"/>
      <c r="AC629" s="46"/>
      <c r="AD629" s="46"/>
      <c r="AE629" s="46"/>
      <c r="AF629" s="46"/>
    </row>
    <row r="630" spans="1:32" s="48" customFormat="1" ht="14.25" customHeight="1" x14ac:dyDescent="0.25">
      <c r="A630" s="46"/>
      <c r="B630" s="46"/>
      <c r="C630" s="46"/>
      <c r="D630" s="46"/>
      <c r="E630" s="47"/>
      <c r="F630" s="47"/>
      <c r="G630" s="47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  <c r="AB630" s="46"/>
      <c r="AC630" s="46"/>
      <c r="AD630" s="46"/>
      <c r="AE630" s="46"/>
      <c r="AF630" s="46"/>
    </row>
    <row r="631" spans="1:32" s="48" customFormat="1" ht="14.25" customHeight="1" x14ac:dyDescent="0.25">
      <c r="A631" s="46"/>
      <c r="B631" s="46"/>
      <c r="C631" s="46"/>
      <c r="D631" s="46"/>
      <c r="E631" s="47"/>
      <c r="F631" s="47"/>
      <c r="G631" s="47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  <c r="AB631" s="46"/>
      <c r="AC631" s="46"/>
      <c r="AD631" s="46"/>
      <c r="AE631" s="46"/>
      <c r="AF631" s="46"/>
    </row>
    <row r="632" spans="1:32" s="48" customFormat="1" ht="14.25" customHeight="1" x14ac:dyDescent="0.25">
      <c r="A632" s="46"/>
      <c r="B632" s="46"/>
      <c r="C632" s="46"/>
      <c r="D632" s="46"/>
      <c r="E632" s="47"/>
      <c r="F632" s="47"/>
      <c r="G632" s="47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  <c r="AB632" s="46"/>
      <c r="AC632" s="46"/>
      <c r="AD632" s="46"/>
      <c r="AE632" s="46"/>
      <c r="AF632" s="46"/>
    </row>
    <row r="633" spans="1:32" s="48" customFormat="1" ht="14.25" customHeight="1" x14ac:dyDescent="0.25">
      <c r="A633" s="46"/>
      <c r="B633" s="46"/>
      <c r="C633" s="46"/>
      <c r="D633" s="46"/>
      <c r="E633" s="47"/>
      <c r="F633" s="47"/>
      <c r="G633" s="47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  <c r="AB633" s="46"/>
      <c r="AC633" s="46"/>
      <c r="AD633" s="46"/>
      <c r="AE633" s="46"/>
      <c r="AF633" s="46"/>
    </row>
    <row r="634" spans="1:32" s="48" customFormat="1" ht="14.25" customHeight="1" x14ac:dyDescent="0.25">
      <c r="A634" s="46"/>
      <c r="B634" s="46"/>
      <c r="C634" s="46"/>
      <c r="D634" s="46"/>
      <c r="E634" s="47"/>
      <c r="F634" s="47"/>
      <c r="G634" s="47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  <c r="AB634" s="46"/>
      <c r="AC634" s="46"/>
      <c r="AD634" s="46"/>
      <c r="AE634" s="46"/>
      <c r="AF634" s="46"/>
    </row>
    <row r="635" spans="1:32" s="48" customFormat="1" ht="14.25" customHeight="1" x14ac:dyDescent="0.25">
      <c r="A635" s="46"/>
      <c r="B635" s="46"/>
      <c r="C635" s="46"/>
      <c r="D635" s="46"/>
      <c r="E635" s="47"/>
      <c r="F635" s="47"/>
      <c r="G635" s="47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  <c r="AB635" s="46"/>
      <c r="AC635" s="46"/>
      <c r="AD635" s="46"/>
      <c r="AE635" s="46"/>
      <c r="AF635" s="46"/>
    </row>
    <row r="636" spans="1:32" s="48" customFormat="1" ht="14.25" customHeight="1" x14ac:dyDescent="0.25">
      <c r="A636" s="46"/>
      <c r="B636" s="46"/>
      <c r="C636" s="46"/>
      <c r="D636" s="46"/>
      <c r="E636" s="47"/>
      <c r="F636" s="47"/>
      <c r="G636" s="47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  <c r="AB636" s="46"/>
      <c r="AC636" s="46"/>
      <c r="AD636" s="46"/>
      <c r="AE636" s="46"/>
      <c r="AF636" s="46"/>
    </row>
    <row r="637" spans="1:32" s="48" customFormat="1" ht="14.25" customHeight="1" x14ac:dyDescent="0.25">
      <c r="A637" s="46"/>
      <c r="B637" s="46"/>
      <c r="C637" s="46"/>
      <c r="D637" s="46"/>
      <c r="E637" s="47"/>
      <c r="F637" s="47"/>
      <c r="G637" s="47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  <c r="AB637" s="46"/>
      <c r="AC637" s="46"/>
      <c r="AD637" s="46"/>
      <c r="AE637" s="46"/>
      <c r="AF637" s="46"/>
    </row>
    <row r="638" spans="1:32" s="48" customFormat="1" ht="14.25" customHeight="1" x14ac:dyDescent="0.25">
      <c r="A638" s="46"/>
      <c r="B638" s="46"/>
      <c r="C638" s="46"/>
      <c r="D638" s="46"/>
      <c r="E638" s="47"/>
      <c r="F638" s="47"/>
      <c r="G638" s="47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  <c r="AB638" s="46"/>
      <c r="AC638" s="46"/>
      <c r="AD638" s="46"/>
      <c r="AE638" s="46"/>
      <c r="AF638" s="46"/>
    </row>
    <row r="639" spans="1:32" s="48" customFormat="1" ht="14.25" customHeight="1" x14ac:dyDescent="0.25">
      <c r="A639" s="46"/>
      <c r="B639" s="46"/>
      <c r="C639" s="46"/>
      <c r="D639" s="46"/>
      <c r="E639" s="47"/>
      <c r="F639" s="47"/>
      <c r="G639" s="47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  <c r="AB639" s="46"/>
      <c r="AC639" s="46"/>
      <c r="AD639" s="46"/>
      <c r="AE639" s="46"/>
      <c r="AF639" s="46"/>
    </row>
    <row r="640" spans="1:32" s="48" customFormat="1" ht="14.25" customHeight="1" x14ac:dyDescent="0.25">
      <c r="A640" s="46"/>
      <c r="B640" s="46"/>
      <c r="C640" s="46"/>
      <c r="D640" s="46"/>
      <c r="E640" s="47"/>
      <c r="F640" s="47"/>
      <c r="G640" s="47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  <c r="AB640" s="46"/>
      <c r="AC640" s="46"/>
      <c r="AD640" s="46"/>
      <c r="AE640" s="46"/>
      <c r="AF640" s="46"/>
    </row>
    <row r="641" spans="1:32" s="48" customFormat="1" ht="14.25" customHeight="1" x14ac:dyDescent="0.25">
      <c r="A641" s="46"/>
      <c r="B641" s="46"/>
      <c r="C641" s="46"/>
      <c r="D641" s="46"/>
      <c r="E641" s="47"/>
      <c r="F641" s="47"/>
      <c r="G641" s="47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  <c r="AB641" s="46"/>
      <c r="AC641" s="46"/>
      <c r="AD641" s="46"/>
      <c r="AE641" s="46"/>
      <c r="AF641" s="46"/>
    </row>
    <row r="642" spans="1:32" s="48" customFormat="1" ht="14.25" customHeight="1" x14ac:dyDescent="0.25">
      <c r="A642" s="46"/>
      <c r="B642" s="46"/>
      <c r="C642" s="46"/>
      <c r="D642" s="46"/>
      <c r="E642" s="47"/>
      <c r="F642" s="47"/>
      <c r="G642" s="47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  <c r="AB642" s="46"/>
      <c r="AC642" s="46"/>
      <c r="AD642" s="46"/>
      <c r="AE642" s="46"/>
      <c r="AF642" s="46"/>
    </row>
    <row r="643" spans="1:32" s="48" customFormat="1" ht="14.25" customHeight="1" x14ac:dyDescent="0.25">
      <c r="A643" s="46"/>
      <c r="B643" s="46"/>
      <c r="C643" s="46"/>
      <c r="D643" s="46"/>
      <c r="E643" s="47"/>
      <c r="F643" s="47"/>
      <c r="G643" s="47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  <c r="AB643" s="46"/>
      <c r="AC643" s="46"/>
      <c r="AD643" s="46"/>
      <c r="AE643" s="46"/>
      <c r="AF643" s="46"/>
    </row>
    <row r="644" spans="1:32" s="48" customFormat="1" ht="14.25" customHeight="1" x14ac:dyDescent="0.25">
      <c r="A644" s="46"/>
      <c r="B644" s="46"/>
      <c r="C644" s="46"/>
      <c r="D644" s="46"/>
      <c r="E644" s="47"/>
      <c r="F644" s="47"/>
      <c r="G644" s="47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  <c r="AB644" s="46"/>
      <c r="AC644" s="46"/>
      <c r="AD644" s="46"/>
      <c r="AE644" s="46"/>
      <c r="AF644" s="46"/>
    </row>
    <row r="645" spans="1:32" s="48" customFormat="1" ht="14.25" customHeight="1" x14ac:dyDescent="0.25">
      <c r="A645" s="46"/>
      <c r="B645" s="46"/>
      <c r="C645" s="46"/>
      <c r="D645" s="46"/>
      <c r="E645" s="47"/>
      <c r="F645" s="47"/>
      <c r="G645" s="47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  <c r="AB645" s="46"/>
      <c r="AC645" s="46"/>
      <c r="AD645" s="46"/>
      <c r="AE645" s="46"/>
      <c r="AF645" s="46"/>
    </row>
    <row r="646" spans="1:32" s="48" customFormat="1" ht="14.25" customHeight="1" x14ac:dyDescent="0.25">
      <c r="A646" s="46"/>
      <c r="B646" s="46"/>
      <c r="C646" s="46"/>
      <c r="D646" s="46"/>
      <c r="E646" s="47"/>
      <c r="F646" s="47"/>
      <c r="G646" s="47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  <c r="AB646" s="46"/>
      <c r="AC646" s="46"/>
      <c r="AD646" s="46"/>
      <c r="AE646" s="46"/>
      <c r="AF646" s="46"/>
    </row>
    <row r="647" spans="1:32" s="48" customFormat="1" ht="14.25" customHeight="1" x14ac:dyDescent="0.25">
      <c r="A647" s="46"/>
      <c r="B647" s="46"/>
      <c r="C647" s="46"/>
      <c r="D647" s="46"/>
      <c r="E647" s="47"/>
      <c r="F647" s="47"/>
      <c r="G647" s="47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  <c r="AB647" s="46"/>
      <c r="AC647" s="46"/>
      <c r="AD647" s="46"/>
      <c r="AE647" s="46"/>
      <c r="AF647" s="46"/>
    </row>
    <row r="648" spans="1:32" s="48" customFormat="1" ht="14.25" customHeight="1" x14ac:dyDescent="0.25">
      <c r="A648" s="46"/>
      <c r="B648" s="46"/>
      <c r="C648" s="46"/>
      <c r="D648" s="46"/>
      <c r="E648" s="47"/>
      <c r="F648" s="47"/>
      <c r="G648" s="47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  <c r="AB648" s="46"/>
      <c r="AC648" s="46"/>
      <c r="AD648" s="46"/>
      <c r="AE648" s="46"/>
      <c r="AF648" s="46"/>
    </row>
    <row r="649" spans="1:32" s="48" customFormat="1" ht="14.25" customHeight="1" x14ac:dyDescent="0.25">
      <c r="A649" s="46"/>
      <c r="B649" s="46"/>
      <c r="C649" s="46"/>
      <c r="D649" s="46"/>
      <c r="E649" s="47"/>
      <c r="F649" s="47"/>
      <c r="G649" s="47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  <c r="AB649" s="46"/>
      <c r="AC649" s="46"/>
      <c r="AD649" s="46"/>
      <c r="AE649" s="46"/>
      <c r="AF649" s="46"/>
    </row>
    <row r="650" spans="1:32" s="48" customFormat="1" ht="14.25" customHeight="1" x14ac:dyDescent="0.25">
      <c r="A650" s="46"/>
      <c r="B650" s="46"/>
      <c r="C650" s="46"/>
      <c r="D650" s="46"/>
      <c r="E650" s="47"/>
      <c r="F650" s="47"/>
      <c r="G650" s="47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  <c r="AB650" s="46"/>
      <c r="AC650" s="46"/>
      <c r="AD650" s="46"/>
      <c r="AE650" s="46"/>
      <c r="AF650" s="46"/>
    </row>
    <row r="651" spans="1:32" s="48" customFormat="1" ht="14.25" customHeight="1" x14ac:dyDescent="0.25">
      <c r="A651" s="46"/>
      <c r="B651" s="46"/>
      <c r="C651" s="46"/>
      <c r="D651" s="46"/>
      <c r="E651" s="47"/>
      <c r="F651" s="47"/>
      <c r="G651" s="47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  <c r="AB651" s="46"/>
      <c r="AC651" s="46"/>
      <c r="AD651" s="46"/>
      <c r="AE651" s="46"/>
      <c r="AF651" s="46"/>
    </row>
    <row r="652" spans="1:32" s="48" customFormat="1" ht="14.25" customHeight="1" x14ac:dyDescent="0.25">
      <c r="A652" s="46"/>
      <c r="B652" s="46"/>
      <c r="C652" s="46"/>
      <c r="D652" s="46"/>
      <c r="E652" s="47"/>
      <c r="F652" s="47"/>
      <c r="G652" s="47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  <c r="AB652" s="46"/>
      <c r="AC652" s="46"/>
      <c r="AD652" s="46"/>
      <c r="AE652" s="46"/>
      <c r="AF652" s="46"/>
    </row>
    <row r="653" spans="1:32" s="48" customFormat="1" ht="14.25" customHeight="1" x14ac:dyDescent="0.25">
      <c r="A653" s="46"/>
      <c r="B653" s="46"/>
      <c r="C653" s="46"/>
      <c r="D653" s="46"/>
      <c r="E653" s="47"/>
      <c r="F653" s="47"/>
      <c r="G653" s="47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  <c r="AB653" s="46"/>
      <c r="AC653" s="46"/>
      <c r="AD653" s="46"/>
      <c r="AE653" s="46"/>
      <c r="AF653" s="46"/>
    </row>
    <row r="654" spans="1:32" s="48" customFormat="1" ht="14.25" customHeight="1" x14ac:dyDescent="0.25">
      <c r="A654" s="46"/>
      <c r="B654" s="46"/>
      <c r="C654" s="46"/>
      <c r="D654" s="46"/>
      <c r="E654" s="47"/>
      <c r="F654" s="47"/>
      <c r="G654" s="47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  <c r="AB654" s="46"/>
      <c r="AC654" s="46"/>
      <c r="AD654" s="46"/>
      <c r="AE654" s="46"/>
      <c r="AF654" s="46"/>
    </row>
    <row r="655" spans="1:32" s="48" customFormat="1" ht="14.25" customHeight="1" x14ac:dyDescent="0.25">
      <c r="A655" s="46"/>
      <c r="B655" s="46"/>
      <c r="C655" s="46"/>
      <c r="D655" s="46"/>
      <c r="E655" s="47"/>
      <c r="F655" s="47"/>
      <c r="G655" s="47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  <c r="AB655" s="46"/>
      <c r="AC655" s="46"/>
      <c r="AD655" s="46"/>
      <c r="AE655" s="46"/>
      <c r="AF655" s="46"/>
    </row>
    <row r="656" spans="1:32" s="48" customFormat="1" ht="14.25" customHeight="1" x14ac:dyDescent="0.25">
      <c r="A656" s="46"/>
      <c r="B656" s="46"/>
      <c r="C656" s="46"/>
      <c r="D656" s="46"/>
      <c r="E656" s="47"/>
      <c r="F656" s="47"/>
      <c r="G656" s="47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  <c r="AB656" s="46"/>
      <c r="AC656" s="46"/>
      <c r="AD656" s="46"/>
      <c r="AE656" s="46"/>
      <c r="AF656" s="46"/>
    </row>
    <row r="657" spans="1:32" s="48" customFormat="1" ht="14.25" customHeight="1" x14ac:dyDescent="0.25">
      <c r="A657" s="46"/>
      <c r="B657" s="46"/>
      <c r="C657" s="46"/>
      <c r="D657" s="46"/>
      <c r="E657" s="47"/>
      <c r="F657" s="47"/>
      <c r="G657" s="47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  <c r="AB657" s="46"/>
      <c r="AC657" s="46"/>
      <c r="AD657" s="46"/>
      <c r="AE657" s="46"/>
      <c r="AF657" s="46"/>
    </row>
    <row r="658" spans="1:32" s="48" customFormat="1" ht="14.25" customHeight="1" x14ac:dyDescent="0.25">
      <c r="A658" s="46"/>
      <c r="B658" s="46"/>
      <c r="C658" s="46"/>
      <c r="D658" s="46"/>
      <c r="E658" s="47"/>
      <c r="F658" s="47"/>
      <c r="G658" s="47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  <c r="AB658" s="46"/>
      <c r="AC658" s="46"/>
      <c r="AD658" s="46"/>
      <c r="AE658" s="46"/>
      <c r="AF658" s="46"/>
    </row>
    <row r="659" spans="1:32" s="48" customFormat="1" ht="14.25" customHeight="1" x14ac:dyDescent="0.25">
      <c r="A659" s="46"/>
      <c r="B659" s="46"/>
      <c r="C659" s="46"/>
      <c r="D659" s="46"/>
      <c r="E659" s="47"/>
      <c r="F659" s="47"/>
      <c r="G659" s="47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  <c r="AB659" s="46"/>
      <c r="AC659" s="46"/>
      <c r="AD659" s="46"/>
      <c r="AE659" s="46"/>
      <c r="AF659" s="46"/>
    </row>
    <row r="660" spans="1:32" s="48" customFormat="1" ht="14.25" customHeight="1" x14ac:dyDescent="0.25">
      <c r="A660" s="46"/>
      <c r="B660" s="46"/>
      <c r="C660" s="46"/>
      <c r="D660" s="46"/>
      <c r="E660" s="47"/>
      <c r="F660" s="47"/>
      <c r="G660" s="47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  <c r="AB660" s="46"/>
      <c r="AC660" s="46"/>
      <c r="AD660" s="46"/>
      <c r="AE660" s="46"/>
      <c r="AF660" s="46"/>
    </row>
    <row r="661" spans="1:32" s="48" customFormat="1" ht="14.25" customHeight="1" x14ac:dyDescent="0.25">
      <c r="A661" s="46"/>
      <c r="B661" s="46"/>
      <c r="C661" s="46"/>
      <c r="D661" s="46"/>
      <c r="E661" s="47"/>
      <c r="F661" s="47"/>
      <c r="G661" s="47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  <c r="AB661" s="46"/>
      <c r="AC661" s="46"/>
      <c r="AD661" s="46"/>
      <c r="AE661" s="46"/>
      <c r="AF661" s="46"/>
    </row>
    <row r="662" spans="1:32" s="48" customFormat="1" ht="14.25" customHeight="1" x14ac:dyDescent="0.25">
      <c r="A662" s="46"/>
      <c r="B662" s="46"/>
      <c r="C662" s="46"/>
      <c r="D662" s="46"/>
      <c r="E662" s="47"/>
      <c r="F662" s="47"/>
      <c r="G662" s="47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  <c r="AB662" s="46"/>
      <c r="AC662" s="46"/>
      <c r="AD662" s="46"/>
      <c r="AE662" s="46"/>
      <c r="AF662" s="46"/>
    </row>
    <row r="663" spans="1:32" s="48" customFormat="1" ht="14.25" customHeight="1" x14ac:dyDescent="0.25">
      <c r="A663" s="46"/>
      <c r="B663" s="46"/>
      <c r="C663" s="46"/>
      <c r="D663" s="46"/>
      <c r="E663" s="47"/>
      <c r="F663" s="47"/>
      <c r="G663" s="47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  <c r="AB663" s="46"/>
      <c r="AC663" s="46"/>
      <c r="AD663" s="46"/>
      <c r="AE663" s="46"/>
      <c r="AF663" s="46"/>
    </row>
    <row r="664" spans="1:32" s="48" customFormat="1" ht="14.25" customHeight="1" x14ac:dyDescent="0.25">
      <c r="A664" s="46"/>
      <c r="B664" s="46"/>
      <c r="C664" s="46"/>
      <c r="D664" s="46"/>
      <c r="E664" s="47"/>
      <c r="F664" s="47"/>
      <c r="G664" s="47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  <c r="AB664" s="46"/>
      <c r="AC664" s="46"/>
      <c r="AD664" s="46"/>
      <c r="AE664" s="46"/>
      <c r="AF664" s="46"/>
    </row>
    <row r="665" spans="1:32" s="48" customFormat="1" ht="14.25" customHeight="1" x14ac:dyDescent="0.25">
      <c r="A665" s="46"/>
      <c r="B665" s="46"/>
      <c r="C665" s="46"/>
      <c r="D665" s="46"/>
      <c r="E665" s="47"/>
      <c r="F665" s="47"/>
      <c r="G665" s="47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  <c r="AB665" s="46"/>
      <c r="AC665" s="46"/>
      <c r="AD665" s="46"/>
      <c r="AE665" s="46"/>
      <c r="AF665" s="46"/>
    </row>
    <row r="666" spans="1:32" s="48" customFormat="1" ht="14.25" customHeight="1" x14ac:dyDescent="0.25">
      <c r="A666" s="46"/>
      <c r="B666" s="46"/>
      <c r="C666" s="46"/>
      <c r="D666" s="46"/>
      <c r="E666" s="47"/>
      <c r="F666" s="47"/>
      <c r="G666" s="47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  <c r="AB666" s="46"/>
      <c r="AC666" s="46"/>
      <c r="AD666" s="46"/>
      <c r="AE666" s="46"/>
      <c r="AF666" s="46"/>
    </row>
    <row r="667" spans="1:32" s="48" customFormat="1" ht="14.25" customHeight="1" x14ac:dyDescent="0.25">
      <c r="A667" s="46"/>
      <c r="B667" s="46"/>
      <c r="C667" s="46"/>
      <c r="D667" s="46"/>
      <c r="E667" s="47"/>
      <c r="F667" s="47"/>
      <c r="G667" s="47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  <c r="AB667" s="46"/>
      <c r="AC667" s="46"/>
      <c r="AD667" s="46"/>
      <c r="AE667" s="46"/>
      <c r="AF667" s="46"/>
    </row>
    <row r="668" spans="1:32" s="48" customFormat="1" ht="14.25" customHeight="1" x14ac:dyDescent="0.25">
      <c r="A668" s="46"/>
      <c r="B668" s="46"/>
      <c r="C668" s="46"/>
      <c r="D668" s="46"/>
      <c r="E668" s="47"/>
      <c r="F668" s="47"/>
      <c r="G668" s="47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  <c r="AB668" s="46"/>
      <c r="AC668" s="46"/>
      <c r="AD668" s="46"/>
      <c r="AE668" s="46"/>
      <c r="AF668" s="46"/>
    </row>
    <row r="669" spans="1:32" s="48" customFormat="1" ht="14.25" customHeight="1" x14ac:dyDescent="0.25">
      <c r="A669" s="46"/>
      <c r="B669" s="46"/>
      <c r="C669" s="46"/>
      <c r="D669" s="46"/>
      <c r="E669" s="47"/>
      <c r="F669" s="47"/>
      <c r="G669" s="47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  <c r="AB669" s="46"/>
      <c r="AC669" s="46"/>
      <c r="AD669" s="46"/>
      <c r="AE669" s="46"/>
      <c r="AF669" s="46"/>
    </row>
    <row r="670" spans="1:32" s="48" customFormat="1" ht="14.25" customHeight="1" x14ac:dyDescent="0.25">
      <c r="A670" s="46"/>
      <c r="B670" s="46"/>
      <c r="C670" s="46"/>
      <c r="D670" s="46"/>
      <c r="E670" s="47"/>
      <c r="F670" s="47"/>
      <c r="G670" s="47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  <c r="AB670" s="46"/>
      <c r="AC670" s="46"/>
      <c r="AD670" s="46"/>
      <c r="AE670" s="46"/>
      <c r="AF670" s="46"/>
    </row>
    <row r="671" spans="1:32" s="48" customFormat="1" ht="14.25" customHeight="1" x14ac:dyDescent="0.25">
      <c r="A671" s="46"/>
      <c r="B671" s="46"/>
      <c r="C671" s="46"/>
      <c r="D671" s="46"/>
      <c r="E671" s="47"/>
      <c r="F671" s="47"/>
      <c r="G671" s="47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  <c r="AB671" s="46"/>
      <c r="AC671" s="46"/>
      <c r="AD671" s="46"/>
      <c r="AE671" s="46"/>
      <c r="AF671" s="46"/>
    </row>
    <row r="672" spans="1:32" s="48" customFormat="1" ht="14.25" customHeight="1" x14ac:dyDescent="0.25">
      <c r="A672" s="46"/>
      <c r="B672" s="46"/>
      <c r="C672" s="46"/>
      <c r="D672" s="46"/>
      <c r="E672" s="47"/>
      <c r="F672" s="47"/>
      <c r="G672" s="47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  <c r="AB672" s="46"/>
      <c r="AC672" s="46"/>
      <c r="AD672" s="46"/>
      <c r="AE672" s="46"/>
      <c r="AF672" s="46"/>
    </row>
    <row r="673" spans="1:32" s="48" customFormat="1" ht="14.25" customHeight="1" x14ac:dyDescent="0.25">
      <c r="A673" s="46"/>
      <c r="B673" s="46"/>
      <c r="C673" s="46"/>
      <c r="D673" s="46"/>
      <c r="E673" s="47"/>
      <c r="F673" s="47"/>
      <c r="G673" s="47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  <c r="AB673" s="46"/>
      <c r="AC673" s="46"/>
      <c r="AD673" s="46"/>
      <c r="AE673" s="46"/>
      <c r="AF673" s="46"/>
    </row>
    <row r="674" spans="1:32" s="48" customFormat="1" ht="14.25" customHeight="1" x14ac:dyDescent="0.25">
      <c r="A674" s="46"/>
      <c r="B674" s="46"/>
      <c r="C674" s="46"/>
      <c r="D674" s="46"/>
      <c r="E674" s="47"/>
      <c r="F674" s="47"/>
      <c r="G674" s="47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  <c r="AB674" s="46"/>
      <c r="AC674" s="46"/>
      <c r="AD674" s="46"/>
      <c r="AE674" s="46"/>
      <c r="AF674" s="46"/>
    </row>
    <row r="675" spans="1:32" s="48" customFormat="1" ht="14.25" customHeight="1" x14ac:dyDescent="0.25">
      <c r="A675" s="46"/>
      <c r="B675" s="46"/>
      <c r="C675" s="46"/>
      <c r="D675" s="46"/>
      <c r="E675" s="47"/>
      <c r="F675" s="47"/>
      <c r="G675" s="47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  <c r="AB675" s="46"/>
      <c r="AC675" s="46"/>
      <c r="AD675" s="46"/>
      <c r="AE675" s="46"/>
      <c r="AF675" s="46"/>
    </row>
    <row r="676" spans="1:32" s="48" customFormat="1" ht="14.25" customHeight="1" x14ac:dyDescent="0.25">
      <c r="A676" s="46"/>
      <c r="B676" s="46"/>
      <c r="C676" s="46"/>
      <c r="D676" s="46"/>
      <c r="E676" s="47"/>
      <c r="F676" s="47"/>
      <c r="G676" s="47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  <c r="AB676" s="46"/>
      <c r="AC676" s="46"/>
      <c r="AD676" s="46"/>
      <c r="AE676" s="46"/>
      <c r="AF676" s="46"/>
    </row>
    <row r="677" spans="1:32" s="48" customFormat="1" ht="14.25" customHeight="1" x14ac:dyDescent="0.25">
      <c r="A677" s="46"/>
      <c r="B677" s="46"/>
      <c r="C677" s="46"/>
      <c r="D677" s="46"/>
      <c r="E677" s="47"/>
      <c r="F677" s="47"/>
      <c r="G677" s="47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  <c r="AB677" s="46"/>
      <c r="AC677" s="46"/>
      <c r="AD677" s="46"/>
      <c r="AE677" s="46"/>
      <c r="AF677" s="46"/>
    </row>
    <row r="678" spans="1:32" s="48" customFormat="1" ht="14.25" customHeight="1" x14ac:dyDescent="0.25">
      <c r="A678" s="46"/>
      <c r="B678" s="46"/>
      <c r="C678" s="46"/>
      <c r="D678" s="46"/>
      <c r="E678" s="47"/>
      <c r="F678" s="47"/>
      <c r="G678" s="47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  <c r="AB678" s="46"/>
      <c r="AC678" s="46"/>
      <c r="AD678" s="46"/>
      <c r="AE678" s="46"/>
      <c r="AF678" s="46"/>
    </row>
    <row r="679" spans="1:32" s="48" customFormat="1" ht="14.25" customHeight="1" x14ac:dyDescent="0.25">
      <c r="A679" s="46"/>
      <c r="B679" s="46"/>
      <c r="C679" s="46"/>
      <c r="D679" s="46"/>
      <c r="E679" s="47"/>
      <c r="F679" s="47"/>
      <c r="G679" s="47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  <c r="AB679" s="46"/>
      <c r="AC679" s="46"/>
      <c r="AD679" s="46"/>
      <c r="AE679" s="46"/>
      <c r="AF679" s="46"/>
    </row>
    <row r="680" spans="1:32" s="48" customFormat="1" ht="14.25" customHeight="1" x14ac:dyDescent="0.25">
      <c r="A680" s="46"/>
      <c r="B680" s="46"/>
      <c r="C680" s="46"/>
      <c r="D680" s="46"/>
      <c r="E680" s="47"/>
      <c r="F680" s="47"/>
      <c r="G680" s="47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  <c r="AB680" s="46"/>
      <c r="AC680" s="46"/>
      <c r="AD680" s="46"/>
      <c r="AE680" s="46"/>
      <c r="AF680" s="46"/>
    </row>
    <row r="681" spans="1:32" s="48" customFormat="1" ht="14.25" customHeight="1" x14ac:dyDescent="0.25">
      <c r="A681" s="46"/>
      <c r="B681" s="46"/>
      <c r="C681" s="46"/>
      <c r="D681" s="46"/>
      <c r="E681" s="47"/>
      <c r="F681" s="47"/>
      <c r="G681" s="47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  <c r="AB681" s="46"/>
      <c r="AC681" s="46"/>
      <c r="AD681" s="46"/>
      <c r="AE681" s="46"/>
      <c r="AF681" s="46"/>
    </row>
    <row r="682" spans="1:32" s="48" customFormat="1" ht="14.25" customHeight="1" x14ac:dyDescent="0.25">
      <c r="A682" s="46"/>
      <c r="B682" s="46"/>
      <c r="C682" s="46"/>
      <c r="D682" s="46"/>
      <c r="E682" s="47"/>
      <c r="F682" s="47"/>
      <c r="G682" s="47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  <c r="AB682" s="46"/>
      <c r="AC682" s="46"/>
      <c r="AD682" s="46"/>
      <c r="AE682" s="46"/>
      <c r="AF682" s="46"/>
    </row>
    <row r="683" spans="1:32" s="48" customFormat="1" ht="14.25" customHeight="1" x14ac:dyDescent="0.25">
      <c r="A683" s="46"/>
      <c r="B683" s="46"/>
      <c r="C683" s="46"/>
      <c r="D683" s="46"/>
      <c r="E683" s="47"/>
      <c r="F683" s="47"/>
      <c r="G683" s="47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  <c r="AB683" s="46"/>
      <c r="AC683" s="46"/>
      <c r="AD683" s="46"/>
      <c r="AE683" s="46"/>
      <c r="AF683" s="46"/>
    </row>
    <row r="684" spans="1:32" s="48" customFormat="1" ht="14.25" customHeight="1" x14ac:dyDescent="0.25">
      <c r="A684" s="46"/>
      <c r="B684" s="46"/>
      <c r="C684" s="46"/>
      <c r="D684" s="46"/>
      <c r="E684" s="47"/>
      <c r="F684" s="47"/>
      <c r="G684" s="47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  <c r="AB684" s="46"/>
      <c r="AC684" s="46"/>
      <c r="AD684" s="46"/>
      <c r="AE684" s="46"/>
      <c r="AF684" s="46"/>
    </row>
    <row r="685" spans="1:32" s="48" customFormat="1" ht="14.25" customHeight="1" x14ac:dyDescent="0.25">
      <c r="A685" s="46"/>
      <c r="B685" s="46"/>
      <c r="C685" s="46"/>
      <c r="D685" s="46"/>
      <c r="E685" s="47"/>
      <c r="F685" s="47"/>
      <c r="G685" s="47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  <c r="AB685" s="46"/>
      <c r="AC685" s="46"/>
      <c r="AD685" s="46"/>
      <c r="AE685" s="46"/>
      <c r="AF685" s="46"/>
    </row>
    <row r="686" spans="1:32" s="48" customFormat="1" ht="14.25" customHeight="1" x14ac:dyDescent="0.25">
      <c r="A686" s="46"/>
      <c r="B686" s="46"/>
      <c r="C686" s="46"/>
      <c r="D686" s="46"/>
      <c r="E686" s="47"/>
      <c r="F686" s="47"/>
      <c r="G686" s="47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  <c r="AB686" s="46"/>
      <c r="AC686" s="46"/>
      <c r="AD686" s="46"/>
      <c r="AE686" s="46"/>
      <c r="AF686" s="46"/>
    </row>
    <row r="687" spans="1:32" s="48" customFormat="1" ht="14.25" customHeight="1" x14ac:dyDescent="0.25">
      <c r="A687" s="46"/>
      <c r="B687" s="46"/>
      <c r="C687" s="46"/>
      <c r="D687" s="46"/>
      <c r="E687" s="47"/>
      <c r="F687" s="47"/>
      <c r="G687" s="47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  <c r="AB687" s="46"/>
      <c r="AC687" s="46"/>
      <c r="AD687" s="46"/>
      <c r="AE687" s="46"/>
      <c r="AF687" s="46"/>
    </row>
    <row r="688" spans="1:32" s="48" customFormat="1" ht="14.25" customHeight="1" x14ac:dyDescent="0.25">
      <c r="A688" s="46"/>
      <c r="B688" s="46"/>
      <c r="C688" s="46"/>
      <c r="D688" s="46"/>
      <c r="E688" s="47"/>
      <c r="F688" s="47"/>
      <c r="G688" s="47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  <c r="AB688" s="46"/>
      <c r="AC688" s="46"/>
      <c r="AD688" s="46"/>
      <c r="AE688" s="46"/>
      <c r="AF688" s="46"/>
    </row>
    <row r="689" spans="1:32" s="48" customFormat="1" ht="14.25" customHeight="1" x14ac:dyDescent="0.25">
      <c r="A689" s="46"/>
      <c r="B689" s="46"/>
      <c r="C689" s="46"/>
      <c r="D689" s="46"/>
      <c r="E689" s="47"/>
      <c r="F689" s="47"/>
      <c r="G689" s="47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  <c r="AB689" s="46"/>
      <c r="AC689" s="46"/>
      <c r="AD689" s="46"/>
      <c r="AE689" s="46"/>
      <c r="AF689" s="46"/>
    </row>
    <row r="690" spans="1:32" s="48" customFormat="1" ht="14.25" customHeight="1" x14ac:dyDescent="0.25">
      <c r="A690" s="46"/>
      <c r="B690" s="46"/>
      <c r="C690" s="46"/>
      <c r="D690" s="46"/>
      <c r="E690" s="47"/>
      <c r="F690" s="47"/>
      <c r="G690" s="47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  <c r="AB690" s="46"/>
      <c r="AC690" s="46"/>
      <c r="AD690" s="46"/>
      <c r="AE690" s="46"/>
      <c r="AF690" s="46"/>
    </row>
    <row r="691" spans="1:32" s="48" customFormat="1" ht="14.25" customHeight="1" x14ac:dyDescent="0.25">
      <c r="A691" s="46"/>
      <c r="B691" s="46"/>
      <c r="C691" s="46"/>
      <c r="D691" s="46"/>
      <c r="E691" s="47"/>
      <c r="F691" s="47"/>
      <c r="G691" s="47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  <c r="AB691" s="46"/>
      <c r="AC691" s="46"/>
      <c r="AD691" s="46"/>
      <c r="AE691" s="46"/>
      <c r="AF691" s="46"/>
    </row>
    <row r="692" spans="1:32" s="48" customFormat="1" ht="14.25" customHeight="1" x14ac:dyDescent="0.25">
      <c r="A692" s="46"/>
      <c r="B692" s="46"/>
      <c r="C692" s="46"/>
      <c r="D692" s="46"/>
      <c r="E692" s="47"/>
      <c r="F692" s="47"/>
      <c r="G692" s="47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  <c r="AB692" s="46"/>
      <c r="AC692" s="46"/>
      <c r="AD692" s="46"/>
      <c r="AE692" s="46"/>
      <c r="AF692" s="46"/>
    </row>
    <row r="693" spans="1:32" s="48" customFormat="1" ht="14.25" customHeight="1" x14ac:dyDescent="0.25">
      <c r="A693" s="46"/>
      <c r="B693" s="46"/>
      <c r="C693" s="46"/>
      <c r="D693" s="46"/>
      <c r="E693" s="47"/>
      <c r="F693" s="47"/>
      <c r="G693" s="47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  <c r="AB693" s="46"/>
      <c r="AC693" s="46"/>
      <c r="AD693" s="46"/>
      <c r="AE693" s="46"/>
      <c r="AF693" s="46"/>
    </row>
    <row r="694" spans="1:32" s="48" customFormat="1" ht="14.25" customHeight="1" x14ac:dyDescent="0.25">
      <c r="A694" s="46"/>
      <c r="B694" s="46"/>
      <c r="C694" s="46"/>
      <c r="D694" s="46"/>
      <c r="E694" s="47"/>
      <c r="F694" s="47"/>
      <c r="G694" s="47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  <c r="AB694" s="46"/>
      <c r="AC694" s="46"/>
      <c r="AD694" s="46"/>
      <c r="AE694" s="46"/>
      <c r="AF694" s="46"/>
    </row>
    <row r="695" spans="1:32" s="48" customFormat="1" ht="14.25" customHeight="1" x14ac:dyDescent="0.25">
      <c r="A695" s="46"/>
      <c r="B695" s="46"/>
      <c r="C695" s="46"/>
      <c r="D695" s="46"/>
      <c r="E695" s="47"/>
      <c r="F695" s="47"/>
      <c r="G695" s="47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  <c r="AB695" s="46"/>
      <c r="AC695" s="46"/>
      <c r="AD695" s="46"/>
      <c r="AE695" s="46"/>
      <c r="AF695" s="46"/>
    </row>
    <row r="696" spans="1:32" s="48" customFormat="1" ht="14.25" customHeight="1" x14ac:dyDescent="0.25">
      <c r="A696" s="46"/>
      <c r="B696" s="46"/>
      <c r="C696" s="46"/>
      <c r="D696" s="46"/>
      <c r="E696" s="47"/>
      <c r="F696" s="47"/>
      <c r="G696" s="47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  <c r="AB696" s="46"/>
      <c r="AC696" s="46"/>
      <c r="AD696" s="46"/>
      <c r="AE696" s="46"/>
      <c r="AF696" s="46"/>
    </row>
    <row r="697" spans="1:32" s="48" customFormat="1" ht="14.25" customHeight="1" x14ac:dyDescent="0.25">
      <c r="A697" s="46"/>
      <c r="B697" s="46"/>
      <c r="C697" s="46"/>
      <c r="D697" s="46"/>
      <c r="E697" s="47"/>
      <c r="F697" s="47"/>
      <c r="G697" s="47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  <c r="AB697" s="46"/>
      <c r="AC697" s="46"/>
      <c r="AD697" s="46"/>
      <c r="AE697" s="46"/>
      <c r="AF697" s="46"/>
    </row>
    <row r="698" spans="1:32" s="48" customFormat="1" ht="14.25" customHeight="1" x14ac:dyDescent="0.25">
      <c r="A698" s="46"/>
      <c r="B698" s="46"/>
      <c r="C698" s="46"/>
      <c r="D698" s="46"/>
      <c r="E698" s="47"/>
      <c r="F698" s="47"/>
      <c r="G698" s="47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  <c r="AB698" s="46"/>
      <c r="AC698" s="46"/>
      <c r="AD698" s="46"/>
      <c r="AE698" s="46"/>
      <c r="AF698" s="46"/>
    </row>
    <row r="699" spans="1:32" s="48" customFormat="1" ht="14.25" customHeight="1" x14ac:dyDescent="0.25">
      <c r="A699" s="46"/>
      <c r="B699" s="46"/>
      <c r="C699" s="46"/>
      <c r="D699" s="46"/>
      <c r="E699" s="47"/>
      <c r="F699" s="47"/>
      <c r="G699" s="47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  <c r="AB699" s="46"/>
      <c r="AC699" s="46"/>
      <c r="AD699" s="46"/>
      <c r="AE699" s="46"/>
      <c r="AF699" s="46"/>
    </row>
    <row r="700" spans="1:32" s="48" customFormat="1" ht="14.25" customHeight="1" x14ac:dyDescent="0.25">
      <c r="A700" s="46"/>
      <c r="B700" s="46"/>
      <c r="C700" s="46"/>
      <c r="D700" s="46"/>
      <c r="E700" s="47"/>
      <c r="F700" s="47"/>
      <c r="G700" s="47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  <c r="AB700" s="46"/>
      <c r="AC700" s="46"/>
      <c r="AD700" s="46"/>
      <c r="AE700" s="46"/>
      <c r="AF700" s="46"/>
    </row>
    <row r="701" spans="1:32" s="48" customFormat="1" ht="14.25" customHeight="1" x14ac:dyDescent="0.25">
      <c r="A701" s="46"/>
      <c r="B701" s="46"/>
      <c r="C701" s="46"/>
      <c r="D701" s="46"/>
      <c r="E701" s="47"/>
      <c r="F701" s="47"/>
      <c r="G701" s="47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  <c r="AB701" s="46"/>
      <c r="AC701" s="46"/>
      <c r="AD701" s="46"/>
      <c r="AE701" s="46"/>
      <c r="AF701" s="46"/>
    </row>
    <row r="702" spans="1:32" s="48" customFormat="1" ht="14.25" customHeight="1" x14ac:dyDescent="0.25">
      <c r="A702" s="46"/>
      <c r="B702" s="46"/>
      <c r="C702" s="46"/>
      <c r="D702" s="46"/>
      <c r="E702" s="47"/>
      <c r="F702" s="47"/>
      <c r="G702" s="47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  <c r="AB702" s="46"/>
      <c r="AC702" s="46"/>
      <c r="AD702" s="46"/>
      <c r="AE702" s="46"/>
      <c r="AF702" s="46"/>
    </row>
    <row r="703" spans="1:32" s="48" customFormat="1" ht="14.25" customHeight="1" x14ac:dyDescent="0.25">
      <c r="A703" s="46"/>
      <c r="B703" s="46"/>
      <c r="C703" s="46"/>
      <c r="D703" s="46"/>
      <c r="E703" s="47"/>
      <c r="F703" s="47"/>
      <c r="G703" s="47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  <c r="AB703" s="46"/>
      <c r="AC703" s="46"/>
      <c r="AD703" s="46"/>
      <c r="AE703" s="46"/>
      <c r="AF703" s="46"/>
    </row>
    <row r="704" spans="1:32" s="48" customFormat="1" ht="14.25" customHeight="1" x14ac:dyDescent="0.25">
      <c r="A704" s="46"/>
      <c r="B704" s="46"/>
      <c r="C704" s="46"/>
      <c r="D704" s="46"/>
      <c r="E704" s="47"/>
      <c r="F704" s="47"/>
      <c r="G704" s="47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  <c r="AB704" s="46"/>
      <c r="AC704" s="46"/>
      <c r="AD704" s="46"/>
      <c r="AE704" s="46"/>
      <c r="AF704" s="46"/>
    </row>
    <row r="705" spans="1:32" s="48" customFormat="1" ht="14.25" customHeight="1" x14ac:dyDescent="0.25">
      <c r="A705" s="46"/>
      <c r="B705" s="46"/>
      <c r="C705" s="46"/>
      <c r="D705" s="46"/>
      <c r="E705" s="47"/>
      <c r="F705" s="47"/>
      <c r="G705" s="47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  <c r="AB705" s="46"/>
      <c r="AC705" s="46"/>
      <c r="AD705" s="46"/>
      <c r="AE705" s="46"/>
      <c r="AF705" s="46"/>
    </row>
    <row r="706" spans="1:32" s="48" customFormat="1" ht="14.25" customHeight="1" x14ac:dyDescent="0.25">
      <c r="A706" s="46"/>
      <c r="B706" s="46"/>
      <c r="C706" s="46"/>
      <c r="D706" s="46"/>
      <c r="E706" s="47"/>
      <c r="F706" s="47"/>
      <c r="G706" s="47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  <c r="AB706" s="46"/>
      <c r="AC706" s="46"/>
      <c r="AD706" s="46"/>
      <c r="AE706" s="46"/>
      <c r="AF706" s="46"/>
    </row>
    <row r="707" spans="1:32" s="48" customFormat="1" ht="14.25" customHeight="1" x14ac:dyDescent="0.25">
      <c r="A707" s="46"/>
      <c r="B707" s="46"/>
      <c r="C707" s="46"/>
      <c r="D707" s="46"/>
      <c r="E707" s="47"/>
      <c r="F707" s="47"/>
      <c r="G707" s="47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  <c r="AB707" s="46"/>
      <c r="AC707" s="46"/>
      <c r="AD707" s="46"/>
      <c r="AE707" s="46"/>
      <c r="AF707" s="46"/>
    </row>
    <row r="708" spans="1:32" s="48" customFormat="1" ht="14.25" customHeight="1" x14ac:dyDescent="0.25">
      <c r="A708" s="46"/>
      <c r="B708" s="46"/>
      <c r="C708" s="46"/>
      <c r="D708" s="46"/>
      <c r="E708" s="47"/>
      <c r="F708" s="47"/>
      <c r="G708" s="47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  <c r="AB708" s="46"/>
      <c r="AC708" s="46"/>
      <c r="AD708" s="46"/>
      <c r="AE708" s="46"/>
      <c r="AF708" s="46"/>
    </row>
    <row r="709" spans="1:32" s="48" customFormat="1" ht="14.25" customHeight="1" x14ac:dyDescent="0.25">
      <c r="A709" s="46"/>
      <c r="B709" s="46"/>
      <c r="C709" s="46"/>
      <c r="D709" s="46"/>
      <c r="E709" s="47"/>
      <c r="F709" s="47"/>
      <c r="G709" s="47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  <c r="AB709" s="46"/>
      <c r="AC709" s="46"/>
      <c r="AD709" s="46"/>
      <c r="AE709" s="46"/>
      <c r="AF709" s="46"/>
    </row>
    <row r="710" spans="1:32" s="48" customFormat="1" ht="14.25" customHeight="1" x14ac:dyDescent="0.25">
      <c r="A710" s="46"/>
      <c r="B710" s="46"/>
      <c r="C710" s="46"/>
      <c r="D710" s="46"/>
      <c r="E710" s="47"/>
      <c r="F710" s="47"/>
      <c r="G710" s="47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  <c r="AB710" s="46"/>
      <c r="AC710" s="46"/>
      <c r="AD710" s="46"/>
      <c r="AE710" s="46"/>
      <c r="AF710" s="46"/>
    </row>
    <row r="711" spans="1:32" s="48" customFormat="1" ht="14.25" customHeight="1" x14ac:dyDescent="0.25">
      <c r="A711" s="46"/>
      <c r="B711" s="46"/>
      <c r="C711" s="46"/>
      <c r="D711" s="46"/>
      <c r="E711" s="47"/>
      <c r="F711" s="47"/>
      <c r="G711" s="47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  <c r="AB711" s="46"/>
      <c r="AC711" s="46"/>
      <c r="AD711" s="46"/>
      <c r="AE711" s="46"/>
      <c r="AF711" s="46"/>
    </row>
    <row r="712" spans="1:32" s="48" customFormat="1" ht="14.25" customHeight="1" x14ac:dyDescent="0.25">
      <c r="A712" s="46"/>
      <c r="B712" s="46"/>
      <c r="C712" s="46"/>
      <c r="D712" s="46"/>
      <c r="E712" s="47"/>
      <c r="F712" s="47"/>
      <c r="G712" s="47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</row>
    <row r="713" spans="1:32" s="48" customFormat="1" ht="14.25" customHeight="1" x14ac:dyDescent="0.25">
      <c r="A713" s="46"/>
      <c r="B713" s="46"/>
      <c r="C713" s="46"/>
      <c r="D713" s="46"/>
      <c r="E713" s="47"/>
      <c r="F713" s="47"/>
      <c r="G713" s="47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  <c r="AB713" s="46"/>
      <c r="AC713" s="46"/>
      <c r="AD713" s="46"/>
      <c r="AE713" s="46"/>
      <c r="AF713" s="46"/>
    </row>
    <row r="714" spans="1:32" s="48" customFormat="1" ht="14.25" customHeight="1" x14ac:dyDescent="0.25">
      <c r="A714" s="46"/>
      <c r="B714" s="46"/>
      <c r="C714" s="46"/>
      <c r="D714" s="46"/>
      <c r="E714" s="47"/>
      <c r="F714" s="47"/>
      <c r="G714" s="47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  <c r="AB714" s="46"/>
      <c r="AC714" s="46"/>
      <c r="AD714" s="46"/>
      <c r="AE714" s="46"/>
      <c r="AF714" s="46"/>
    </row>
    <row r="715" spans="1:32" s="48" customFormat="1" ht="14.25" customHeight="1" x14ac:dyDescent="0.25">
      <c r="A715" s="46"/>
      <c r="B715" s="46"/>
      <c r="C715" s="46"/>
      <c r="D715" s="46"/>
      <c r="E715" s="47"/>
      <c r="F715" s="47"/>
      <c r="G715" s="47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  <c r="AB715" s="46"/>
      <c r="AC715" s="46"/>
      <c r="AD715" s="46"/>
      <c r="AE715" s="46"/>
      <c r="AF715" s="46"/>
    </row>
    <row r="716" spans="1:32" s="48" customFormat="1" ht="14.25" customHeight="1" x14ac:dyDescent="0.25">
      <c r="A716" s="46"/>
      <c r="B716" s="46"/>
      <c r="C716" s="46"/>
      <c r="D716" s="46"/>
      <c r="E716" s="47"/>
      <c r="F716" s="47"/>
      <c r="G716" s="47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  <c r="AB716" s="46"/>
      <c r="AC716" s="46"/>
      <c r="AD716" s="46"/>
      <c r="AE716" s="46"/>
      <c r="AF716" s="46"/>
    </row>
    <row r="717" spans="1:32" s="48" customFormat="1" ht="14.25" customHeight="1" x14ac:dyDescent="0.25">
      <c r="A717" s="46"/>
      <c r="B717" s="46"/>
      <c r="C717" s="46"/>
      <c r="D717" s="46"/>
      <c r="E717" s="47"/>
      <c r="F717" s="47"/>
      <c r="G717" s="47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  <c r="AB717" s="46"/>
      <c r="AC717" s="46"/>
      <c r="AD717" s="46"/>
      <c r="AE717" s="46"/>
      <c r="AF717" s="46"/>
    </row>
    <row r="718" spans="1:32" s="48" customFormat="1" ht="14.25" customHeight="1" x14ac:dyDescent="0.25">
      <c r="A718" s="46"/>
      <c r="B718" s="46"/>
      <c r="C718" s="46"/>
      <c r="D718" s="46"/>
      <c r="E718" s="47"/>
      <c r="F718" s="47"/>
      <c r="G718" s="47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  <c r="AB718" s="46"/>
      <c r="AC718" s="46"/>
      <c r="AD718" s="46"/>
      <c r="AE718" s="46"/>
      <c r="AF718" s="46"/>
    </row>
    <row r="719" spans="1:32" s="48" customFormat="1" ht="14.25" customHeight="1" x14ac:dyDescent="0.25">
      <c r="A719" s="46"/>
      <c r="B719" s="46"/>
      <c r="C719" s="46"/>
      <c r="D719" s="46"/>
      <c r="E719" s="47"/>
      <c r="F719" s="47"/>
      <c r="G719" s="47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  <c r="AB719" s="46"/>
      <c r="AC719" s="46"/>
      <c r="AD719" s="46"/>
      <c r="AE719" s="46"/>
      <c r="AF719" s="46"/>
    </row>
    <row r="720" spans="1:32" s="48" customFormat="1" ht="14.25" customHeight="1" x14ac:dyDescent="0.25">
      <c r="A720" s="46"/>
      <c r="B720" s="46"/>
      <c r="C720" s="46"/>
      <c r="D720" s="46"/>
      <c r="E720" s="47"/>
      <c r="F720" s="47"/>
      <c r="G720" s="47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  <c r="AB720" s="46"/>
      <c r="AC720" s="46"/>
      <c r="AD720" s="46"/>
      <c r="AE720" s="46"/>
      <c r="AF720" s="46"/>
    </row>
    <row r="721" spans="1:32" s="48" customFormat="1" ht="14.25" customHeight="1" x14ac:dyDescent="0.25">
      <c r="A721" s="46"/>
      <c r="B721" s="46"/>
      <c r="C721" s="46"/>
      <c r="D721" s="46"/>
      <c r="E721" s="47"/>
      <c r="F721" s="47"/>
      <c r="G721" s="47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  <c r="AB721" s="46"/>
      <c r="AC721" s="46"/>
      <c r="AD721" s="46"/>
      <c r="AE721" s="46"/>
      <c r="AF721" s="46"/>
    </row>
    <row r="722" spans="1:32" s="48" customFormat="1" ht="14.25" customHeight="1" x14ac:dyDescent="0.25">
      <c r="A722" s="46"/>
      <c r="B722" s="46"/>
      <c r="C722" s="46"/>
      <c r="D722" s="46"/>
      <c r="E722" s="47"/>
      <c r="F722" s="47"/>
      <c r="G722" s="47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  <c r="AB722" s="46"/>
      <c r="AC722" s="46"/>
      <c r="AD722" s="46"/>
      <c r="AE722" s="46"/>
      <c r="AF722" s="46"/>
    </row>
    <row r="723" spans="1:32" s="48" customFormat="1" ht="14.25" customHeight="1" x14ac:dyDescent="0.25">
      <c r="A723" s="46"/>
      <c r="B723" s="46"/>
      <c r="C723" s="46"/>
      <c r="D723" s="46"/>
      <c r="E723" s="47"/>
      <c r="F723" s="47"/>
      <c r="G723" s="47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  <c r="AB723" s="46"/>
      <c r="AC723" s="46"/>
      <c r="AD723" s="46"/>
      <c r="AE723" s="46"/>
      <c r="AF723" s="46"/>
    </row>
    <row r="724" spans="1:32" s="48" customFormat="1" ht="14.25" customHeight="1" x14ac:dyDescent="0.25">
      <c r="A724" s="46"/>
      <c r="B724" s="46"/>
      <c r="C724" s="46"/>
      <c r="D724" s="46"/>
      <c r="E724" s="47"/>
      <c r="F724" s="47"/>
      <c r="G724" s="47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  <c r="AB724" s="46"/>
      <c r="AC724" s="46"/>
      <c r="AD724" s="46"/>
      <c r="AE724" s="46"/>
      <c r="AF724" s="46"/>
    </row>
    <row r="725" spans="1:32" s="48" customFormat="1" ht="14.25" customHeight="1" x14ac:dyDescent="0.25">
      <c r="A725" s="46"/>
      <c r="B725" s="46"/>
      <c r="C725" s="46"/>
      <c r="D725" s="46"/>
      <c r="E725" s="47"/>
      <c r="F725" s="47"/>
      <c r="G725" s="47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  <c r="AB725" s="46"/>
      <c r="AC725" s="46"/>
      <c r="AD725" s="46"/>
      <c r="AE725" s="46"/>
      <c r="AF725" s="46"/>
    </row>
    <row r="726" spans="1:32" s="48" customFormat="1" ht="14.25" customHeight="1" x14ac:dyDescent="0.25">
      <c r="A726" s="46"/>
      <c r="B726" s="46"/>
      <c r="C726" s="46"/>
      <c r="D726" s="46"/>
      <c r="E726" s="47"/>
      <c r="F726" s="47"/>
      <c r="G726" s="47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  <c r="AB726" s="46"/>
      <c r="AC726" s="46"/>
      <c r="AD726" s="46"/>
      <c r="AE726" s="46"/>
      <c r="AF726" s="46"/>
    </row>
    <row r="727" spans="1:32" s="48" customFormat="1" ht="14.25" customHeight="1" x14ac:dyDescent="0.25">
      <c r="A727" s="46"/>
      <c r="B727" s="46"/>
      <c r="C727" s="46"/>
      <c r="D727" s="46"/>
      <c r="E727" s="47"/>
      <c r="F727" s="47"/>
      <c r="G727" s="47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  <c r="AB727" s="46"/>
      <c r="AC727" s="46"/>
      <c r="AD727" s="46"/>
      <c r="AE727" s="46"/>
      <c r="AF727" s="46"/>
    </row>
    <row r="728" spans="1:32" s="48" customFormat="1" ht="14.25" customHeight="1" x14ac:dyDescent="0.25">
      <c r="A728" s="46"/>
      <c r="B728" s="46"/>
      <c r="C728" s="46"/>
      <c r="D728" s="46"/>
      <c r="E728" s="47"/>
      <c r="F728" s="47"/>
      <c r="G728" s="47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  <c r="AB728" s="46"/>
      <c r="AC728" s="46"/>
      <c r="AD728" s="46"/>
      <c r="AE728" s="46"/>
      <c r="AF728" s="46"/>
    </row>
    <row r="729" spans="1:32" s="48" customFormat="1" ht="14.25" customHeight="1" x14ac:dyDescent="0.25">
      <c r="A729" s="46"/>
      <c r="B729" s="46"/>
      <c r="C729" s="46"/>
      <c r="D729" s="46"/>
      <c r="E729" s="47"/>
      <c r="F729" s="47"/>
      <c r="G729" s="47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  <c r="AB729" s="46"/>
      <c r="AC729" s="46"/>
      <c r="AD729" s="46"/>
      <c r="AE729" s="46"/>
      <c r="AF729" s="46"/>
    </row>
    <row r="730" spans="1:32" s="48" customFormat="1" ht="14.25" customHeight="1" x14ac:dyDescent="0.25">
      <c r="A730" s="46"/>
      <c r="B730" s="46"/>
      <c r="C730" s="46"/>
      <c r="D730" s="46"/>
      <c r="E730" s="47"/>
      <c r="F730" s="47"/>
      <c r="G730" s="47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  <c r="AB730" s="46"/>
      <c r="AC730" s="46"/>
      <c r="AD730" s="46"/>
      <c r="AE730" s="46"/>
      <c r="AF730" s="46"/>
    </row>
    <row r="731" spans="1:32" s="48" customFormat="1" ht="14.25" customHeight="1" x14ac:dyDescent="0.25">
      <c r="A731" s="46"/>
      <c r="B731" s="46"/>
      <c r="C731" s="46"/>
      <c r="D731" s="46"/>
      <c r="E731" s="47"/>
      <c r="F731" s="47"/>
      <c r="G731" s="47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  <c r="AB731" s="46"/>
      <c r="AC731" s="46"/>
      <c r="AD731" s="46"/>
      <c r="AE731" s="46"/>
      <c r="AF731" s="46"/>
    </row>
    <row r="732" spans="1:32" s="48" customFormat="1" ht="14.25" customHeight="1" x14ac:dyDescent="0.25">
      <c r="A732" s="46"/>
      <c r="B732" s="46"/>
      <c r="C732" s="46"/>
      <c r="D732" s="46"/>
      <c r="E732" s="47"/>
      <c r="F732" s="47"/>
      <c r="G732" s="47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  <c r="AB732" s="46"/>
      <c r="AC732" s="46"/>
      <c r="AD732" s="46"/>
      <c r="AE732" s="46"/>
      <c r="AF732" s="46"/>
    </row>
    <row r="733" spans="1:32" s="48" customFormat="1" ht="14.25" customHeight="1" x14ac:dyDescent="0.25">
      <c r="A733" s="46"/>
      <c r="B733" s="46"/>
      <c r="C733" s="46"/>
      <c r="D733" s="46"/>
      <c r="E733" s="47"/>
      <c r="F733" s="47"/>
      <c r="G733" s="47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  <c r="AB733" s="46"/>
      <c r="AC733" s="46"/>
      <c r="AD733" s="46"/>
      <c r="AE733" s="46"/>
      <c r="AF733" s="46"/>
    </row>
    <row r="734" spans="1:32" s="48" customFormat="1" ht="14.25" customHeight="1" x14ac:dyDescent="0.25">
      <c r="A734" s="46"/>
      <c r="B734" s="46"/>
      <c r="C734" s="46"/>
      <c r="D734" s="46"/>
      <c r="E734" s="47"/>
      <c r="F734" s="47"/>
      <c r="G734" s="47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  <c r="AB734" s="46"/>
      <c r="AC734" s="46"/>
      <c r="AD734" s="46"/>
      <c r="AE734" s="46"/>
      <c r="AF734" s="46"/>
    </row>
    <row r="735" spans="1:32" s="48" customFormat="1" ht="14.25" customHeight="1" x14ac:dyDescent="0.25">
      <c r="A735" s="46"/>
      <c r="B735" s="46"/>
      <c r="C735" s="46"/>
      <c r="D735" s="46"/>
      <c r="E735" s="47"/>
      <c r="F735" s="47"/>
      <c r="G735" s="47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  <c r="AB735" s="46"/>
      <c r="AC735" s="46"/>
      <c r="AD735" s="46"/>
      <c r="AE735" s="46"/>
      <c r="AF735" s="46"/>
    </row>
    <row r="736" spans="1:32" s="48" customFormat="1" ht="14.25" customHeight="1" x14ac:dyDescent="0.25">
      <c r="A736" s="46"/>
      <c r="B736" s="46"/>
      <c r="C736" s="46"/>
      <c r="D736" s="46"/>
      <c r="E736" s="47"/>
      <c r="F736" s="47"/>
      <c r="G736" s="47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  <c r="AB736" s="46"/>
      <c r="AC736" s="46"/>
      <c r="AD736" s="46"/>
      <c r="AE736" s="46"/>
      <c r="AF736" s="46"/>
    </row>
    <row r="737" spans="1:32" s="48" customFormat="1" ht="14.25" customHeight="1" x14ac:dyDescent="0.25">
      <c r="A737" s="46"/>
      <c r="B737" s="46"/>
      <c r="C737" s="46"/>
      <c r="D737" s="46"/>
      <c r="E737" s="47"/>
      <c r="F737" s="47"/>
      <c r="G737" s="47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  <c r="AB737" s="46"/>
      <c r="AC737" s="46"/>
      <c r="AD737" s="46"/>
      <c r="AE737" s="46"/>
      <c r="AF737" s="46"/>
    </row>
    <row r="738" spans="1:32" s="48" customFormat="1" ht="14.25" customHeight="1" x14ac:dyDescent="0.25">
      <c r="A738" s="46"/>
      <c r="B738" s="46"/>
      <c r="C738" s="46"/>
      <c r="D738" s="46"/>
      <c r="E738" s="47"/>
      <c r="F738" s="47"/>
      <c r="G738" s="47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  <c r="AB738" s="46"/>
      <c r="AC738" s="46"/>
      <c r="AD738" s="46"/>
      <c r="AE738" s="46"/>
      <c r="AF738" s="46"/>
    </row>
    <row r="739" spans="1:32" s="48" customFormat="1" ht="14.25" customHeight="1" x14ac:dyDescent="0.25">
      <c r="A739" s="46"/>
      <c r="B739" s="46"/>
      <c r="C739" s="46"/>
      <c r="D739" s="46"/>
      <c r="E739" s="47"/>
      <c r="F739" s="47"/>
      <c r="G739" s="47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  <c r="AB739" s="46"/>
      <c r="AC739" s="46"/>
      <c r="AD739" s="46"/>
      <c r="AE739" s="46"/>
      <c r="AF739" s="46"/>
    </row>
    <row r="740" spans="1:32" s="48" customFormat="1" ht="14.25" customHeight="1" x14ac:dyDescent="0.25">
      <c r="A740" s="46"/>
      <c r="B740" s="46"/>
      <c r="C740" s="46"/>
      <c r="D740" s="46"/>
      <c r="E740" s="47"/>
      <c r="F740" s="47"/>
      <c r="G740" s="47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  <c r="AB740" s="46"/>
      <c r="AC740" s="46"/>
      <c r="AD740" s="46"/>
      <c r="AE740" s="46"/>
      <c r="AF740" s="46"/>
    </row>
    <row r="741" spans="1:32" s="48" customFormat="1" ht="14.25" customHeight="1" x14ac:dyDescent="0.25">
      <c r="A741" s="46"/>
      <c r="B741" s="46"/>
      <c r="C741" s="46"/>
      <c r="D741" s="46"/>
      <c r="E741" s="47"/>
      <c r="F741" s="47"/>
      <c r="G741" s="47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  <c r="AB741" s="46"/>
      <c r="AC741" s="46"/>
      <c r="AD741" s="46"/>
      <c r="AE741" s="46"/>
      <c r="AF741" s="46"/>
    </row>
    <row r="742" spans="1:32" s="48" customFormat="1" ht="14.25" customHeight="1" x14ac:dyDescent="0.25">
      <c r="A742" s="46"/>
      <c r="B742" s="46"/>
      <c r="C742" s="46"/>
      <c r="D742" s="46"/>
      <c r="E742" s="47"/>
      <c r="F742" s="47"/>
      <c r="G742" s="47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  <c r="AB742" s="46"/>
      <c r="AC742" s="46"/>
      <c r="AD742" s="46"/>
      <c r="AE742" s="46"/>
      <c r="AF742" s="46"/>
    </row>
    <row r="743" spans="1:32" s="48" customFormat="1" ht="14.25" customHeight="1" x14ac:dyDescent="0.25">
      <c r="A743" s="46"/>
      <c r="B743" s="46"/>
      <c r="C743" s="46"/>
      <c r="D743" s="46"/>
      <c r="E743" s="47"/>
      <c r="F743" s="47"/>
      <c r="G743" s="47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  <c r="AB743" s="46"/>
      <c r="AC743" s="46"/>
      <c r="AD743" s="46"/>
      <c r="AE743" s="46"/>
      <c r="AF743" s="46"/>
    </row>
    <row r="744" spans="1:32" s="48" customFormat="1" ht="14.25" customHeight="1" x14ac:dyDescent="0.25">
      <c r="A744" s="46"/>
      <c r="B744" s="46"/>
      <c r="C744" s="46"/>
      <c r="D744" s="46"/>
      <c r="E744" s="47"/>
      <c r="F744" s="47"/>
      <c r="G744" s="47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  <c r="AB744" s="46"/>
      <c r="AC744" s="46"/>
      <c r="AD744" s="46"/>
      <c r="AE744" s="46"/>
      <c r="AF744" s="46"/>
    </row>
    <row r="745" spans="1:32" s="48" customFormat="1" ht="14.25" customHeight="1" x14ac:dyDescent="0.25">
      <c r="A745" s="46"/>
      <c r="B745" s="46"/>
      <c r="C745" s="46"/>
      <c r="D745" s="46"/>
      <c r="E745" s="47"/>
      <c r="F745" s="47"/>
      <c r="G745" s="47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  <c r="AB745" s="46"/>
      <c r="AC745" s="46"/>
      <c r="AD745" s="46"/>
      <c r="AE745" s="46"/>
      <c r="AF745" s="46"/>
    </row>
    <row r="746" spans="1:32" s="48" customFormat="1" ht="14.25" customHeight="1" x14ac:dyDescent="0.25">
      <c r="A746" s="46"/>
      <c r="B746" s="46"/>
      <c r="C746" s="46"/>
      <c r="D746" s="46"/>
      <c r="E746" s="47"/>
      <c r="F746" s="47"/>
      <c r="G746" s="47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  <c r="AB746" s="46"/>
      <c r="AC746" s="46"/>
      <c r="AD746" s="46"/>
      <c r="AE746" s="46"/>
      <c r="AF746" s="46"/>
    </row>
    <row r="747" spans="1:32" s="48" customFormat="1" ht="14.25" customHeight="1" x14ac:dyDescent="0.25">
      <c r="A747" s="46"/>
      <c r="B747" s="46"/>
      <c r="C747" s="46"/>
      <c r="D747" s="46"/>
      <c r="E747" s="47"/>
      <c r="F747" s="47"/>
      <c r="G747" s="47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  <c r="AB747" s="46"/>
      <c r="AC747" s="46"/>
      <c r="AD747" s="46"/>
      <c r="AE747" s="46"/>
      <c r="AF747" s="46"/>
    </row>
    <row r="748" spans="1:32" s="48" customFormat="1" ht="14.25" customHeight="1" x14ac:dyDescent="0.25">
      <c r="A748" s="46"/>
      <c r="B748" s="46"/>
      <c r="C748" s="46"/>
      <c r="D748" s="46"/>
      <c r="E748" s="47"/>
      <c r="F748" s="47"/>
      <c r="G748" s="47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  <c r="AB748" s="46"/>
      <c r="AC748" s="46"/>
      <c r="AD748" s="46"/>
      <c r="AE748" s="46"/>
      <c r="AF748" s="46"/>
    </row>
    <row r="749" spans="1:32" s="48" customFormat="1" ht="14.25" customHeight="1" x14ac:dyDescent="0.25">
      <c r="A749" s="46"/>
      <c r="B749" s="46"/>
      <c r="C749" s="46"/>
      <c r="D749" s="46"/>
      <c r="E749" s="47"/>
      <c r="F749" s="47"/>
      <c r="G749" s="47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  <c r="AB749" s="46"/>
      <c r="AC749" s="46"/>
      <c r="AD749" s="46"/>
      <c r="AE749" s="46"/>
      <c r="AF749" s="46"/>
    </row>
    <row r="750" spans="1:32" s="48" customFormat="1" ht="14.25" customHeight="1" x14ac:dyDescent="0.25">
      <c r="A750" s="46"/>
      <c r="B750" s="46"/>
      <c r="C750" s="46"/>
      <c r="D750" s="46"/>
      <c r="E750" s="47"/>
      <c r="F750" s="47"/>
      <c r="G750" s="47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  <c r="AB750" s="46"/>
      <c r="AC750" s="46"/>
      <c r="AD750" s="46"/>
      <c r="AE750" s="46"/>
      <c r="AF750" s="46"/>
    </row>
    <row r="751" spans="1:32" s="48" customFormat="1" ht="14.25" customHeight="1" x14ac:dyDescent="0.25">
      <c r="A751" s="46"/>
      <c r="B751" s="46"/>
      <c r="C751" s="46"/>
      <c r="D751" s="46"/>
      <c r="E751" s="47"/>
      <c r="F751" s="47"/>
      <c r="G751" s="47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  <c r="AB751" s="46"/>
      <c r="AC751" s="46"/>
      <c r="AD751" s="46"/>
      <c r="AE751" s="46"/>
      <c r="AF751" s="46"/>
    </row>
    <row r="752" spans="1:32" s="48" customFormat="1" ht="14.25" customHeight="1" x14ac:dyDescent="0.25">
      <c r="A752" s="46"/>
      <c r="B752" s="46"/>
      <c r="C752" s="46"/>
      <c r="D752" s="46"/>
      <c r="E752" s="47"/>
      <c r="F752" s="47"/>
      <c r="G752" s="47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  <c r="AB752" s="46"/>
      <c r="AC752" s="46"/>
      <c r="AD752" s="46"/>
      <c r="AE752" s="46"/>
      <c r="AF752" s="46"/>
    </row>
    <row r="753" spans="1:32" s="48" customFormat="1" ht="14.25" customHeight="1" x14ac:dyDescent="0.25">
      <c r="A753" s="46"/>
      <c r="B753" s="46"/>
      <c r="C753" s="46"/>
      <c r="D753" s="46"/>
      <c r="E753" s="47"/>
      <c r="F753" s="47"/>
      <c r="G753" s="47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  <c r="AB753" s="46"/>
      <c r="AC753" s="46"/>
      <c r="AD753" s="46"/>
      <c r="AE753" s="46"/>
      <c r="AF753" s="46"/>
    </row>
    <row r="754" spans="1:32" s="48" customFormat="1" ht="14.25" customHeight="1" x14ac:dyDescent="0.25">
      <c r="A754" s="46"/>
      <c r="B754" s="46"/>
      <c r="C754" s="46"/>
      <c r="D754" s="46"/>
      <c r="E754" s="47"/>
      <c r="F754" s="47"/>
      <c r="G754" s="47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</row>
    <row r="755" spans="1:32" s="48" customFormat="1" ht="14.25" customHeight="1" x14ac:dyDescent="0.25">
      <c r="A755" s="46"/>
      <c r="B755" s="46"/>
      <c r="C755" s="46"/>
      <c r="D755" s="46"/>
      <c r="E755" s="47"/>
      <c r="F755" s="47"/>
      <c r="G755" s="47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  <c r="AB755" s="46"/>
      <c r="AC755" s="46"/>
      <c r="AD755" s="46"/>
      <c r="AE755" s="46"/>
      <c r="AF755" s="46"/>
    </row>
    <row r="756" spans="1:32" s="48" customFormat="1" ht="14.25" customHeight="1" x14ac:dyDescent="0.25">
      <c r="A756" s="46"/>
      <c r="B756" s="46"/>
      <c r="C756" s="46"/>
      <c r="D756" s="46"/>
      <c r="E756" s="47"/>
      <c r="F756" s="47"/>
      <c r="G756" s="47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  <c r="AB756" s="46"/>
      <c r="AC756" s="46"/>
      <c r="AD756" s="46"/>
      <c r="AE756" s="46"/>
      <c r="AF756" s="46"/>
    </row>
    <row r="757" spans="1:32" s="48" customFormat="1" ht="14.25" customHeight="1" x14ac:dyDescent="0.25">
      <c r="A757" s="46"/>
      <c r="B757" s="46"/>
      <c r="C757" s="46"/>
      <c r="D757" s="46"/>
      <c r="E757" s="47"/>
      <c r="F757" s="47"/>
      <c r="G757" s="47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  <c r="AB757" s="46"/>
      <c r="AC757" s="46"/>
      <c r="AD757" s="46"/>
      <c r="AE757" s="46"/>
      <c r="AF757" s="46"/>
    </row>
    <row r="758" spans="1:32" s="48" customFormat="1" ht="14.25" customHeight="1" x14ac:dyDescent="0.25">
      <c r="A758" s="46"/>
      <c r="B758" s="46"/>
      <c r="C758" s="46"/>
      <c r="D758" s="46"/>
      <c r="E758" s="47"/>
      <c r="F758" s="47"/>
      <c r="G758" s="47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  <c r="AB758" s="46"/>
      <c r="AC758" s="46"/>
      <c r="AD758" s="46"/>
      <c r="AE758" s="46"/>
      <c r="AF758" s="46"/>
    </row>
    <row r="759" spans="1:32" s="48" customFormat="1" ht="14.25" customHeight="1" x14ac:dyDescent="0.25">
      <c r="A759" s="46"/>
      <c r="B759" s="46"/>
      <c r="C759" s="46"/>
      <c r="D759" s="46"/>
      <c r="E759" s="47"/>
      <c r="F759" s="47"/>
      <c r="G759" s="47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  <c r="AB759" s="46"/>
      <c r="AC759" s="46"/>
      <c r="AD759" s="46"/>
      <c r="AE759" s="46"/>
      <c r="AF759" s="46"/>
    </row>
    <row r="760" spans="1:32" s="48" customFormat="1" ht="14.25" customHeight="1" x14ac:dyDescent="0.25">
      <c r="A760" s="46"/>
      <c r="B760" s="46"/>
      <c r="C760" s="46"/>
      <c r="D760" s="46"/>
      <c r="E760" s="47"/>
      <c r="F760" s="47"/>
      <c r="G760" s="47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  <c r="AA760" s="46"/>
      <c r="AB760" s="46"/>
      <c r="AC760" s="46"/>
      <c r="AD760" s="46"/>
      <c r="AE760" s="46"/>
      <c r="AF760" s="46"/>
    </row>
    <row r="761" spans="1:32" s="48" customFormat="1" ht="14.25" customHeight="1" x14ac:dyDescent="0.25">
      <c r="A761" s="46"/>
      <c r="B761" s="46"/>
      <c r="C761" s="46"/>
      <c r="D761" s="46"/>
      <c r="E761" s="47"/>
      <c r="F761" s="47"/>
      <c r="G761" s="47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  <c r="AA761" s="46"/>
      <c r="AB761" s="46"/>
      <c r="AC761" s="46"/>
      <c r="AD761" s="46"/>
      <c r="AE761" s="46"/>
      <c r="AF761" s="46"/>
    </row>
    <row r="762" spans="1:32" s="48" customFormat="1" ht="14.25" customHeight="1" x14ac:dyDescent="0.25">
      <c r="A762" s="46"/>
      <c r="B762" s="46"/>
      <c r="C762" s="46"/>
      <c r="D762" s="46"/>
      <c r="E762" s="47"/>
      <c r="F762" s="47"/>
      <c r="G762" s="47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  <c r="AA762" s="46"/>
      <c r="AB762" s="46"/>
      <c r="AC762" s="46"/>
      <c r="AD762" s="46"/>
      <c r="AE762" s="46"/>
      <c r="AF762" s="46"/>
    </row>
    <row r="763" spans="1:32" s="48" customFormat="1" ht="14.25" customHeight="1" x14ac:dyDescent="0.25">
      <c r="A763" s="46"/>
      <c r="B763" s="46"/>
      <c r="C763" s="46"/>
      <c r="D763" s="46"/>
      <c r="E763" s="47"/>
      <c r="F763" s="47"/>
      <c r="G763" s="47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  <c r="AA763" s="46"/>
      <c r="AB763" s="46"/>
      <c r="AC763" s="46"/>
      <c r="AD763" s="46"/>
      <c r="AE763" s="46"/>
      <c r="AF763" s="46"/>
    </row>
    <row r="764" spans="1:32" s="48" customFormat="1" ht="14.25" customHeight="1" x14ac:dyDescent="0.25">
      <c r="A764" s="46"/>
      <c r="B764" s="46"/>
      <c r="C764" s="46"/>
      <c r="D764" s="46"/>
      <c r="E764" s="47"/>
      <c r="F764" s="47"/>
      <c r="G764" s="47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  <c r="AA764" s="46"/>
      <c r="AB764" s="46"/>
      <c r="AC764" s="46"/>
      <c r="AD764" s="46"/>
      <c r="AE764" s="46"/>
      <c r="AF764" s="46"/>
    </row>
    <row r="765" spans="1:32" s="48" customFormat="1" ht="14.25" customHeight="1" x14ac:dyDescent="0.25">
      <c r="A765" s="46"/>
      <c r="B765" s="46"/>
      <c r="C765" s="46"/>
      <c r="D765" s="46"/>
      <c r="E765" s="47"/>
      <c r="F765" s="47"/>
      <c r="G765" s="47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  <c r="AA765" s="46"/>
      <c r="AB765" s="46"/>
      <c r="AC765" s="46"/>
      <c r="AD765" s="46"/>
      <c r="AE765" s="46"/>
      <c r="AF765" s="46"/>
    </row>
    <row r="766" spans="1:32" s="48" customFormat="1" ht="14.25" customHeight="1" x14ac:dyDescent="0.25">
      <c r="A766" s="46"/>
      <c r="B766" s="46"/>
      <c r="C766" s="46"/>
      <c r="D766" s="46"/>
      <c r="E766" s="47"/>
      <c r="F766" s="47"/>
      <c r="G766" s="47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  <c r="AA766" s="46"/>
      <c r="AB766" s="46"/>
      <c r="AC766" s="46"/>
      <c r="AD766" s="46"/>
      <c r="AE766" s="46"/>
      <c r="AF766" s="46"/>
    </row>
    <row r="767" spans="1:32" s="48" customFormat="1" ht="14.25" customHeight="1" x14ac:dyDescent="0.25">
      <c r="A767" s="46"/>
      <c r="B767" s="46"/>
      <c r="C767" s="46"/>
      <c r="D767" s="46"/>
      <c r="E767" s="47"/>
      <c r="F767" s="47"/>
      <c r="G767" s="47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  <c r="AA767" s="46"/>
      <c r="AB767" s="46"/>
      <c r="AC767" s="46"/>
      <c r="AD767" s="46"/>
      <c r="AE767" s="46"/>
      <c r="AF767" s="46"/>
    </row>
    <row r="768" spans="1:32" s="48" customFormat="1" ht="14.25" customHeight="1" x14ac:dyDescent="0.25">
      <c r="A768" s="46"/>
      <c r="B768" s="46"/>
      <c r="C768" s="46"/>
      <c r="D768" s="46"/>
      <c r="E768" s="47"/>
      <c r="F768" s="47"/>
      <c r="G768" s="47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  <c r="AA768" s="46"/>
      <c r="AB768" s="46"/>
      <c r="AC768" s="46"/>
      <c r="AD768" s="46"/>
      <c r="AE768" s="46"/>
      <c r="AF768" s="46"/>
    </row>
    <row r="769" spans="1:32" s="48" customFormat="1" ht="14.25" customHeight="1" x14ac:dyDescent="0.25">
      <c r="A769" s="46"/>
      <c r="B769" s="46"/>
      <c r="C769" s="46"/>
      <c r="D769" s="46"/>
      <c r="E769" s="47"/>
      <c r="F769" s="47"/>
      <c r="G769" s="47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  <c r="AA769" s="46"/>
      <c r="AB769" s="46"/>
      <c r="AC769" s="46"/>
      <c r="AD769" s="46"/>
      <c r="AE769" s="46"/>
      <c r="AF769" s="46"/>
    </row>
    <row r="770" spans="1:32" s="48" customFormat="1" ht="14.25" customHeight="1" x14ac:dyDescent="0.25">
      <c r="A770" s="46"/>
      <c r="B770" s="46"/>
      <c r="C770" s="46"/>
      <c r="D770" s="46"/>
      <c r="E770" s="47"/>
      <c r="F770" s="47"/>
      <c r="G770" s="47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  <c r="AA770" s="46"/>
      <c r="AB770" s="46"/>
      <c r="AC770" s="46"/>
      <c r="AD770" s="46"/>
      <c r="AE770" s="46"/>
      <c r="AF770" s="46"/>
    </row>
    <row r="771" spans="1:32" s="48" customFormat="1" ht="14.25" customHeight="1" x14ac:dyDescent="0.25">
      <c r="A771" s="46"/>
      <c r="B771" s="46"/>
      <c r="C771" s="46"/>
      <c r="D771" s="46"/>
      <c r="E771" s="47"/>
      <c r="F771" s="47"/>
      <c r="G771" s="47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  <c r="AA771" s="46"/>
      <c r="AB771" s="46"/>
      <c r="AC771" s="46"/>
      <c r="AD771" s="46"/>
      <c r="AE771" s="46"/>
      <c r="AF771" s="46"/>
    </row>
    <row r="772" spans="1:32" s="48" customFormat="1" ht="14.25" customHeight="1" x14ac:dyDescent="0.25">
      <c r="A772" s="46"/>
      <c r="B772" s="46"/>
      <c r="C772" s="46"/>
      <c r="D772" s="46"/>
      <c r="E772" s="47"/>
      <c r="F772" s="47"/>
      <c r="G772" s="47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  <c r="AA772" s="46"/>
      <c r="AB772" s="46"/>
      <c r="AC772" s="46"/>
      <c r="AD772" s="46"/>
      <c r="AE772" s="46"/>
      <c r="AF772" s="46"/>
    </row>
    <row r="773" spans="1:32" s="48" customFormat="1" ht="14.25" customHeight="1" x14ac:dyDescent="0.25">
      <c r="A773" s="46"/>
      <c r="B773" s="46"/>
      <c r="C773" s="46"/>
      <c r="D773" s="46"/>
      <c r="E773" s="47"/>
      <c r="F773" s="47"/>
      <c r="G773" s="47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  <c r="AA773" s="46"/>
      <c r="AB773" s="46"/>
      <c r="AC773" s="46"/>
      <c r="AD773" s="46"/>
      <c r="AE773" s="46"/>
      <c r="AF773" s="46"/>
    </row>
    <row r="774" spans="1:32" s="48" customFormat="1" ht="14.25" customHeight="1" x14ac:dyDescent="0.25">
      <c r="A774" s="46"/>
      <c r="B774" s="46"/>
      <c r="C774" s="46"/>
      <c r="D774" s="46"/>
      <c r="E774" s="47"/>
      <c r="F774" s="47"/>
      <c r="G774" s="47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  <c r="AA774" s="46"/>
      <c r="AB774" s="46"/>
      <c r="AC774" s="46"/>
      <c r="AD774" s="46"/>
      <c r="AE774" s="46"/>
      <c r="AF774" s="46"/>
    </row>
    <row r="775" spans="1:32" s="48" customFormat="1" ht="14.25" customHeight="1" x14ac:dyDescent="0.25">
      <c r="A775" s="46"/>
      <c r="B775" s="46"/>
      <c r="C775" s="46"/>
      <c r="D775" s="46"/>
      <c r="E775" s="47"/>
      <c r="F775" s="47"/>
      <c r="G775" s="47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  <c r="AA775" s="46"/>
      <c r="AB775" s="46"/>
      <c r="AC775" s="46"/>
      <c r="AD775" s="46"/>
      <c r="AE775" s="46"/>
      <c r="AF775" s="46"/>
    </row>
    <row r="776" spans="1:32" s="48" customFormat="1" ht="14.25" customHeight="1" x14ac:dyDescent="0.25">
      <c r="A776" s="46"/>
      <c r="B776" s="46"/>
      <c r="C776" s="46"/>
      <c r="D776" s="46"/>
      <c r="E776" s="47"/>
      <c r="F776" s="47"/>
      <c r="G776" s="47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  <c r="AA776" s="46"/>
      <c r="AB776" s="46"/>
      <c r="AC776" s="46"/>
      <c r="AD776" s="46"/>
      <c r="AE776" s="46"/>
      <c r="AF776" s="46"/>
    </row>
    <row r="777" spans="1:32" s="48" customFormat="1" ht="14.25" customHeight="1" x14ac:dyDescent="0.25">
      <c r="A777" s="46"/>
      <c r="B777" s="46"/>
      <c r="C777" s="46"/>
      <c r="D777" s="46"/>
      <c r="E777" s="47"/>
      <c r="F777" s="47"/>
      <c r="G777" s="47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  <c r="AA777" s="46"/>
      <c r="AB777" s="46"/>
      <c r="AC777" s="46"/>
      <c r="AD777" s="46"/>
      <c r="AE777" s="46"/>
      <c r="AF777" s="46"/>
    </row>
    <row r="778" spans="1:32" s="48" customFormat="1" ht="14.25" customHeight="1" x14ac:dyDescent="0.25">
      <c r="A778" s="46"/>
      <c r="B778" s="46"/>
      <c r="C778" s="46"/>
      <c r="D778" s="46"/>
      <c r="E778" s="47"/>
      <c r="F778" s="47"/>
      <c r="G778" s="47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  <c r="AA778" s="46"/>
      <c r="AB778" s="46"/>
      <c r="AC778" s="46"/>
      <c r="AD778" s="46"/>
      <c r="AE778" s="46"/>
      <c r="AF778" s="46"/>
    </row>
    <row r="779" spans="1:32" s="48" customFormat="1" ht="14.25" customHeight="1" x14ac:dyDescent="0.25">
      <c r="A779" s="46"/>
      <c r="B779" s="46"/>
      <c r="C779" s="46"/>
      <c r="D779" s="46"/>
      <c r="E779" s="47"/>
      <c r="F779" s="47"/>
      <c r="G779" s="47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  <c r="AA779" s="46"/>
      <c r="AB779" s="46"/>
      <c r="AC779" s="46"/>
      <c r="AD779" s="46"/>
      <c r="AE779" s="46"/>
      <c r="AF779" s="46"/>
    </row>
    <row r="780" spans="1:32" s="48" customFormat="1" ht="14.25" customHeight="1" x14ac:dyDescent="0.25">
      <c r="A780" s="46"/>
      <c r="B780" s="46"/>
      <c r="C780" s="46"/>
      <c r="D780" s="46"/>
      <c r="E780" s="47"/>
      <c r="F780" s="47"/>
      <c r="G780" s="47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  <c r="AA780" s="46"/>
      <c r="AB780" s="46"/>
      <c r="AC780" s="46"/>
      <c r="AD780" s="46"/>
      <c r="AE780" s="46"/>
      <c r="AF780" s="46"/>
    </row>
    <row r="781" spans="1:32" s="48" customFormat="1" ht="14.25" customHeight="1" x14ac:dyDescent="0.25">
      <c r="A781" s="46"/>
      <c r="B781" s="46"/>
      <c r="C781" s="46"/>
      <c r="D781" s="46"/>
      <c r="E781" s="47"/>
      <c r="F781" s="47"/>
      <c r="G781" s="47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  <c r="AA781" s="46"/>
      <c r="AB781" s="46"/>
      <c r="AC781" s="46"/>
      <c r="AD781" s="46"/>
      <c r="AE781" s="46"/>
      <c r="AF781" s="46"/>
    </row>
    <row r="782" spans="1:32" s="48" customFormat="1" ht="14.25" customHeight="1" x14ac:dyDescent="0.25">
      <c r="A782" s="46"/>
      <c r="B782" s="46"/>
      <c r="C782" s="46"/>
      <c r="D782" s="46"/>
      <c r="E782" s="47"/>
      <c r="F782" s="47"/>
      <c r="G782" s="47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  <c r="AA782" s="46"/>
      <c r="AB782" s="46"/>
      <c r="AC782" s="46"/>
      <c r="AD782" s="46"/>
      <c r="AE782" s="46"/>
      <c r="AF782" s="46"/>
    </row>
    <row r="783" spans="1:32" s="48" customFormat="1" ht="14.25" customHeight="1" x14ac:dyDescent="0.25">
      <c r="A783" s="46"/>
      <c r="B783" s="46"/>
      <c r="C783" s="46"/>
      <c r="D783" s="46"/>
      <c r="E783" s="47"/>
      <c r="F783" s="47"/>
      <c r="G783" s="47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  <c r="AA783" s="46"/>
      <c r="AB783" s="46"/>
      <c r="AC783" s="46"/>
      <c r="AD783" s="46"/>
      <c r="AE783" s="46"/>
      <c r="AF783" s="46"/>
    </row>
    <row r="784" spans="1:32" s="48" customFormat="1" ht="14.25" customHeight="1" x14ac:dyDescent="0.25">
      <c r="A784" s="46"/>
      <c r="B784" s="46"/>
      <c r="C784" s="46"/>
      <c r="D784" s="46"/>
      <c r="E784" s="47"/>
      <c r="F784" s="47"/>
      <c r="G784" s="47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  <c r="AA784" s="46"/>
      <c r="AB784" s="46"/>
      <c r="AC784" s="46"/>
      <c r="AD784" s="46"/>
      <c r="AE784" s="46"/>
      <c r="AF784" s="46"/>
    </row>
    <row r="785" spans="1:32" s="48" customFormat="1" ht="14.25" customHeight="1" x14ac:dyDescent="0.25">
      <c r="A785" s="46"/>
      <c r="B785" s="46"/>
      <c r="C785" s="46"/>
      <c r="D785" s="46"/>
      <c r="E785" s="47"/>
      <c r="F785" s="47"/>
      <c r="G785" s="47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  <c r="AA785" s="46"/>
      <c r="AB785" s="46"/>
      <c r="AC785" s="46"/>
      <c r="AD785" s="46"/>
      <c r="AE785" s="46"/>
      <c r="AF785" s="46"/>
    </row>
    <row r="786" spans="1:32" s="48" customFormat="1" ht="14.25" customHeight="1" x14ac:dyDescent="0.25">
      <c r="A786" s="46"/>
      <c r="B786" s="46"/>
      <c r="C786" s="46"/>
      <c r="D786" s="46"/>
      <c r="E786" s="47"/>
      <c r="F786" s="47"/>
      <c r="G786" s="47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  <c r="AA786" s="46"/>
      <c r="AB786" s="46"/>
      <c r="AC786" s="46"/>
      <c r="AD786" s="46"/>
      <c r="AE786" s="46"/>
      <c r="AF786" s="46"/>
    </row>
    <row r="787" spans="1:32" s="48" customFormat="1" ht="14.25" customHeight="1" x14ac:dyDescent="0.25">
      <c r="A787" s="46"/>
      <c r="B787" s="46"/>
      <c r="C787" s="46"/>
      <c r="D787" s="46"/>
      <c r="E787" s="47"/>
      <c r="F787" s="47"/>
      <c r="G787" s="47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  <c r="AA787" s="46"/>
      <c r="AB787" s="46"/>
      <c r="AC787" s="46"/>
      <c r="AD787" s="46"/>
      <c r="AE787" s="46"/>
      <c r="AF787" s="46"/>
    </row>
    <row r="788" spans="1:32" s="48" customFormat="1" ht="14.25" customHeight="1" x14ac:dyDescent="0.25">
      <c r="A788" s="46"/>
      <c r="B788" s="46"/>
      <c r="C788" s="46"/>
      <c r="D788" s="46"/>
      <c r="E788" s="47"/>
      <c r="F788" s="47"/>
      <c r="G788" s="47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  <c r="AA788" s="46"/>
      <c r="AB788" s="46"/>
      <c r="AC788" s="46"/>
      <c r="AD788" s="46"/>
      <c r="AE788" s="46"/>
      <c r="AF788" s="46"/>
    </row>
    <row r="789" spans="1:32" s="48" customFormat="1" ht="14.25" customHeight="1" x14ac:dyDescent="0.25">
      <c r="A789" s="46"/>
      <c r="B789" s="46"/>
      <c r="C789" s="46"/>
      <c r="D789" s="46"/>
      <c r="E789" s="47"/>
      <c r="F789" s="47"/>
      <c r="G789" s="47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  <c r="AA789" s="46"/>
      <c r="AB789" s="46"/>
      <c r="AC789" s="46"/>
      <c r="AD789" s="46"/>
      <c r="AE789" s="46"/>
      <c r="AF789" s="46"/>
    </row>
    <row r="790" spans="1:32" s="48" customFormat="1" ht="14.25" customHeight="1" x14ac:dyDescent="0.25">
      <c r="A790" s="46"/>
      <c r="B790" s="46"/>
      <c r="C790" s="46"/>
      <c r="D790" s="46"/>
      <c r="E790" s="47"/>
      <c r="F790" s="47"/>
      <c r="G790" s="47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  <c r="AA790" s="46"/>
      <c r="AB790" s="46"/>
      <c r="AC790" s="46"/>
      <c r="AD790" s="46"/>
      <c r="AE790" s="46"/>
      <c r="AF790" s="46"/>
    </row>
    <row r="791" spans="1:32" s="48" customFormat="1" ht="14.25" customHeight="1" x14ac:dyDescent="0.25">
      <c r="A791" s="46"/>
      <c r="B791" s="46"/>
      <c r="C791" s="46"/>
      <c r="D791" s="46"/>
      <c r="E791" s="47"/>
      <c r="F791" s="47"/>
      <c r="G791" s="47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  <c r="AA791" s="46"/>
      <c r="AB791" s="46"/>
      <c r="AC791" s="46"/>
      <c r="AD791" s="46"/>
      <c r="AE791" s="46"/>
      <c r="AF791" s="46"/>
    </row>
    <row r="792" spans="1:32" s="48" customFormat="1" ht="14.25" customHeight="1" x14ac:dyDescent="0.25">
      <c r="A792" s="46"/>
      <c r="B792" s="46"/>
      <c r="C792" s="46"/>
      <c r="D792" s="46"/>
      <c r="E792" s="47"/>
      <c r="F792" s="47"/>
      <c r="G792" s="47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  <c r="AA792" s="46"/>
      <c r="AB792" s="46"/>
      <c r="AC792" s="46"/>
      <c r="AD792" s="46"/>
      <c r="AE792" s="46"/>
      <c r="AF792" s="46"/>
    </row>
    <row r="793" spans="1:32" s="48" customFormat="1" ht="14.25" customHeight="1" x14ac:dyDescent="0.25">
      <c r="A793" s="46"/>
      <c r="B793" s="46"/>
      <c r="C793" s="46"/>
      <c r="D793" s="46"/>
      <c r="E793" s="47"/>
      <c r="F793" s="47"/>
      <c r="G793" s="47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  <c r="AA793" s="46"/>
      <c r="AB793" s="46"/>
      <c r="AC793" s="46"/>
      <c r="AD793" s="46"/>
      <c r="AE793" s="46"/>
      <c r="AF793" s="46"/>
    </row>
    <row r="794" spans="1:32" s="48" customFormat="1" ht="14.25" customHeight="1" x14ac:dyDescent="0.25">
      <c r="A794" s="46"/>
      <c r="B794" s="46"/>
      <c r="C794" s="46"/>
      <c r="D794" s="46"/>
      <c r="E794" s="47"/>
      <c r="F794" s="47"/>
      <c r="G794" s="47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  <c r="AA794" s="46"/>
      <c r="AB794" s="46"/>
      <c r="AC794" s="46"/>
      <c r="AD794" s="46"/>
      <c r="AE794" s="46"/>
      <c r="AF794" s="46"/>
    </row>
    <row r="795" spans="1:32" s="48" customFormat="1" ht="14.25" customHeight="1" x14ac:dyDescent="0.25">
      <c r="A795" s="46"/>
      <c r="B795" s="46"/>
      <c r="C795" s="46"/>
      <c r="D795" s="46"/>
      <c r="E795" s="47"/>
      <c r="F795" s="47"/>
      <c r="G795" s="47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  <c r="AA795" s="46"/>
      <c r="AB795" s="46"/>
      <c r="AC795" s="46"/>
      <c r="AD795" s="46"/>
      <c r="AE795" s="46"/>
      <c r="AF795" s="46"/>
    </row>
    <row r="796" spans="1:32" s="48" customFormat="1" ht="14.25" customHeight="1" x14ac:dyDescent="0.25">
      <c r="A796" s="46"/>
      <c r="B796" s="46"/>
      <c r="C796" s="46"/>
      <c r="D796" s="46"/>
      <c r="E796" s="47"/>
      <c r="F796" s="47"/>
      <c r="G796" s="47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  <c r="AA796" s="46"/>
      <c r="AB796" s="46"/>
      <c r="AC796" s="46"/>
      <c r="AD796" s="46"/>
      <c r="AE796" s="46"/>
      <c r="AF796" s="46"/>
    </row>
    <row r="797" spans="1:32" s="48" customFormat="1" ht="14.25" customHeight="1" x14ac:dyDescent="0.25">
      <c r="A797" s="46"/>
      <c r="B797" s="46"/>
      <c r="C797" s="46"/>
      <c r="D797" s="46"/>
      <c r="E797" s="47"/>
      <c r="F797" s="47"/>
      <c r="G797" s="47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  <c r="AA797" s="46"/>
      <c r="AB797" s="46"/>
      <c r="AC797" s="46"/>
      <c r="AD797" s="46"/>
      <c r="AE797" s="46"/>
      <c r="AF797" s="46"/>
    </row>
    <row r="798" spans="1:32" s="48" customFormat="1" ht="14.25" customHeight="1" x14ac:dyDescent="0.25">
      <c r="A798" s="46"/>
      <c r="B798" s="46"/>
      <c r="C798" s="46"/>
      <c r="D798" s="46"/>
      <c r="E798" s="47"/>
      <c r="F798" s="47"/>
      <c r="G798" s="47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  <c r="AA798" s="46"/>
      <c r="AB798" s="46"/>
      <c r="AC798" s="46"/>
      <c r="AD798" s="46"/>
      <c r="AE798" s="46"/>
      <c r="AF798" s="46"/>
    </row>
    <row r="799" spans="1:32" s="48" customFormat="1" ht="14.25" customHeight="1" x14ac:dyDescent="0.25">
      <c r="A799" s="46"/>
      <c r="B799" s="46"/>
      <c r="C799" s="46"/>
      <c r="D799" s="46"/>
      <c r="E799" s="47"/>
      <c r="F799" s="47"/>
      <c r="G799" s="47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  <c r="AA799" s="46"/>
      <c r="AB799" s="46"/>
      <c r="AC799" s="46"/>
      <c r="AD799" s="46"/>
      <c r="AE799" s="46"/>
      <c r="AF799" s="46"/>
    </row>
    <row r="800" spans="1:32" s="48" customFormat="1" ht="14.25" customHeight="1" x14ac:dyDescent="0.25">
      <c r="A800" s="46"/>
      <c r="B800" s="46"/>
      <c r="C800" s="46"/>
      <c r="D800" s="46"/>
      <c r="E800" s="47"/>
      <c r="F800" s="47"/>
      <c r="G800" s="47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  <c r="AA800" s="46"/>
      <c r="AB800" s="46"/>
      <c r="AC800" s="46"/>
      <c r="AD800" s="46"/>
      <c r="AE800" s="46"/>
      <c r="AF800" s="46"/>
    </row>
    <row r="801" spans="1:32" s="48" customFormat="1" ht="14.25" customHeight="1" x14ac:dyDescent="0.25">
      <c r="A801" s="46"/>
      <c r="B801" s="46"/>
      <c r="C801" s="46"/>
      <c r="D801" s="46"/>
      <c r="E801" s="47"/>
      <c r="F801" s="47"/>
      <c r="G801" s="47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  <c r="AA801" s="46"/>
      <c r="AB801" s="46"/>
      <c r="AC801" s="46"/>
      <c r="AD801" s="46"/>
      <c r="AE801" s="46"/>
      <c r="AF801" s="46"/>
    </row>
    <row r="802" spans="1:32" s="48" customFormat="1" ht="14.25" customHeight="1" x14ac:dyDescent="0.25">
      <c r="A802" s="46"/>
      <c r="B802" s="46"/>
      <c r="C802" s="46"/>
      <c r="D802" s="46"/>
      <c r="E802" s="47"/>
      <c r="F802" s="47"/>
      <c r="G802" s="47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  <c r="AA802" s="46"/>
      <c r="AB802" s="46"/>
      <c r="AC802" s="46"/>
      <c r="AD802" s="46"/>
      <c r="AE802" s="46"/>
      <c r="AF802" s="46"/>
    </row>
    <row r="803" spans="1:32" s="48" customFormat="1" ht="14.25" customHeight="1" x14ac:dyDescent="0.25">
      <c r="A803" s="46"/>
      <c r="B803" s="46"/>
      <c r="C803" s="46"/>
      <c r="D803" s="46"/>
      <c r="E803" s="47"/>
      <c r="F803" s="47"/>
      <c r="G803" s="47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  <c r="AA803" s="46"/>
      <c r="AB803" s="46"/>
      <c r="AC803" s="46"/>
      <c r="AD803" s="46"/>
      <c r="AE803" s="46"/>
      <c r="AF803" s="46"/>
    </row>
    <row r="804" spans="1:32" s="48" customFormat="1" ht="14.25" customHeight="1" x14ac:dyDescent="0.25">
      <c r="A804" s="46"/>
      <c r="B804" s="46"/>
      <c r="C804" s="46"/>
      <c r="D804" s="46"/>
      <c r="E804" s="47"/>
      <c r="F804" s="47"/>
      <c r="G804" s="47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  <c r="AA804" s="46"/>
      <c r="AB804" s="46"/>
      <c r="AC804" s="46"/>
      <c r="AD804" s="46"/>
      <c r="AE804" s="46"/>
      <c r="AF804" s="46"/>
    </row>
    <row r="805" spans="1:32" s="48" customFormat="1" ht="14.25" customHeight="1" x14ac:dyDescent="0.25">
      <c r="A805" s="46"/>
      <c r="B805" s="46"/>
      <c r="C805" s="46"/>
      <c r="D805" s="46"/>
      <c r="E805" s="47"/>
      <c r="F805" s="47"/>
      <c r="G805" s="47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  <c r="AA805" s="46"/>
      <c r="AB805" s="46"/>
      <c r="AC805" s="46"/>
      <c r="AD805" s="46"/>
      <c r="AE805" s="46"/>
      <c r="AF805" s="46"/>
    </row>
    <row r="806" spans="1:32" s="48" customFormat="1" ht="14.25" customHeight="1" x14ac:dyDescent="0.25">
      <c r="A806" s="46"/>
      <c r="B806" s="46"/>
      <c r="C806" s="46"/>
      <c r="D806" s="46"/>
      <c r="E806" s="47"/>
      <c r="F806" s="47"/>
      <c r="G806" s="47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  <c r="AA806" s="46"/>
      <c r="AB806" s="46"/>
      <c r="AC806" s="46"/>
      <c r="AD806" s="46"/>
      <c r="AE806" s="46"/>
      <c r="AF806" s="46"/>
    </row>
    <row r="807" spans="1:32" s="48" customFormat="1" ht="14.25" customHeight="1" x14ac:dyDescent="0.25">
      <c r="A807" s="46"/>
      <c r="B807" s="46"/>
      <c r="C807" s="46"/>
      <c r="D807" s="46"/>
      <c r="E807" s="47"/>
      <c r="F807" s="47"/>
      <c r="G807" s="47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  <c r="AA807" s="46"/>
      <c r="AB807" s="46"/>
      <c r="AC807" s="46"/>
      <c r="AD807" s="46"/>
      <c r="AE807" s="46"/>
      <c r="AF807" s="46"/>
    </row>
    <row r="808" spans="1:32" s="48" customFormat="1" ht="14.25" customHeight="1" x14ac:dyDescent="0.25">
      <c r="A808" s="46"/>
      <c r="B808" s="46"/>
      <c r="C808" s="46"/>
      <c r="D808" s="46"/>
      <c r="E808" s="47"/>
      <c r="F808" s="47"/>
      <c r="G808" s="47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  <c r="AA808" s="46"/>
      <c r="AB808" s="46"/>
      <c r="AC808" s="46"/>
      <c r="AD808" s="46"/>
      <c r="AE808" s="46"/>
      <c r="AF808" s="46"/>
    </row>
    <row r="809" spans="1:32" s="48" customFormat="1" ht="14.25" customHeight="1" x14ac:dyDescent="0.25">
      <c r="A809" s="46"/>
      <c r="B809" s="46"/>
      <c r="C809" s="46"/>
      <c r="D809" s="46"/>
      <c r="E809" s="47"/>
      <c r="F809" s="47"/>
      <c r="G809" s="47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  <c r="AA809" s="46"/>
      <c r="AB809" s="46"/>
      <c r="AC809" s="46"/>
      <c r="AD809" s="46"/>
      <c r="AE809" s="46"/>
      <c r="AF809" s="46"/>
    </row>
    <row r="810" spans="1:32" s="48" customFormat="1" ht="14.25" customHeight="1" x14ac:dyDescent="0.25">
      <c r="A810" s="46"/>
      <c r="B810" s="46"/>
      <c r="C810" s="46"/>
      <c r="D810" s="46"/>
      <c r="E810" s="47"/>
      <c r="F810" s="47"/>
      <c r="G810" s="47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  <c r="AA810" s="46"/>
      <c r="AB810" s="46"/>
      <c r="AC810" s="46"/>
      <c r="AD810" s="46"/>
      <c r="AE810" s="46"/>
      <c r="AF810" s="46"/>
    </row>
    <row r="811" spans="1:32" s="48" customFormat="1" ht="14.25" customHeight="1" x14ac:dyDescent="0.25">
      <c r="A811" s="46"/>
      <c r="B811" s="46"/>
      <c r="C811" s="46"/>
      <c r="D811" s="46"/>
      <c r="E811" s="47"/>
      <c r="F811" s="47"/>
      <c r="G811" s="47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  <c r="AA811" s="46"/>
      <c r="AB811" s="46"/>
      <c r="AC811" s="46"/>
      <c r="AD811" s="46"/>
      <c r="AE811" s="46"/>
      <c r="AF811" s="46"/>
    </row>
    <row r="812" spans="1:32" s="48" customFormat="1" ht="14.25" customHeight="1" x14ac:dyDescent="0.25">
      <c r="A812" s="46"/>
      <c r="B812" s="46"/>
      <c r="C812" s="46"/>
      <c r="D812" s="46"/>
      <c r="E812" s="47"/>
      <c r="F812" s="47"/>
      <c r="G812" s="47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  <c r="AA812" s="46"/>
      <c r="AB812" s="46"/>
      <c r="AC812" s="46"/>
      <c r="AD812" s="46"/>
      <c r="AE812" s="46"/>
      <c r="AF812" s="46"/>
    </row>
    <row r="813" spans="1:32" s="48" customFormat="1" ht="14.25" customHeight="1" x14ac:dyDescent="0.25">
      <c r="A813" s="46"/>
      <c r="B813" s="46"/>
      <c r="C813" s="46"/>
      <c r="D813" s="46"/>
      <c r="E813" s="47"/>
      <c r="F813" s="47"/>
      <c r="G813" s="47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  <c r="AA813" s="46"/>
      <c r="AB813" s="46"/>
      <c r="AC813" s="46"/>
      <c r="AD813" s="46"/>
      <c r="AE813" s="46"/>
      <c r="AF813" s="46"/>
    </row>
    <row r="814" spans="1:32" s="48" customFormat="1" ht="14.25" customHeight="1" x14ac:dyDescent="0.25">
      <c r="A814" s="46"/>
      <c r="B814" s="46"/>
      <c r="C814" s="46"/>
      <c r="D814" s="46"/>
      <c r="E814" s="47"/>
      <c r="F814" s="47"/>
      <c r="G814" s="47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  <c r="AA814" s="46"/>
      <c r="AB814" s="46"/>
      <c r="AC814" s="46"/>
      <c r="AD814" s="46"/>
      <c r="AE814" s="46"/>
      <c r="AF814" s="46"/>
    </row>
    <row r="815" spans="1:32" s="48" customFormat="1" ht="14.25" customHeight="1" x14ac:dyDescent="0.25">
      <c r="A815" s="46"/>
      <c r="B815" s="46"/>
      <c r="C815" s="46"/>
      <c r="D815" s="46"/>
      <c r="E815" s="47"/>
      <c r="F815" s="47"/>
      <c r="G815" s="47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  <c r="AA815" s="46"/>
      <c r="AB815" s="46"/>
      <c r="AC815" s="46"/>
      <c r="AD815" s="46"/>
      <c r="AE815" s="46"/>
      <c r="AF815" s="46"/>
    </row>
    <row r="816" spans="1:32" s="48" customFormat="1" ht="14.25" customHeight="1" x14ac:dyDescent="0.25">
      <c r="A816" s="46"/>
      <c r="B816" s="46"/>
      <c r="C816" s="46"/>
      <c r="D816" s="46"/>
      <c r="E816" s="47"/>
      <c r="F816" s="47"/>
      <c r="G816" s="47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  <c r="AA816" s="46"/>
      <c r="AB816" s="46"/>
      <c r="AC816" s="46"/>
      <c r="AD816" s="46"/>
      <c r="AE816" s="46"/>
      <c r="AF816" s="46"/>
    </row>
    <row r="817" spans="1:32" s="48" customFormat="1" ht="14.25" customHeight="1" x14ac:dyDescent="0.25">
      <c r="A817" s="46"/>
      <c r="B817" s="46"/>
      <c r="C817" s="46"/>
      <c r="D817" s="46"/>
      <c r="E817" s="47"/>
      <c r="F817" s="47"/>
      <c r="G817" s="47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  <c r="AA817" s="46"/>
      <c r="AB817" s="46"/>
      <c r="AC817" s="46"/>
      <c r="AD817" s="46"/>
      <c r="AE817" s="46"/>
      <c r="AF817" s="46"/>
    </row>
    <row r="818" spans="1:32" s="48" customFormat="1" ht="14.25" customHeight="1" x14ac:dyDescent="0.25">
      <c r="A818" s="46"/>
      <c r="B818" s="46"/>
      <c r="C818" s="46"/>
      <c r="D818" s="46"/>
      <c r="E818" s="47"/>
      <c r="F818" s="47"/>
      <c r="G818" s="47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  <c r="AA818" s="46"/>
      <c r="AB818" s="46"/>
      <c r="AC818" s="46"/>
      <c r="AD818" s="46"/>
      <c r="AE818" s="46"/>
      <c r="AF818" s="46"/>
    </row>
    <row r="819" spans="1:32" s="48" customFormat="1" ht="14.25" customHeight="1" x14ac:dyDescent="0.25">
      <c r="A819" s="46"/>
      <c r="B819" s="46"/>
      <c r="C819" s="46"/>
      <c r="D819" s="46"/>
      <c r="E819" s="47"/>
      <c r="F819" s="47"/>
      <c r="G819" s="47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  <c r="AA819" s="46"/>
      <c r="AB819" s="46"/>
      <c r="AC819" s="46"/>
      <c r="AD819" s="46"/>
      <c r="AE819" s="46"/>
      <c r="AF819" s="46"/>
    </row>
    <row r="820" spans="1:32" s="48" customFormat="1" ht="14.25" customHeight="1" x14ac:dyDescent="0.25">
      <c r="A820" s="46"/>
      <c r="B820" s="46"/>
      <c r="C820" s="46"/>
      <c r="D820" s="46"/>
      <c r="E820" s="47"/>
      <c r="F820" s="47"/>
      <c r="G820" s="47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  <c r="AA820" s="46"/>
      <c r="AB820" s="46"/>
      <c r="AC820" s="46"/>
      <c r="AD820" s="46"/>
      <c r="AE820" s="46"/>
      <c r="AF820" s="46"/>
    </row>
    <row r="821" spans="1:32" s="48" customFormat="1" ht="14.25" customHeight="1" x14ac:dyDescent="0.25">
      <c r="A821" s="46"/>
      <c r="B821" s="46"/>
      <c r="C821" s="46"/>
      <c r="D821" s="46"/>
      <c r="E821" s="47"/>
      <c r="F821" s="47"/>
      <c r="G821" s="47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  <c r="AA821" s="46"/>
      <c r="AB821" s="46"/>
      <c r="AC821" s="46"/>
      <c r="AD821" s="46"/>
      <c r="AE821" s="46"/>
      <c r="AF821" s="46"/>
    </row>
    <row r="822" spans="1:32" s="48" customFormat="1" ht="14.25" customHeight="1" x14ac:dyDescent="0.25">
      <c r="A822" s="46"/>
      <c r="B822" s="46"/>
      <c r="C822" s="46"/>
      <c r="D822" s="46"/>
      <c r="E822" s="47"/>
      <c r="F822" s="47"/>
      <c r="G822" s="47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  <c r="AA822" s="46"/>
      <c r="AB822" s="46"/>
      <c r="AC822" s="46"/>
      <c r="AD822" s="46"/>
      <c r="AE822" s="46"/>
      <c r="AF822" s="46"/>
    </row>
    <row r="823" spans="1:32" s="48" customFormat="1" ht="14.25" customHeight="1" x14ac:dyDescent="0.25">
      <c r="A823" s="46"/>
      <c r="B823" s="46"/>
      <c r="C823" s="46"/>
      <c r="D823" s="46"/>
      <c r="E823" s="47"/>
      <c r="F823" s="47"/>
      <c r="G823" s="47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  <c r="AA823" s="46"/>
      <c r="AB823" s="46"/>
      <c r="AC823" s="46"/>
      <c r="AD823" s="46"/>
      <c r="AE823" s="46"/>
      <c r="AF823" s="46"/>
    </row>
    <row r="824" spans="1:32" s="48" customFormat="1" ht="14.25" customHeight="1" x14ac:dyDescent="0.25">
      <c r="A824" s="46"/>
      <c r="B824" s="46"/>
      <c r="C824" s="46"/>
      <c r="D824" s="46"/>
      <c r="E824" s="47"/>
      <c r="F824" s="47"/>
      <c r="G824" s="47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  <c r="AA824" s="46"/>
      <c r="AB824" s="46"/>
      <c r="AC824" s="46"/>
      <c r="AD824" s="46"/>
      <c r="AE824" s="46"/>
      <c r="AF824" s="46"/>
    </row>
    <row r="825" spans="1:32" s="48" customFormat="1" ht="14.25" customHeight="1" x14ac:dyDescent="0.25">
      <c r="A825" s="46"/>
      <c r="B825" s="46"/>
      <c r="C825" s="46"/>
      <c r="D825" s="46"/>
      <c r="E825" s="47"/>
      <c r="F825" s="47"/>
      <c r="G825" s="47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  <c r="AA825" s="46"/>
      <c r="AB825" s="46"/>
      <c r="AC825" s="46"/>
      <c r="AD825" s="46"/>
      <c r="AE825" s="46"/>
      <c r="AF825" s="46"/>
    </row>
    <row r="826" spans="1:32" s="48" customFormat="1" ht="14.25" customHeight="1" x14ac:dyDescent="0.25">
      <c r="A826" s="46"/>
      <c r="B826" s="46"/>
      <c r="C826" s="46"/>
      <c r="D826" s="46"/>
      <c r="E826" s="47"/>
      <c r="F826" s="47"/>
      <c r="G826" s="47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  <c r="AA826" s="46"/>
      <c r="AB826" s="46"/>
      <c r="AC826" s="46"/>
      <c r="AD826" s="46"/>
      <c r="AE826" s="46"/>
      <c r="AF826" s="46"/>
    </row>
    <row r="827" spans="1:32" s="48" customFormat="1" ht="14.25" customHeight="1" x14ac:dyDescent="0.25">
      <c r="A827" s="46"/>
      <c r="B827" s="46"/>
      <c r="C827" s="46"/>
      <c r="D827" s="46"/>
      <c r="E827" s="47"/>
      <c r="F827" s="47"/>
      <c r="G827" s="47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  <c r="AA827" s="46"/>
      <c r="AB827" s="46"/>
      <c r="AC827" s="46"/>
      <c r="AD827" s="46"/>
      <c r="AE827" s="46"/>
      <c r="AF827" s="46"/>
    </row>
    <row r="828" spans="1:32" s="48" customFormat="1" ht="14.25" customHeight="1" x14ac:dyDescent="0.25">
      <c r="A828" s="46"/>
      <c r="B828" s="46"/>
      <c r="C828" s="46"/>
      <c r="D828" s="46"/>
      <c r="E828" s="47"/>
      <c r="F828" s="47"/>
      <c r="G828" s="47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  <c r="AA828" s="46"/>
      <c r="AB828" s="46"/>
      <c r="AC828" s="46"/>
      <c r="AD828" s="46"/>
      <c r="AE828" s="46"/>
      <c r="AF828" s="46"/>
    </row>
    <row r="829" spans="1:32" s="48" customFormat="1" ht="14.25" customHeight="1" x14ac:dyDescent="0.25">
      <c r="A829" s="46"/>
      <c r="B829" s="46"/>
      <c r="C829" s="46"/>
      <c r="D829" s="46"/>
      <c r="E829" s="47"/>
      <c r="F829" s="47"/>
      <c r="G829" s="47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  <c r="AA829" s="46"/>
      <c r="AB829" s="46"/>
      <c r="AC829" s="46"/>
      <c r="AD829" s="46"/>
      <c r="AE829" s="46"/>
      <c r="AF829" s="46"/>
    </row>
    <row r="830" spans="1:32" s="48" customFormat="1" ht="14.25" customHeight="1" x14ac:dyDescent="0.25">
      <c r="A830" s="46"/>
      <c r="B830" s="46"/>
      <c r="C830" s="46"/>
      <c r="D830" s="46"/>
      <c r="E830" s="47"/>
      <c r="F830" s="47"/>
      <c r="G830" s="47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  <c r="AA830" s="46"/>
      <c r="AB830" s="46"/>
      <c r="AC830" s="46"/>
      <c r="AD830" s="46"/>
      <c r="AE830" s="46"/>
      <c r="AF830" s="46"/>
    </row>
    <row r="831" spans="1:32" s="48" customFormat="1" ht="14.25" customHeight="1" x14ac:dyDescent="0.25">
      <c r="A831" s="46"/>
      <c r="B831" s="46"/>
      <c r="C831" s="46"/>
      <c r="D831" s="46"/>
      <c r="E831" s="47"/>
      <c r="F831" s="47"/>
      <c r="G831" s="47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  <c r="AA831" s="46"/>
      <c r="AB831" s="46"/>
      <c r="AC831" s="46"/>
      <c r="AD831" s="46"/>
      <c r="AE831" s="46"/>
      <c r="AF831" s="46"/>
    </row>
    <row r="832" spans="1:32" s="48" customFormat="1" ht="14.25" customHeight="1" x14ac:dyDescent="0.25">
      <c r="A832" s="46"/>
      <c r="B832" s="46"/>
      <c r="C832" s="46"/>
      <c r="D832" s="46"/>
      <c r="E832" s="47"/>
      <c r="F832" s="47"/>
      <c r="G832" s="47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  <c r="AA832" s="46"/>
      <c r="AB832" s="46"/>
      <c r="AC832" s="46"/>
      <c r="AD832" s="46"/>
      <c r="AE832" s="46"/>
      <c r="AF832" s="46"/>
    </row>
    <row r="833" spans="1:32" s="48" customFormat="1" ht="14.25" customHeight="1" x14ac:dyDescent="0.25">
      <c r="A833" s="46"/>
      <c r="B833" s="46"/>
      <c r="C833" s="46"/>
      <c r="D833" s="46"/>
      <c r="E833" s="47"/>
      <c r="F833" s="47"/>
      <c r="G833" s="47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  <c r="AA833" s="46"/>
      <c r="AB833" s="46"/>
      <c r="AC833" s="46"/>
      <c r="AD833" s="46"/>
      <c r="AE833" s="46"/>
      <c r="AF833" s="46"/>
    </row>
    <row r="834" spans="1:32" s="48" customFormat="1" ht="14.25" customHeight="1" x14ac:dyDescent="0.25">
      <c r="A834" s="46"/>
      <c r="B834" s="46"/>
      <c r="C834" s="46"/>
      <c r="D834" s="46"/>
      <c r="E834" s="47"/>
      <c r="F834" s="47"/>
      <c r="G834" s="47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  <c r="AA834" s="46"/>
      <c r="AB834" s="46"/>
      <c r="AC834" s="46"/>
      <c r="AD834" s="46"/>
      <c r="AE834" s="46"/>
      <c r="AF834" s="46"/>
    </row>
    <row r="835" spans="1:32" s="48" customFormat="1" ht="14.25" customHeight="1" x14ac:dyDescent="0.25">
      <c r="A835" s="46"/>
      <c r="B835" s="46"/>
      <c r="C835" s="46"/>
      <c r="D835" s="46"/>
      <c r="E835" s="47"/>
      <c r="F835" s="47"/>
      <c r="G835" s="47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  <c r="AA835" s="46"/>
      <c r="AB835" s="46"/>
      <c r="AC835" s="46"/>
      <c r="AD835" s="46"/>
      <c r="AE835" s="46"/>
      <c r="AF835" s="46"/>
    </row>
    <row r="836" spans="1:32" s="48" customFormat="1" ht="14.25" customHeight="1" x14ac:dyDescent="0.25">
      <c r="A836" s="46"/>
      <c r="B836" s="46"/>
      <c r="C836" s="46"/>
      <c r="D836" s="46"/>
      <c r="E836" s="47"/>
      <c r="F836" s="47"/>
      <c r="G836" s="47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  <c r="AA836" s="46"/>
      <c r="AB836" s="46"/>
      <c r="AC836" s="46"/>
      <c r="AD836" s="46"/>
      <c r="AE836" s="46"/>
      <c r="AF836" s="46"/>
    </row>
    <row r="837" spans="1:32" s="48" customFormat="1" ht="14.25" customHeight="1" x14ac:dyDescent="0.25">
      <c r="A837" s="46"/>
      <c r="B837" s="46"/>
      <c r="C837" s="46"/>
      <c r="D837" s="46"/>
      <c r="E837" s="47"/>
      <c r="F837" s="47"/>
      <c r="G837" s="47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  <c r="AA837" s="46"/>
      <c r="AB837" s="46"/>
      <c r="AC837" s="46"/>
      <c r="AD837" s="46"/>
      <c r="AE837" s="46"/>
      <c r="AF837" s="46"/>
    </row>
    <row r="838" spans="1:32" s="48" customFormat="1" ht="14.25" customHeight="1" x14ac:dyDescent="0.25">
      <c r="A838" s="46"/>
      <c r="B838" s="46"/>
      <c r="C838" s="46"/>
      <c r="D838" s="46"/>
      <c r="E838" s="47"/>
      <c r="F838" s="47"/>
      <c r="G838" s="47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  <c r="AA838" s="46"/>
      <c r="AB838" s="46"/>
      <c r="AC838" s="46"/>
      <c r="AD838" s="46"/>
      <c r="AE838" s="46"/>
      <c r="AF838" s="46"/>
    </row>
    <row r="839" spans="1:32" s="48" customFormat="1" ht="14.25" customHeight="1" x14ac:dyDescent="0.25">
      <c r="A839" s="46"/>
      <c r="B839" s="46"/>
      <c r="C839" s="46"/>
      <c r="D839" s="46"/>
      <c r="E839" s="47"/>
      <c r="F839" s="47"/>
      <c r="G839" s="47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  <c r="AA839" s="46"/>
      <c r="AB839" s="46"/>
      <c r="AC839" s="46"/>
      <c r="AD839" s="46"/>
      <c r="AE839" s="46"/>
      <c r="AF839" s="46"/>
    </row>
    <row r="840" spans="1:32" s="48" customFormat="1" ht="14.25" customHeight="1" x14ac:dyDescent="0.25">
      <c r="A840" s="46"/>
      <c r="B840" s="46"/>
      <c r="C840" s="46"/>
      <c r="D840" s="46"/>
      <c r="E840" s="47"/>
      <c r="F840" s="47"/>
      <c r="G840" s="47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  <c r="AA840" s="46"/>
      <c r="AB840" s="46"/>
      <c r="AC840" s="46"/>
      <c r="AD840" s="46"/>
      <c r="AE840" s="46"/>
      <c r="AF840" s="46"/>
    </row>
    <row r="841" spans="1:32" s="48" customFormat="1" ht="14.25" customHeight="1" x14ac:dyDescent="0.25">
      <c r="A841" s="46"/>
      <c r="B841" s="46"/>
      <c r="C841" s="46"/>
      <c r="D841" s="46"/>
      <c r="E841" s="47"/>
      <c r="F841" s="47"/>
      <c r="G841" s="47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  <c r="AA841" s="46"/>
      <c r="AB841" s="46"/>
      <c r="AC841" s="46"/>
      <c r="AD841" s="46"/>
      <c r="AE841" s="46"/>
      <c r="AF841" s="46"/>
    </row>
    <row r="842" spans="1:32" s="48" customFormat="1" ht="14.25" customHeight="1" x14ac:dyDescent="0.25">
      <c r="A842" s="46"/>
      <c r="B842" s="46"/>
      <c r="C842" s="46"/>
      <c r="D842" s="46"/>
      <c r="E842" s="47"/>
      <c r="F842" s="47"/>
      <c r="G842" s="47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  <c r="AA842" s="46"/>
      <c r="AB842" s="46"/>
      <c r="AC842" s="46"/>
      <c r="AD842" s="46"/>
      <c r="AE842" s="46"/>
      <c r="AF842" s="46"/>
    </row>
    <row r="843" spans="1:32" s="48" customFormat="1" ht="14.25" customHeight="1" x14ac:dyDescent="0.25">
      <c r="A843" s="46"/>
      <c r="B843" s="46"/>
      <c r="C843" s="46"/>
      <c r="D843" s="46"/>
      <c r="E843" s="47"/>
      <c r="F843" s="47"/>
      <c r="G843" s="47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  <c r="AA843" s="46"/>
      <c r="AB843" s="46"/>
      <c r="AC843" s="46"/>
      <c r="AD843" s="46"/>
      <c r="AE843" s="46"/>
      <c r="AF843" s="46"/>
    </row>
    <row r="844" spans="1:32" s="48" customFormat="1" ht="14.25" customHeight="1" x14ac:dyDescent="0.25">
      <c r="A844" s="46"/>
      <c r="B844" s="46"/>
      <c r="C844" s="46"/>
      <c r="D844" s="46"/>
      <c r="E844" s="47"/>
      <c r="F844" s="47"/>
      <c r="G844" s="47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  <c r="AA844" s="46"/>
      <c r="AB844" s="46"/>
      <c r="AC844" s="46"/>
      <c r="AD844" s="46"/>
      <c r="AE844" s="46"/>
      <c r="AF844" s="46"/>
    </row>
    <row r="845" spans="1:32" s="48" customFormat="1" ht="14.25" customHeight="1" x14ac:dyDescent="0.25">
      <c r="A845" s="46"/>
      <c r="B845" s="46"/>
      <c r="C845" s="46"/>
      <c r="D845" s="46"/>
      <c r="E845" s="47"/>
      <c r="F845" s="47"/>
      <c r="G845" s="47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  <c r="AA845" s="46"/>
      <c r="AB845" s="46"/>
      <c r="AC845" s="46"/>
      <c r="AD845" s="46"/>
      <c r="AE845" s="46"/>
      <c r="AF845" s="46"/>
    </row>
    <row r="846" spans="1:32" s="48" customFormat="1" ht="14.25" customHeight="1" x14ac:dyDescent="0.25">
      <c r="A846" s="46"/>
      <c r="B846" s="46"/>
      <c r="C846" s="46"/>
      <c r="D846" s="46"/>
      <c r="E846" s="47"/>
      <c r="F846" s="47"/>
      <c r="G846" s="47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  <c r="AA846" s="46"/>
      <c r="AB846" s="46"/>
      <c r="AC846" s="46"/>
      <c r="AD846" s="46"/>
      <c r="AE846" s="46"/>
      <c r="AF846" s="46"/>
    </row>
    <row r="847" spans="1:32" s="48" customFormat="1" ht="14.25" customHeight="1" x14ac:dyDescent="0.25">
      <c r="A847" s="46"/>
      <c r="B847" s="46"/>
      <c r="C847" s="46"/>
      <c r="D847" s="46"/>
      <c r="E847" s="47"/>
      <c r="F847" s="47"/>
      <c r="G847" s="47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  <c r="AA847" s="46"/>
      <c r="AB847" s="46"/>
      <c r="AC847" s="46"/>
      <c r="AD847" s="46"/>
      <c r="AE847" s="46"/>
      <c r="AF847" s="46"/>
    </row>
    <row r="848" spans="1:32" s="48" customFormat="1" ht="14.25" customHeight="1" x14ac:dyDescent="0.25">
      <c r="A848" s="46"/>
      <c r="B848" s="46"/>
      <c r="C848" s="46"/>
      <c r="D848" s="46"/>
      <c r="E848" s="47"/>
      <c r="F848" s="47"/>
      <c r="G848" s="47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  <c r="AA848" s="46"/>
      <c r="AB848" s="46"/>
      <c r="AC848" s="46"/>
      <c r="AD848" s="46"/>
      <c r="AE848" s="46"/>
      <c r="AF848" s="46"/>
    </row>
    <row r="849" spans="1:32" s="48" customFormat="1" ht="14.25" customHeight="1" x14ac:dyDescent="0.25">
      <c r="A849" s="46"/>
      <c r="B849" s="46"/>
      <c r="C849" s="46"/>
      <c r="D849" s="46"/>
      <c r="E849" s="47"/>
      <c r="F849" s="47"/>
      <c r="G849" s="47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  <c r="AA849" s="46"/>
      <c r="AB849" s="46"/>
      <c r="AC849" s="46"/>
      <c r="AD849" s="46"/>
      <c r="AE849" s="46"/>
      <c r="AF849" s="46"/>
    </row>
    <row r="850" spans="1:32" s="48" customFormat="1" ht="14.25" customHeight="1" x14ac:dyDescent="0.25">
      <c r="A850" s="46"/>
      <c r="B850" s="46"/>
      <c r="C850" s="46"/>
      <c r="D850" s="46"/>
      <c r="E850" s="47"/>
      <c r="F850" s="47"/>
      <c r="G850" s="47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  <c r="AA850" s="46"/>
      <c r="AB850" s="46"/>
      <c r="AC850" s="46"/>
      <c r="AD850" s="46"/>
      <c r="AE850" s="46"/>
      <c r="AF850" s="46"/>
    </row>
    <row r="851" spans="1:32" s="48" customFormat="1" ht="14.25" customHeight="1" x14ac:dyDescent="0.25">
      <c r="A851" s="46"/>
      <c r="B851" s="46"/>
      <c r="C851" s="46"/>
      <c r="D851" s="46"/>
      <c r="E851" s="47"/>
      <c r="F851" s="47"/>
      <c r="G851" s="47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  <c r="AA851" s="46"/>
      <c r="AB851" s="46"/>
      <c r="AC851" s="46"/>
      <c r="AD851" s="46"/>
      <c r="AE851" s="46"/>
      <c r="AF851" s="46"/>
    </row>
    <row r="852" spans="1:32" s="48" customFormat="1" ht="14.25" customHeight="1" x14ac:dyDescent="0.25">
      <c r="A852" s="46"/>
      <c r="B852" s="46"/>
      <c r="C852" s="46"/>
      <c r="D852" s="46"/>
      <c r="E852" s="47"/>
      <c r="F852" s="47"/>
      <c r="G852" s="47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  <c r="AA852" s="46"/>
      <c r="AB852" s="46"/>
      <c r="AC852" s="46"/>
      <c r="AD852" s="46"/>
      <c r="AE852" s="46"/>
      <c r="AF852" s="46"/>
    </row>
    <row r="853" spans="1:32" s="48" customFormat="1" ht="14.25" customHeight="1" x14ac:dyDescent="0.25">
      <c r="A853" s="46"/>
      <c r="B853" s="46"/>
      <c r="C853" s="46"/>
      <c r="D853" s="46"/>
      <c r="E853" s="47"/>
      <c r="F853" s="47"/>
      <c r="G853" s="47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  <c r="AA853" s="46"/>
      <c r="AB853" s="46"/>
      <c r="AC853" s="46"/>
      <c r="AD853" s="46"/>
      <c r="AE853" s="46"/>
      <c r="AF853" s="46"/>
    </row>
    <row r="854" spans="1:32" s="48" customFormat="1" ht="14.25" customHeight="1" x14ac:dyDescent="0.25">
      <c r="A854" s="46"/>
      <c r="B854" s="46"/>
      <c r="C854" s="46"/>
      <c r="D854" s="46"/>
      <c r="E854" s="47"/>
      <c r="F854" s="47"/>
      <c r="G854" s="47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  <c r="AA854" s="46"/>
      <c r="AB854" s="46"/>
      <c r="AC854" s="46"/>
      <c r="AD854" s="46"/>
      <c r="AE854" s="46"/>
      <c r="AF854" s="46"/>
    </row>
    <row r="855" spans="1:32" s="48" customFormat="1" ht="14.25" customHeight="1" x14ac:dyDescent="0.25">
      <c r="A855" s="46"/>
      <c r="B855" s="46"/>
      <c r="C855" s="46"/>
      <c r="D855" s="46"/>
      <c r="E855" s="47"/>
      <c r="F855" s="47"/>
      <c r="G855" s="47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  <c r="AA855" s="46"/>
      <c r="AB855" s="46"/>
      <c r="AC855" s="46"/>
      <c r="AD855" s="46"/>
      <c r="AE855" s="46"/>
      <c r="AF855" s="46"/>
    </row>
    <row r="856" spans="1:32" s="48" customFormat="1" ht="14.25" customHeight="1" x14ac:dyDescent="0.25">
      <c r="A856" s="46"/>
      <c r="B856" s="46"/>
      <c r="C856" s="46"/>
      <c r="D856" s="46"/>
      <c r="E856" s="47"/>
      <c r="F856" s="47"/>
      <c r="G856" s="47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  <c r="AA856" s="46"/>
      <c r="AB856" s="46"/>
      <c r="AC856" s="46"/>
      <c r="AD856" s="46"/>
      <c r="AE856" s="46"/>
      <c r="AF856" s="46"/>
    </row>
    <row r="857" spans="1:32" s="48" customFormat="1" ht="14.25" customHeight="1" x14ac:dyDescent="0.25">
      <c r="A857" s="46"/>
      <c r="B857" s="46"/>
      <c r="C857" s="46"/>
      <c r="D857" s="46"/>
      <c r="E857" s="47"/>
      <c r="F857" s="47"/>
      <c r="G857" s="47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  <c r="AA857" s="46"/>
      <c r="AB857" s="46"/>
      <c r="AC857" s="46"/>
      <c r="AD857" s="46"/>
      <c r="AE857" s="46"/>
      <c r="AF857" s="46"/>
    </row>
    <row r="858" spans="1:32" s="48" customFormat="1" ht="14.25" customHeight="1" x14ac:dyDescent="0.25">
      <c r="A858" s="46"/>
      <c r="B858" s="46"/>
      <c r="C858" s="46"/>
      <c r="D858" s="46"/>
      <c r="E858" s="47"/>
      <c r="F858" s="47"/>
      <c r="G858" s="47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  <c r="AA858" s="46"/>
      <c r="AB858" s="46"/>
      <c r="AC858" s="46"/>
      <c r="AD858" s="46"/>
      <c r="AE858" s="46"/>
      <c r="AF858" s="46"/>
    </row>
    <row r="859" spans="1:32" s="48" customFormat="1" ht="14.25" customHeight="1" x14ac:dyDescent="0.25">
      <c r="A859" s="46"/>
      <c r="B859" s="46"/>
      <c r="C859" s="46"/>
      <c r="D859" s="46"/>
      <c r="E859" s="47"/>
      <c r="F859" s="47"/>
      <c r="G859" s="47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  <c r="AA859" s="46"/>
      <c r="AB859" s="46"/>
      <c r="AC859" s="46"/>
      <c r="AD859" s="46"/>
      <c r="AE859" s="46"/>
      <c r="AF859" s="46"/>
    </row>
    <row r="860" spans="1:32" s="48" customFormat="1" ht="14.25" customHeight="1" x14ac:dyDescent="0.25">
      <c r="A860" s="46"/>
      <c r="B860" s="46"/>
      <c r="C860" s="46"/>
      <c r="D860" s="46"/>
      <c r="E860" s="47"/>
      <c r="F860" s="47"/>
      <c r="G860" s="47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  <c r="AA860" s="46"/>
      <c r="AB860" s="46"/>
      <c r="AC860" s="46"/>
      <c r="AD860" s="46"/>
      <c r="AE860" s="46"/>
      <c r="AF860" s="46"/>
    </row>
    <row r="861" spans="1:32" s="48" customFormat="1" ht="14.25" customHeight="1" x14ac:dyDescent="0.25">
      <c r="A861" s="46"/>
      <c r="B861" s="46"/>
      <c r="C861" s="46"/>
      <c r="D861" s="46"/>
      <c r="E861" s="47"/>
      <c r="F861" s="47"/>
      <c r="G861" s="47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  <c r="AA861" s="46"/>
      <c r="AB861" s="46"/>
      <c r="AC861" s="46"/>
      <c r="AD861" s="46"/>
      <c r="AE861" s="46"/>
      <c r="AF861" s="46"/>
    </row>
    <row r="862" spans="1:32" s="48" customFormat="1" ht="14.25" customHeight="1" x14ac:dyDescent="0.25">
      <c r="A862" s="46"/>
      <c r="B862" s="46"/>
      <c r="C862" s="46"/>
      <c r="D862" s="46"/>
      <c r="E862" s="47"/>
      <c r="F862" s="47"/>
      <c r="G862" s="47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  <c r="AA862" s="46"/>
      <c r="AB862" s="46"/>
      <c r="AC862" s="46"/>
      <c r="AD862" s="46"/>
      <c r="AE862" s="46"/>
      <c r="AF862" s="46"/>
    </row>
    <row r="863" spans="1:32" s="48" customFormat="1" ht="14.25" customHeight="1" x14ac:dyDescent="0.25">
      <c r="A863" s="46"/>
      <c r="B863" s="46"/>
      <c r="C863" s="46"/>
      <c r="D863" s="46"/>
      <c r="E863" s="47"/>
      <c r="F863" s="47"/>
      <c r="G863" s="47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  <c r="AA863" s="46"/>
      <c r="AB863" s="46"/>
      <c r="AC863" s="46"/>
      <c r="AD863" s="46"/>
      <c r="AE863" s="46"/>
      <c r="AF863" s="46"/>
    </row>
    <row r="864" spans="1:32" s="48" customFormat="1" ht="14.25" customHeight="1" x14ac:dyDescent="0.25">
      <c r="A864" s="46"/>
      <c r="B864" s="46"/>
      <c r="C864" s="46"/>
      <c r="D864" s="46"/>
      <c r="E864" s="47"/>
      <c r="F864" s="47"/>
      <c r="G864" s="47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  <c r="AA864" s="46"/>
      <c r="AB864" s="46"/>
      <c r="AC864" s="46"/>
      <c r="AD864" s="46"/>
      <c r="AE864" s="46"/>
      <c r="AF864" s="46"/>
    </row>
    <row r="865" spans="1:32" s="48" customFormat="1" ht="14.25" customHeight="1" x14ac:dyDescent="0.25">
      <c r="A865" s="46"/>
      <c r="B865" s="46"/>
      <c r="C865" s="46"/>
      <c r="D865" s="46"/>
      <c r="E865" s="47"/>
      <c r="F865" s="47"/>
      <c r="G865" s="47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  <c r="AA865" s="46"/>
      <c r="AB865" s="46"/>
      <c r="AC865" s="46"/>
      <c r="AD865" s="46"/>
      <c r="AE865" s="46"/>
      <c r="AF865" s="46"/>
    </row>
    <row r="866" spans="1:32" s="48" customFormat="1" ht="14.25" customHeight="1" x14ac:dyDescent="0.25">
      <c r="A866" s="46"/>
      <c r="B866" s="46"/>
      <c r="C866" s="46"/>
      <c r="D866" s="46"/>
      <c r="E866" s="47"/>
      <c r="F866" s="47"/>
      <c r="G866" s="47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  <c r="AA866" s="46"/>
      <c r="AB866" s="46"/>
      <c r="AC866" s="46"/>
      <c r="AD866" s="46"/>
      <c r="AE866" s="46"/>
      <c r="AF866" s="46"/>
    </row>
    <row r="867" spans="1:32" s="48" customFormat="1" ht="14.25" customHeight="1" x14ac:dyDescent="0.25">
      <c r="A867" s="46"/>
      <c r="B867" s="46"/>
      <c r="C867" s="46"/>
      <c r="D867" s="46"/>
      <c r="E867" s="47"/>
      <c r="F867" s="47"/>
      <c r="G867" s="47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  <c r="AA867" s="46"/>
      <c r="AB867" s="46"/>
      <c r="AC867" s="46"/>
      <c r="AD867" s="46"/>
      <c r="AE867" s="46"/>
      <c r="AF867" s="46"/>
    </row>
    <row r="868" spans="1:32" s="48" customFormat="1" ht="14.25" customHeight="1" x14ac:dyDescent="0.25">
      <c r="A868" s="46"/>
      <c r="B868" s="46"/>
      <c r="C868" s="46"/>
      <c r="D868" s="46"/>
      <c r="E868" s="47"/>
      <c r="F868" s="47"/>
      <c r="G868" s="47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  <c r="AA868" s="46"/>
      <c r="AB868" s="46"/>
      <c r="AC868" s="46"/>
      <c r="AD868" s="46"/>
      <c r="AE868" s="46"/>
      <c r="AF868" s="46"/>
    </row>
    <row r="869" spans="1:32" s="48" customFormat="1" ht="14.25" customHeight="1" x14ac:dyDescent="0.25">
      <c r="A869" s="46"/>
      <c r="B869" s="46"/>
      <c r="C869" s="46"/>
      <c r="D869" s="46"/>
      <c r="E869" s="47"/>
      <c r="F869" s="47"/>
      <c r="G869" s="47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  <c r="AA869" s="46"/>
      <c r="AB869" s="46"/>
      <c r="AC869" s="46"/>
      <c r="AD869" s="46"/>
      <c r="AE869" s="46"/>
      <c r="AF869" s="46"/>
    </row>
    <row r="870" spans="1:32" s="48" customFormat="1" ht="14.25" customHeight="1" x14ac:dyDescent="0.25">
      <c r="A870" s="46"/>
      <c r="B870" s="46"/>
      <c r="C870" s="46"/>
      <c r="D870" s="46"/>
      <c r="E870" s="47"/>
      <c r="F870" s="47"/>
      <c r="G870" s="47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  <c r="AA870" s="46"/>
      <c r="AB870" s="46"/>
      <c r="AC870" s="46"/>
      <c r="AD870" s="46"/>
      <c r="AE870" s="46"/>
      <c r="AF870" s="46"/>
    </row>
    <row r="871" spans="1:32" s="48" customFormat="1" ht="14.25" customHeight="1" x14ac:dyDescent="0.25">
      <c r="A871" s="46"/>
      <c r="B871" s="46"/>
      <c r="C871" s="46"/>
      <c r="D871" s="46"/>
      <c r="E871" s="47"/>
      <c r="F871" s="47"/>
      <c r="G871" s="47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  <c r="AA871" s="46"/>
      <c r="AB871" s="46"/>
      <c r="AC871" s="46"/>
      <c r="AD871" s="46"/>
      <c r="AE871" s="46"/>
      <c r="AF871" s="46"/>
    </row>
    <row r="872" spans="1:32" s="48" customFormat="1" ht="14.25" customHeight="1" x14ac:dyDescent="0.25">
      <c r="A872" s="46"/>
      <c r="B872" s="46"/>
      <c r="C872" s="46"/>
      <c r="D872" s="46"/>
      <c r="E872" s="47"/>
      <c r="F872" s="47"/>
      <c r="G872" s="47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  <c r="AA872" s="46"/>
      <c r="AB872" s="46"/>
      <c r="AC872" s="46"/>
      <c r="AD872" s="46"/>
      <c r="AE872" s="46"/>
      <c r="AF872" s="46"/>
    </row>
    <row r="873" spans="1:32" s="48" customFormat="1" ht="14.25" customHeight="1" x14ac:dyDescent="0.25">
      <c r="A873" s="46"/>
      <c r="B873" s="46"/>
      <c r="C873" s="46"/>
      <c r="D873" s="46"/>
      <c r="E873" s="47"/>
      <c r="F873" s="47"/>
      <c r="G873" s="47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  <c r="AA873" s="46"/>
      <c r="AB873" s="46"/>
      <c r="AC873" s="46"/>
      <c r="AD873" s="46"/>
      <c r="AE873" s="46"/>
      <c r="AF873" s="46"/>
    </row>
    <row r="874" spans="1:32" s="48" customFormat="1" ht="14.25" customHeight="1" x14ac:dyDescent="0.25">
      <c r="A874" s="46"/>
      <c r="B874" s="46"/>
      <c r="C874" s="46"/>
      <c r="D874" s="46"/>
      <c r="E874" s="47"/>
      <c r="F874" s="47"/>
      <c r="G874" s="47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  <c r="AA874" s="46"/>
      <c r="AB874" s="46"/>
      <c r="AC874" s="46"/>
      <c r="AD874" s="46"/>
      <c r="AE874" s="46"/>
      <c r="AF874" s="46"/>
    </row>
    <row r="875" spans="1:32" s="48" customFormat="1" ht="14.25" customHeight="1" x14ac:dyDescent="0.25">
      <c r="A875" s="46"/>
      <c r="B875" s="46"/>
      <c r="C875" s="46"/>
      <c r="D875" s="46"/>
      <c r="E875" s="47"/>
      <c r="F875" s="47"/>
      <c r="G875" s="47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  <c r="AA875" s="46"/>
      <c r="AB875" s="46"/>
      <c r="AC875" s="46"/>
      <c r="AD875" s="46"/>
      <c r="AE875" s="46"/>
      <c r="AF875" s="46"/>
    </row>
    <row r="876" spans="1:32" s="48" customFormat="1" ht="14.25" customHeight="1" x14ac:dyDescent="0.25">
      <c r="A876" s="46"/>
      <c r="B876" s="46"/>
      <c r="C876" s="46"/>
      <c r="D876" s="46"/>
      <c r="E876" s="47"/>
      <c r="F876" s="47"/>
      <c r="G876" s="47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  <c r="AA876" s="46"/>
      <c r="AB876" s="46"/>
      <c r="AC876" s="46"/>
      <c r="AD876" s="46"/>
      <c r="AE876" s="46"/>
      <c r="AF876" s="46"/>
    </row>
    <row r="877" spans="1:32" s="48" customFormat="1" ht="14.25" customHeight="1" x14ac:dyDescent="0.25">
      <c r="A877" s="46"/>
      <c r="B877" s="46"/>
      <c r="C877" s="46"/>
      <c r="D877" s="46"/>
      <c r="E877" s="47"/>
      <c r="F877" s="47"/>
      <c r="G877" s="47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  <c r="AA877" s="46"/>
      <c r="AB877" s="46"/>
      <c r="AC877" s="46"/>
      <c r="AD877" s="46"/>
      <c r="AE877" s="46"/>
      <c r="AF877" s="46"/>
    </row>
    <row r="878" spans="1:32" s="48" customFormat="1" ht="14.25" customHeight="1" x14ac:dyDescent="0.25">
      <c r="A878" s="46"/>
      <c r="B878" s="46"/>
      <c r="C878" s="46"/>
      <c r="D878" s="46"/>
      <c r="E878" s="47"/>
      <c r="F878" s="47"/>
      <c r="G878" s="47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  <c r="AA878" s="46"/>
      <c r="AB878" s="46"/>
      <c r="AC878" s="46"/>
      <c r="AD878" s="46"/>
      <c r="AE878" s="46"/>
      <c r="AF878" s="46"/>
    </row>
    <row r="879" spans="1:32" s="48" customFormat="1" ht="14.25" customHeight="1" x14ac:dyDescent="0.25">
      <c r="A879" s="46"/>
      <c r="B879" s="46"/>
      <c r="C879" s="46"/>
      <c r="D879" s="46"/>
      <c r="E879" s="47"/>
      <c r="F879" s="47"/>
      <c r="G879" s="47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  <c r="AA879" s="46"/>
      <c r="AB879" s="46"/>
      <c r="AC879" s="46"/>
      <c r="AD879" s="46"/>
      <c r="AE879" s="46"/>
      <c r="AF879" s="46"/>
    </row>
    <row r="880" spans="1:32" s="48" customFormat="1" ht="14.25" customHeight="1" x14ac:dyDescent="0.25">
      <c r="A880" s="46"/>
      <c r="B880" s="46"/>
      <c r="C880" s="46"/>
      <c r="D880" s="46"/>
      <c r="E880" s="47"/>
      <c r="F880" s="47"/>
      <c r="G880" s="47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  <c r="AA880" s="46"/>
      <c r="AB880" s="46"/>
      <c r="AC880" s="46"/>
      <c r="AD880" s="46"/>
      <c r="AE880" s="46"/>
      <c r="AF880" s="46"/>
    </row>
    <row r="881" spans="1:32" s="48" customFormat="1" ht="14.25" customHeight="1" x14ac:dyDescent="0.25">
      <c r="A881" s="46"/>
      <c r="B881" s="46"/>
      <c r="C881" s="46"/>
      <c r="D881" s="46"/>
      <c r="E881" s="47"/>
      <c r="F881" s="47"/>
      <c r="G881" s="47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  <c r="AA881" s="46"/>
      <c r="AB881" s="46"/>
      <c r="AC881" s="46"/>
      <c r="AD881" s="46"/>
      <c r="AE881" s="46"/>
      <c r="AF881" s="46"/>
    </row>
    <row r="882" spans="1:32" s="48" customFormat="1" ht="14.25" customHeight="1" x14ac:dyDescent="0.25">
      <c r="A882" s="46"/>
      <c r="B882" s="46"/>
      <c r="C882" s="46"/>
      <c r="D882" s="46"/>
      <c r="E882" s="47"/>
      <c r="F882" s="47"/>
      <c r="G882" s="47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  <c r="AA882" s="46"/>
      <c r="AB882" s="46"/>
      <c r="AC882" s="46"/>
      <c r="AD882" s="46"/>
      <c r="AE882" s="46"/>
      <c r="AF882" s="46"/>
    </row>
    <row r="883" spans="1:32" s="48" customFormat="1" ht="14.25" customHeight="1" x14ac:dyDescent="0.25">
      <c r="A883" s="46"/>
      <c r="B883" s="46"/>
      <c r="C883" s="46"/>
      <c r="D883" s="46"/>
      <c r="E883" s="47"/>
      <c r="F883" s="47"/>
      <c r="G883" s="47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  <c r="AA883" s="46"/>
      <c r="AB883" s="46"/>
      <c r="AC883" s="46"/>
      <c r="AD883" s="46"/>
      <c r="AE883" s="46"/>
      <c r="AF883" s="46"/>
    </row>
    <row r="884" spans="1:32" s="48" customFormat="1" ht="14.25" customHeight="1" x14ac:dyDescent="0.25">
      <c r="A884" s="46"/>
      <c r="B884" s="46"/>
      <c r="C884" s="46"/>
      <c r="D884" s="46"/>
      <c r="E884" s="47"/>
      <c r="F884" s="47"/>
      <c r="G884" s="47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  <c r="AA884" s="46"/>
      <c r="AB884" s="46"/>
      <c r="AC884" s="46"/>
      <c r="AD884" s="46"/>
      <c r="AE884" s="46"/>
      <c r="AF884" s="46"/>
    </row>
    <row r="885" spans="1:32" s="48" customFormat="1" ht="14.25" customHeight="1" x14ac:dyDescent="0.25">
      <c r="A885" s="46"/>
      <c r="B885" s="46"/>
      <c r="C885" s="46"/>
      <c r="D885" s="46"/>
      <c r="E885" s="47"/>
      <c r="F885" s="47"/>
      <c r="G885" s="47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  <c r="AA885" s="46"/>
      <c r="AB885" s="46"/>
      <c r="AC885" s="46"/>
      <c r="AD885" s="46"/>
      <c r="AE885" s="46"/>
      <c r="AF885" s="46"/>
    </row>
    <row r="886" spans="1:32" s="48" customFormat="1" ht="14.25" customHeight="1" x14ac:dyDescent="0.25">
      <c r="A886" s="46"/>
      <c r="B886" s="46"/>
      <c r="C886" s="46"/>
      <c r="D886" s="46"/>
      <c r="E886" s="47"/>
      <c r="F886" s="47"/>
      <c r="G886" s="47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  <c r="AA886" s="46"/>
      <c r="AB886" s="46"/>
      <c r="AC886" s="46"/>
      <c r="AD886" s="46"/>
      <c r="AE886" s="46"/>
      <c r="AF886" s="46"/>
    </row>
    <row r="887" spans="1:32" s="48" customFormat="1" ht="14.25" customHeight="1" x14ac:dyDescent="0.25">
      <c r="A887" s="46"/>
      <c r="B887" s="46"/>
      <c r="C887" s="46"/>
      <c r="D887" s="46"/>
      <c r="E887" s="47"/>
      <c r="F887" s="47"/>
      <c r="G887" s="47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</row>
    <row r="888" spans="1:32" s="48" customFormat="1" ht="14.25" customHeight="1" x14ac:dyDescent="0.25">
      <c r="A888" s="46"/>
      <c r="B888" s="46"/>
      <c r="C888" s="46"/>
      <c r="D888" s="46"/>
      <c r="E888" s="47"/>
      <c r="F888" s="47"/>
      <c r="G888" s="47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  <c r="AA888" s="46"/>
      <c r="AB888" s="46"/>
      <c r="AC888" s="46"/>
      <c r="AD888" s="46"/>
      <c r="AE888" s="46"/>
      <c r="AF888" s="46"/>
    </row>
    <row r="889" spans="1:32" s="48" customFormat="1" ht="14.25" customHeight="1" x14ac:dyDescent="0.25">
      <c r="A889" s="46"/>
      <c r="B889" s="46"/>
      <c r="C889" s="46"/>
      <c r="D889" s="46"/>
      <c r="E889" s="47"/>
      <c r="F889" s="47"/>
      <c r="G889" s="47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  <c r="AA889" s="46"/>
      <c r="AB889" s="46"/>
      <c r="AC889" s="46"/>
      <c r="AD889" s="46"/>
      <c r="AE889" s="46"/>
      <c r="AF889" s="46"/>
    </row>
    <row r="890" spans="1:32" s="48" customFormat="1" ht="14.25" customHeight="1" x14ac:dyDescent="0.25">
      <c r="A890" s="46"/>
      <c r="B890" s="46"/>
      <c r="C890" s="46"/>
      <c r="D890" s="46"/>
      <c r="E890" s="47"/>
      <c r="F890" s="47"/>
      <c r="G890" s="47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  <c r="AA890" s="46"/>
      <c r="AB890" s="46"/>
      <c r="AC890" s="46"/>
      <c r="AD890" s="46"/>
      <c r="AE890" s="46"/>
      <c r="AF890" s="46"/>
    </row>
    <row r="891" spans="1:32" s="48" customFormat="1" ht="14.25" customHeight="1" x14ac:dyDescent="0.25">
      <c r="A891" s="46"/>
      <c r="B891" s="46"/>
      <c r="C891" s="46"/>
      <c r="D891" s="46"/>
      <c r="E891" s="47"/>
      <c r="F891" s="47"/>
      <c r="G891" s="47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  <c r="AA891" s="46"/>
      <c r="AB891" s="46"/>
      <c r="AC891" s="46"/>
      <c r="AD891" s="46"/>
      <c r="AE891" s="46"/>
      <c r="AF891" s="46"/>
    </row>
    <row r="892" spans="1:32" s="48" customFormat="1" ht="14.25" customHeight="1" x14ac:dyDescent="0.25">
      <c r="A892" s="46"/>
      <c r="B892" s="46"/>
      <c r="C892" s="46"/>
      <c r="D892" s="46"/>
      <c r="E892" s="47"/>
      <c r="F892" s="47"/>
      <c r="G892" s="47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  <c r="AA892" s="46"/>
      <c r="AB892" s="46"/>
      <c r="AC892" s="46"/>
      <c r="AD892" s="46"/>
      <c r="AE892" s="46"/>
      <c r="AF892" s="46"/>
    </row>
    <row r="893" spans="1:32" s="48" customFormat="1" ht="14.25" customHeight="1" x14ac:dyDescent="0.25">
      <c r="A893" s="46"/>
      <c r="B893" s="46"/>
      <c r="C893" s="46"/>
      <c r="D893" s="46"/>
      <c r="E893" s="47"/>
      <c r="F893" s="47"/>
      <c r="G893" s="47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  <c r="AA893" s="46"/>
      <c r="AB893" s="46"/>
      <c r="AC893" s="46"/>
      <c r="AD893" s="46"/>
      <c r="AE893" s="46"/>
      <c r="AF893" s="46"/>
    </row>
    <row r="894" spans="1:32" s="48" customFormat="1" ht="14.25" customHeight="1" x14ac:dyDescent="0.25">
      <c r="A894" s="46"/>
      <c r="B894" s="46"/>
      <c r="C894" s="46"/>
      <c r="D894" s="46"/>
      <c r="E894" s="47"/>
      <c r="F894" s="47"/>
      <c r="G894" s="47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  <c r="AA894" s="46"/>
      <c r="AB894" s="46"/>
      <c r="AC894" s="46"/>
      <c r="AD894" s="46"/>
      <c r="AE894" s="46"/>
      <c r="AF894" s="46"/>
    </row>
    <row r="895" spans="1:32" s="48" customFormat="1" ht="14.25" customHeight="1" x14ac:dyDescent="0.25">
      <c r="A895" s="46"/>
      <c r="B895" s="46"/>
      <c r="C895" s="46"/>
      <c r="D895" s="46"/>
      <c r="E895" s="47"/>
      <c r="F895" s="47"/>
      <c r="G895" s="47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  <c r="AA895" s="46"/>
      <c r="AB895" s="46"/>
      <c r="AC895" s="46"/>
      <c r="AD895" s="46"/>
      <c r="AE895" s="46"/>
      <c r="AF895" s="46"/>
    </row>
    <row r="896" spans="1:32" s="48" customFormat="1" ht="14.25" customHeight="1" x14ac:dyDescent="0.25">
      <c r="A896" s="46"/>
      <c r="B896" s="46"/>
      <c r="C896" s="46"/>
      <c r="D896" s="46"/>
      <c r="E896" s="47"/>
      <c r="F896" s="47"/>
      <c r="G896" s="47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  <c r="AA896" s="46"/>
      <c r="AB896" s="46"/>
      <c r="AC896" s="46"/>
      <c r="AD896" s="46"/>
      <c r="AE896" s="46"/>
      <c r="AF896" s="46"/>
    </row>
    <row r="897" spans="1:32" s="48" customFormat="1" ht="14.25" customHeight="1" x14ac:dyDescent="0.25">
      <c r="A897" s="46"/>
      <c r="B897" s="46"/>
      <c r="C897" s="46"/>
      <c r="D897" s="46"/>
      <c r="E897" s="47"/>
      <c r="F897" s="47"/>
      <c r="G897" s="47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  <c r="AA897" s="46"/>
      <c r="AB897" s="46"/>
      <c r="AC897" s="46"/>
      <c r="AD897" s="46"/>
      <c r="AE897" s="46"/>
      <c r="AF897" s="46"/>
    </row>
    <row r="898" spans="1:32" s="48" customFormat="1" ht="14.25" customHeight="1" x14ac:dyDescent="0.25">
      <c r="A898" s="46"/>
      <c r="B898" s="46"/>
      <c r="C898" s="46"/>
      <c r="D898" s="46"/>
      <c r="E898" s="47"/>
      <c r="F898" s="47"/>
      <c r="G898" s="47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  <c r="AA898" s="46"/>
      <c r="AB898" s="46"/>
      <c r="AC898" s="46"/>
      <c r="AD898" s="46"/>
      <c r="AE898" s="46"/>
      <c r="AF898" s="46"/>
    </row>
    <row r="899" spans="1:32" s="48" customFormat="1" ht="14.25" customHeight="1" x14ac:dyDescent="0.25">
      <c r="A899" s="46"/>
      <c r="B899" s="46"/>
      <c r="C899" s="46"/>
      <c r="D899" s="46"/>
      <c r="E899" s="47"/>
      <c r="F899" s="47"/>
      <c r="G899" s="47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  <c r="AA899" s="46"/>
      <c r="AB899" s="46"/>
      <c r="AC899" s="46"/>
      <c r="AD899" s="46"/>
      <c r="AE899" s="46"/>
      <c r="AF899" s="46"/>
    </row>
    <row r="900" spans="1:32" s="48" customFormat="1" ht="14.25" customHeight="1" x14ac:dyDescent="0.25">
      <c r="A900" s="46"/>
      <c r="B900" s="46"/>
      <c r="C900" s="46"/>
      <c r="D900" s="46"/>
      <c r="E900" s="47"/>
      <c r="F900" s="47"/>
      <c r="G900" s="47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  <c r="AA900" s="46"/>
      <c r="AB900" s="46"/>
      <c r="AC900" s="46"/>
      <c r="AD900" s="46"/>
      <c r="AE900" s="46"/>
      <c r="AF900" s="46"/>
    </row>
    <row r="901" spans="1:32" s="48" customFormat="1" ht="14.25" customHeight="1" x14ac:dyDescent="0.25">
      <c r="A901" s="46"/>
      <c r="B901" s="46"/>
      <c r="C901" s="46"/>
      <c r="D901" s="46"/>
      <c r="E901" s="47"/>
      <c r="F901" s="47"/>
      <c r="G901" s="47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  <c r="AA901" s="46"/>
      <c r="AB901" s="46"/>
      <c r="AC901" s="46"/>
      <c r="AD901" s="46"/>
      <c r="AE901" s="46"/>
      <c r="AF901" s="46"/>
    </row>
    <row r="902" spans="1:32" s="48" customFormat="1" ht="14.25" customHeight="1" x14ac:dyDescent="0.25">
      <c r="A902" s="46"/>
      <c r="B902" s="46"/>
      <c r="C902" s="46"/>
      <c r="D902" s="46"/>
      <c r="E902" s="47"/>
      <c r="F902" s="47"/>
      <c r="G902" s="47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  <c r="AA902" s="46"/>
      <c r="AB902" s="46"/>
      <c r="AC902" s="46"/>
      <c r="AD902" s="46"/>
      <c r="AE902" s="46"/>
      <c r="AF902" s="46"/>
    </row>
    <row r="903" spans="1:32" s="48" customFormat="1" ht="14.25" customHeight="1" x14ac:dyDescent="0.25">
      <c r="A903" s="46"/>
      <c r="B903" s="46"/>
      <c r="C903" s="46"/>
      <c r="D903" s="46"/>
      <c r="E903" s="47"/>
      <c r="F903" s="47"/>
      <c r="G903" s="47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  <c r="AA903" s="46"/>
      <c r="AB903" s="46"/>
      <c r="AC903" s="46"/>
      <c r="AD903" s="46"/>
      <c r="AE903" s="46"/>
      <c r="AF903" s="46"/>
    </row>
    <row r="904" spans="1:32" s="48" customFormat="1" ht="14.25" customHeight="1" x14ac:dyDescent="0.25">
      <c r="A904" s="46"/>
      <c r="B904" s="46"/>
      <c r="C904" s="46"/>
      <c r="D904" s="46"/>
      <c r="E904" s="47"/>
      <c r="F904" s="47"/>
      <c r="G904" s="47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  <c r="AA904" s="46"/>
      <c r="AB904" s="46"/>
      <c r="AC904" s="46"/>
      <c r="AD904" s="46"/>
      <c r="AE904" s="46"/>
      <c r="AF904" s="46"/>
    </row>
    <row r="905" spans="1:32" s="48" customFormat="1" ht="14.25" customHeight="1" x14ac:dyDescent="0.25">
      <c r="A905" s="46"/>
      <c r="B905" s="46"/>
      <c r="C905" s="46"/>
      <c r="D905" s="46"/>
      <c r="E905" s="47"/>
      <c r="F905" s="47"/>
      <c r="G905" s="47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  <c r="AA905" s="46"/>
      <c r="AB905" s="46"/>
      <c r="AC905" s="46"/>
      <c r="AD905" s="46"/>
      <c r="AE905" s="46"/>
      <c r="AF905" s="46"/>
    </row>
    <row r="906" spans="1:32" s="48" customFormat="1" ht="14.25" customHeight="1" x14ac:dyDescent="0.25">
      <c r="A906" s="46"/>
      <c r="B906" s="46"/>
      <c r="C906" s="46"/>
      <c r="D906" s="46"/>
      <c r="E906" s="47"/>
      <c r="F906" s="47"/>
      <c r="G906" s="47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  <c r="AA906" s="46"/>
      <c r="AB906" s="46"/>
      <c r="AC906" s="46"/>
      <c r="AD906" s="46"/>
      <c r="AE906" s="46"/>
      <c r="AF906" s="46"/>
    </row>
    <row r="907" spans="1:32" s="48" customFormat="1" ht="14.25" customHeight="1" x14ac:dyDescent="0.25">
      <c r="A907" s="46"/>
      <c r="B907" s="46"/>
      <c r="C907" s="46"/>
      <c r="D907" s="46"/>
      <c r="E907" s="47"/>
      <c r="F907" s="47"/>
      <c r="G907" s="47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  <c r="AA907" s="46"/>
      <c r="AB907" s="46"/>
      <c r="AC907" s="46"/>
      <c r="AD907" s="46"/>
      <c r="AE907" s="46"/>
      <c r="AF907" s="46"/>
    </row>
    <row r="908" spans="1:32" s="48" customFormat="1" ht="14.25" customHeight="1" x14ac:dyDescent="0.25">
      <c r="A908" s="46"/>
      <c r="B908" s="46"/>
      <c r="C908" s="46"/>
      <c r="D908" s="46"/>
      <c r="E908" s="47"/>
      <c r="F908" s="47"/>
      <c r="G908" s="47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  <c r="AA908" s="46"/>
      <c r="AB908" s="46"/>
      <c r="AC908" s="46"/>
      <c r="AD908" s="46"/>
      <c r="AE908" s="46"/>
      <c r="AF908" s="46"/>
    </row>
    <row r="909" spans="1:32" s="48" customFormat="1" ht="14.25" customHeight="1" x14ac:dyDescent="0.25">
      <c r="A909" s="46"/>
      <c r="B909" s="46"/>
      <c r="C909" s="46"/>
      <c r="D909" s="46"/>
      <c r="E909" s="47"/>
      <c r="F909" s="47"/>
      <c r="G909" s="47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  <c r="AA909" s="46"/>
      <c r="AB909" s="46"/>
      <c r="AC909" s="46"/>
      <c r="AD909" s="46"/>
      <c r="AE909" s="46"/>
      <c r="AF909" s="46"/>
    </row>
    <row r="910" spans="1:32" s="48" customFormat="1" ht="14.25" customHeight="1" x14ac:dyDescent="0.25">
      <c r="A910" s="46"/>
      <c r="B910" s="46"/>
      <c r="C910" s="46"/>
      <c r="D910" s="46"/>
      <c r="E910" s="47"/>
      <c r="F910" s="47"/>
      <c r="G910" s="47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  <c r="AA910" s="46"/>
      <c r="AB910" s="46"/>
      <c r="AC910" s="46"/>
      <c r="AD910" s="46"/>
      <c r="AE910" s="46"/>
      <c r="AF910" s="46"/>
    </row>
    <row r="911" spans="1:32" s="48" customFormat="1" ht="14.25" customHeight="1" x14ac:dyDescent="0.25">
      <c r="A911" s="46"/>
      <c r="B911" s="46"/>
      <c r="C911" s="46"/>
      <c r="D911" s="46"/>
      <c r="E911" s="47"/>
      <c r="F911" s="47"/>
      <c r="G911" s="47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  <c r="AA911" s="46"/>
      <c r="AB911" s="46"/>
      <c r="AC911" s="46"/>
      <c r="AD911" s="46"/>
      <c r="AE911" s="46"/>
      <c r="AF911" s="46"/>
    </row>
    <row r="912" spans="1:32" s="48" customFormat="1" ht="14.25" customHeight="1" x14ac:dyDescent="0.25">
      <c r="A912" s="46"/>
      <c r="B912" s="46"/>
      <c r="C912" s="46"/>
      <c r="D912" s="46"/>
      <c r="E912" s="47"/>
      <c r="F912" s="47"/>
      <c r="G912" s="47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  <c r="AA912" s="46"/>
      <c r="AB912" s="46"/>
      <c r="AC912" s="46"/>
      <c r="AD912" s="46"/>
      <c r="AE912" s="46"/>
      <c r="AF912" s="46"/>
    </row>
    <row r="913" spans="1:32" s="48" customFormat="1" ht="14.25" customHeight="1" x14ac:dyDescent="0.25">
      <c r="A913" s="46"/>
      <c r="B913" s="46"/>
      <c r="C913" s="46"/>
      <c r="D913" s="46"/>
      <c r="E913" s="47"/>
      <c r="F913" s="47"/>
      <c r="G913" s="47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  <c r="AA913" s="46"/>
      <c r="AB913" s="46"/>
      <c r="AC913" s="46"/>
      <c r="AD913" s="46"/>
      <c r="AE913" s="46"/>
      <c r="AF913" s="46"/>
    </row>
    <row r="914" spans="1:32" s="48" customFormat="1" ht="14.25" customHeight="1" x14ac:dyDescent="0.25">
      <c r="A914" s="46"/>
      <c r="B914" s="46"/>
      <c r="C914" s="46"/>
      <c r="D914" s="46"/>
      <c r="E914" s="47"/>
      <c r="F914" s="47"/>
      <c r="G914" s="47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  <c r="AA914" s="46"/>
      <c r="AB914" s="46"/>
      <c r="AC914" s="46"/>
      <c r="AD914" s="46"/>
      <c r="AE914" s="46"/>
      <c r="AF914" s="46"/>
    </row>
    <row r="915" spans="1:32" s="48" customFormat="1" ht="14.25" customHeight="1" x14ac:dyDescent="0.25">
      <c r="A915" s="46"/>
      <c r="B915" s="46"/>
      <c r="C915" s="46"/>
      <c r="D915" s="46"/>
      <c r="E915" s="47"/>
      <c r="F915" s="47"/>
      <c r="G915" s="47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  <c r="AA915" s="46"/>
      <c r="AB915" s="46"/>
      <c r="AC915" s="46"/>
      <c r="AD915" s="46"/>
      <c r="AE915" s="46"/>
      <c r="AF915" s="46"/>
    </row>
    <row r="916" spans="1:32" s="48" customFormat="1" ht="14.25" customHeight="1" x14ac:dyDescent="0.25">
      <c r="A916" s="46"/>
      <c r="B916" s="46"/>
      <c r="C916" s="46"/>
      <c r="D916" s="46"/>
      <c r="E916" s="47"/>
      <c r="F916" s="47"/>
      <c r="G916" s="47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  <c r="AA916" s="46"/>
      <c r="AB916" s="46"/>
      <c r="AC916" s="46"/>
      <c r="AD916" s="46"/>
      <c r="AE916" s="46"/>
      <c r="AF916" s="46"/>
    </row>
    <row r="917" spans="1:32" s="48" customFormat="1" ht="14.25" customHeight="1" x14ac:dyDescent="0.25">
      <c r="A917" s="46"/>
      <c r="B917" s="46"/>
      <c r="C917" s="46"/>
      <c r="D917" s="46"/>
      <c r="E917" s="47"/>
      <c r="F917" s="47"/>
      <c r="G917" s="47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  <c r="AA917" s="46"/>
      <c r="AB917" s="46"/>
      <c r="AC917" s="46"/>
      <c r="AD917" s="46"/>
      <c r="AE917" s="46"/>
      <c r="AF917" s="46"/>
    </row>
    <row r="918" spans="1:32" s="48" customFormat="1" ht="14.25" customHeight="1" x14ac:dyDescent="0.25">
      <c r="A918" s="46"/>
      <c r="B918" s="46"/>
      <c r="C918" s="46"/>
      <c r="D918" s="46"/>
      <c r="E918" s="47"/>
      <c r="F918" s="47"/>
      <c r="G918" s="47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  <c r="AA918" s="46"/>
      <c r="AB918" s="46"/>
      <c r="AC918" s="46"/>
      <c r="AD918" s="46"/>
      <c r="AE918" s="46"/>
      <c r="AF918" s="46"/>
    </row>
    <row r="919" spans="1:32" s="48" customFormat="1" ht="14.25" customHeight="1" x14ac:dyDescent="0.25">
      <c r="A919" s="46"/>
      <c r="B919" s="46"/>
      <c r="C919" s="46"/>
      <c r="D919" s="46"/>
      <c r="E919" s="47"/>
      <c r="F919" s="47"/>
      <c r="G919" s="47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  <c r="AA919" s="46"/>
      <c r="AB919" s="46"/>
      <c r="AC919" s="46"/>
      <c r="AD919" s="46"/>
      <c r="AE919" s="46"/>
      <c r="AF919" s="46"/>
    </row>
    <row r="920" spans="1:32" s="48" customFormat="1" ht="14.25" customHeight="1" x14ac:dyDescent="0.25">
      <c r="A920" s="46"/>
      <c r="B920" s="46"/>
      <c r="C920" s="46"/>
      <c r="D920" s="46"/>
      <c r="E920" s="47"/>
      <c r="F920" s="47"/>
      <c r="G920" s="47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  <c r="AA920" s="46"/>
      <c r="AB920" s="46"/>
      <c r="AC920" s="46"/>
      <c r="AD920" s="46"/>
      <c r="AE920" s="46"/>
      <c r="AF920" s="46"/>
    </row>
    <row r="921" spans="1:32" s="48" customFormat="1" ht="14.25" customHeight="1" x14ac:dyDescent="0.25">
      <c r="A921" s="46"/>
      <c r="B921" s="46"/>
      <c r="C921" s="46"/>
      <c r="D921" s="46"/>
      <c r="E921" s="47"/>
      <c r="F921" s="47"/>
      <c r="G921" s="47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  <c r="AA921" s="46"/>
      <c r="AB921" s="46"/>
      <c r="AC921" s="46"/>
      <c r="AD921" s="46"/>
      <c r="AE921" s="46"/>
      <c r="AF921" s="46"/>
    </row>
    <row r="922" spans="1:32" s="48" customFormat="1" ht="14.25" customHeight="1" x14ac:dyDescent="0.25">
      <c r="A922" s="46"/>
      <c r="B922" s="46"/>
      <c r="C922" s="46"/>
      <c r="D922" s="46"/>
      <c r="E922" s="47"/>
      <c r="F922" s="47"/>
      <c r="G922" s="47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  <c r="AA922" s="46"/>
      <c r="AB922" s="46"/>
      <c r="AC922" s="46"/>
      <c r="AD922" s="46"/>
      <c r="AE922" s="46"/>
      <c r="AF922" s="46"/>
    </row>
    <row r="923" spans="1:32" s="48" customFormat="1" ht="14.25" customHeight="1" x14ac:dyDescent="0.25">
      <c r="A923" s="46"/>
      <c r="B923" s="46"/>
      <c r="C923" s="46"/>
      <c r="D923" s="46"/>
      <c r="E923" s="47"/>
      <c r="F923" s="47"/>
      <c r="G923" s="47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  <c r="AA923" s="46"/>
      <c r="AB923" s="46"/>
      <c r="AC923" s="46"/>
      <c r="AD923" s="46"/>
      <c r="AE923" s="46"/>
      <c r="AF923" s="46"/>
    </row>
    <row r="924" spans="1:32" s="48" customFormat="1" ht="14.25" customHeight="1" x14ac:dyDescent="0.25">
      <c r="A924" s="46"/>
      <c r="B924" s="46"/>
      <c r="C924" s="46"/>
      <c r="D924" s="46"/>
      <c r="E924" s="47"/>
      <c r="F924" s="47"/>
      <c r="G924" s="47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  <c r="AA924" s="46"/>
      <c r="AB924" s="46"/>
      <c r="AC924" s="46"/>
      <c r="AD924" s="46"/>
      <c r="AE924" s="46"/>
      <c r="AF924" s="46"/>
    </row>
    <row r="925" spans="1:32" s="48" customFormat="1" ht="14.25" customHeight="1" x14ac:dyDescent="0.25">
      <c r="A925" s="46"/>
      <c r="B925" s="46"/>
      <c r="C925" s="46"/>
      <c r="D925" s="46"/>
      <c r="E925" s="47"/>
      <c r="F925" s="47"/>
      <c r="G925" s="47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  <c r="AA925" s="46"/>
      <c r="AB925" s="46"/>
      <c r="AC925" s="46"/>
      <c r="AD925" s="46"/>
      <c r="AE925" s="46"/>
      <c r="AF925" s="46"/>
    </row>
    <row r="926" spans="1:32" s="48" customFormat="1" ht="14.25" customHeight="1" x14ac:dyDescent="0.25">
      <c r="A926" s="46"/>
      <c r="B926" s="46"/>
      <c r="C926" s="46"/>
      <c r="D926" s="46"/>
      <c r="E926" s="47"/>
      <c r="F926" s="47"/>
      <c r="G926" s="47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  <c r="AA926" s="46"/>
      <c r="AB926" s="46"/>
      <c r="AC926" s="46"/>
      <c r="AD926" s="46"/>
      <c r="AE926" s="46"/>
      <c r="AF926" s="46"/>
    </row>
    <row r="927" spans="1:32" s="48" customFormat="1" ht="14.25" customHeight="1" x14ac:dyDescent="0.25">
      <c r="A927" s="46"/>
      <c r="B927" s="46"/>
      <c r="C927" s="46"/>
      <c r="D927" s="46"/>
      <c r="E927" s="47"/>
      <c r="F927" s="47"/>
      <c r="G927" s="47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  <c r="AA927" s="46"/>
      <c r="AB927" s="46"/>
      <c r="AC927" s="46"/>
      <c r="AD927" s="46"/>
      <c r="AE927" s="46"/>
      <c r="AF927" s="46"/>
    </row>
    <row r="928" spans="1:32" s="48" customFormat="1" ht="14.25" customHeight="1" x14ac:dyDescent="0.25">
      <c r="A928" s="46"/>
      <c r="B928" s="46"/>
      <c r="C928" s="46"/>
      <c r="D928" s="46"/>
      <c r="E928" s="47"/>
      <c r="F928" s="47"/>
      <c r="G928" s="47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  <c r="AA928" s="46"/>
      <c r="AB928" s="46"/>
      <c r="AC928" s="46"/>
      <c r="AD928" s="46"/>
      <c r="AE928" s="46"/>
      <c r="AF928" s="46"/>
    </row>
    <row r="929" spans="1:32" s="48" customFormat="1" ht="14.25" customHeight="1" x14ac:dyDescent="0.25">
      <c r="A929" s="46"/>
      <c r="B929" s="46"/>
      <c r="C929" s="46"/>
      <c r="D929" s="46"/>
      <c r="E929" s="47"/>
      <c r="F929" s="47"/>
      <c r="G929" s="47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  <c r="AA929" s="46"/>
      <c r="AB929" s="46"/>
      <c r="AC929" s="46"/>
      <c r="AD929" s="46"/>
      <c r="AE929" s="46"/>
      <c r="AF929" s="46"/>
    </row>
    <row r="930" spans="1:32" s="48" customFormat="1" ht="14.25" customHeight="1" x14ac:dyDescent="0.25">
      <c r="A930" s="46"/>
      <c r="B930" s="46"/>
      <c r="C930" s="46"/>
      <c r="D930" s="46"/>
      <c r="E930" s="47"/>
      <c r="F930" s="47"/>
      <c r="G930" s="47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  <c r="AA930" s="46"/>
      <c r="AB930" s="46"/>
      <c r="AC930" s="46"/>
      <c r="AD930" s="46"/>
      <c r="AE930" s="46"/>
      <c r="AF930" s="46"/>
    </row>
    <row r="931" spans="1:32" s="48" customFormat="1" ht="14.25" customHeight="1" x14ac:dyDescent="0.25">
      <c r="A931" s="46"/>
      <c r="B931" s="46"/>
      <c r="C931" s="46"/>
      <c r="D931" s="46"/>
      <c r="E931" s="47"/>
      <c r="F931" s="47"/>
      <c r="G931" s="47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  <c r="AA931" s="46"/>
      <c r="AB931" s="46"/>
      <c r="AC931" s="46"/>
      <c r="AD931" s="46"/>
      <c r="AE931" s="46"/>
      <c r="AF931" s="46"/>
    </row>
    <row r="932" spans="1:32" s="48" customFormat="1" ht="14.25" customHeight="1" x14ac:dyDescent="0.25">
      <c r="A932" s="46"/>
      <c r="B932" s="46"/>
      <c r="C932" s="46"/>
      <c r="D932" s="46"/>
      <c r="E932" s="47"/>
      <c r="F932" s="47"/>
      <c r="G932" s="47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  <c r="AA932" s="46"/>
      <c r="AB932" s="46"/>
      <c r="AC932" s="46"/>
      <c r="AD932" s="46"/>
      <c r="AE932" s="46"/>
      <c r="AF932" s="46"/>
    </row>
    <row r="933" spans="1:32" s="48" customFormat="1" ht="14.25" customHeight="1" x14ac:dyDescent="0.25">
      <c r="A933" s="46"/>
      <c r="B933" s="46"/>
      <c r="C933" s="46"/>
      <c r="D933" s="46"/>
      <c r="E933" s="47"/>
      <c r="F933" s="47"/>
      <c r="G933" s="47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  <c r="AA933" s="46"/>
      <c r="AB933" s="46"/>
      <c r="AC933" s="46"/>
      <c r="AD933" s="46"/>
      <c r="AE933" s="46"/>
      <c r="AF933" s="46"/>
    </row>
    <row r="934" spans="1:32" s="48" customFormat="1" ht="14.25" customHeight="1" x14ac:dyDescent="0.25">
      <c r="A934" s="46"/>
      <c r="B934" s="46"/>
      <c r="C934" s="46"/>
      <c r="D934" s="46"/>
      <c r="E934" s="47"/>
      <c r="F934" s="47"/>
      <c r="G934" s="47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  <c r="AA934" s="46"/>
      <c r="AB934" s="46"/>
      <c r="AC934" s="46"/>
      <c r="AD934" s="46"/>
      <c r="AE934" s="46"/>
      <c r="AF934" s="46"/>
    </row>
    <row r="935" spans="1:32" s="48" customFormat="1" ht="14.25" customHeight="1" x14ac:dyDescent="0.25">
      <c r="A935" s="46"/>
      <c r="B935" s="46"/>
      <c r="C935" s="46"/>
      <c r="D935" s="46"/>
      <c r="E935" s="47"/>
      <c r="F935" s="47"/>
      <c r="G935" s="47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  <c r="AA935" s="46"/>
      <c r="AB935" s="46"/>
      <c r="AC935" s="46"/>
      <c r="AD935" s="46"/>
      <c r="AE935" s="46"/>
      <c r="AF935" s="46"/>
    </row>
    <row r="936" spans="1:32" s="48" customFormat="1" ht="14.25" customHeight="1" x14ac:dyDescent="0.25">
      <c r="A936" s="46"/>
      <c r="B936" s="46"/>
      <c r="C936" s="46"/>
      <c r="D936" s="46"/>
      <c r="E936" s="47"/>
      <c r="F936" s="47"/>
      <c r="G936" s="47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  <c r="AA936" s="46"/>
      <c r="AB936" s="46"/>
      <c r="AC936" s="46"/>
      <c r="AD936" s="46"/>
      <c r="AE936" s="46"/>
      <c r="AF936" s="46"/>
    </row>
    <row r="937" spans="1:32" s="48" customFormat="1" ht="14.25" customHeight="1" x14ac:dyDescent="0.25">
      <c r="A937" s="46"/>
      <c r="B937" s="46"/>
      <c r="C937" s="46"/>
      <c r="D937" s="46"/>
      <c r="E937" s="47"/>
      <c r="F937" s="47"/>
      <c r="G937" s="47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  <c r="AA937" s="46"/>
      <c r="AB937" s="46"/>
      <c r="AC937" s="46"/>
      <c r="AD937" s="46"/>
      <c r="AE937" s="46"/>
      <c r="AF937" s="46"/>
    </row>
    <row r="938" spans="1:32" s="48" customFormat="1" ht="14.25" customHeight="1" x14ac:dyDescent="0.25">
      <c r="A938" s="46"/>
      <c r="B938" s="46"/>
      <c r="C938" s="46"/>
      <c r="D938" s="46"/>
      <c r="E938" s="47"/>
      <c r="F938" s="47"/>
      <c r="G938" s="47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  <c r="AA938" s="46"/>
      <c r="AB938" s="46"/>
      <c r="AC938" s="46"/>
      <c r="AD938" s="46"/>
      <c r="AE938" s="46"/>
      <c r="AF938" s="46"/>
    </row>
    <row r="939" spans="1:32" s="48" customFormat="1" ht="14.25" customHeight="1" x14ac:dyDescent="0.25">
      <c r="A939" s="46"/>
      <c r="B939" s="46"/>
      <c r="C939" s="46"/>
      <c r="D939" s="46"/>
      <c r="E939" s="47"/>
      <c r="F939" s="47"/>
      <c r="G939" s="47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  <c r="AA939" s="46"/>
      <c r="AB939" s="46"/>
      <c r="AC939" s="46"/>
      <c r="AD939" s="46"/>
      <c r="AE939" s="46"/>
      <c r="AF939" s="46"/>
    </row>
    <row r="940" spans="1:32" s="48" customFormat="1" ht="14.25" customHeight="1" x14ac:dyDescent="0.25">
      <c r="A940" s="46"/>
      <c r="B940" s="46"/>
      <c r="C940" s="46"/>
      <c r="D940" s="46"/>
      <c r="E940" s="47"/>
      <c r="F940" s="47"/>
      <c r="G940" s="47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  <c r="AA940" s="46"/>
      <c r="AB940" s="46"/>
      <c r="AC940" s="46"/>
      <c r="AD940" s="46"/>
      <c r="AE940" s="46"/>
      <c r="AF940" s="46"/>
    </row>
    <row r="941" spans="1:32" s="48" customFormat="1" ht="14.25" customHeight="1" x14ac:dyDescent="0.25">
      <c r="A941" s="46"/>
      <c r="B941" s="46"/>
      <c r="C941" s="46"/>
      <c r="D941" s="46"/>
      <c r="E941" s="47"/>
      <c r="F941" s="47"/>
      <c r="G941" s="47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  <c r="AA941" s="46"/>
      <c r="AB941" s="46"/>
      <c r="AC941" s="46"/>
      <c r="AD941" s="46"/>
      <c r="AE941" s="46"/>
      <c r="AF941" s="46"/>
    </row>
    <row r="942" spans="1:32" s="48" customFormat="1" ht="14.25" customHeight="1" x14ac:dyDescent="0.25">
      <c r="A942" s="46"/>
      <c r="B942" s="46"/>
      <c r="C942" s="46"/>
      <c r="D942" s="46"/>
      <c r="E942" s="47"/>
      <c r="F942" s="47"/>
      <c r="G942" s="47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  <c r="AA942" s="46"/>
      <c r="AB942" s="46"/>
      <c r="AC942" s="46"/>
      <c r="AD942" s="46"/>
      <c r="AE942" s="46"/>
      <c r="AF942" s="46"/>
    </row>
    <row r="943" spans="1:32" s="48" customFormat="1" ht="14.25" customHeight="1" x14ac:dyDescent="0.25">
      <c r="A943" s="46"/>
      <c r="B943" s="46"/>
      <c r="C943" s="46"/>
      <c r="D943" s="46"/>
      <c r="E943" s="47"/>
      <c r="F943" s="47"/>
      <c r="G943" s="47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  <c r="AA943" s="46"/>
      <c r="AB943" s="46"/>
      <c r="AC943" s="46"/>
      <c r="AD943" s="46"/>
      <c r="AE943" s="46"/>
      <c r="AF943" s="46"/>
    </row>
    <row r="944" spans="1:32" s="48" customFormat="1" ht="14.25" customHeight="1" x14ac:dyDescent="0.25">
      <c r="A944" s="46"/>
      <c r="B944" s="46"/>
      <c r="C944" s="46"/>
      <c r="D944" s="46"/>
      <c r="E944" s="47"/>
      <c r="F944" s="47"/>
      <c r="G944" s="47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  <c r="AA944" s="46"/>
      <c r="AB944" s="46"/>
      <c r="AC944" s="46"/>
      <c r="AD944" s="46"/>
      <c r="AE944" s="46"/>
      <c r="AF944" s="46"/>
    </row>
    <row r="945" spans="1:32" s="48" customFormat="1" ht="14.25" customHeight="1" x14ac:dyDescent="0.25">
      <c r="A945" s="46"/>
      <c r="B945" s="46"/>
      <c r="C945" s="46"/>
      <c r="D945" s="46"/>
      <c r="E945" s="47"/>
      <c r="F945" s="47"/>
      <c r="G945" s="47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  <c r="AA945" s="46"/>
      <c r="AB945" s="46"/>
      <c r="AC945" s="46"/>
      <c r="AD945" s="46"/>
      <c r="AE945" s="46"/>
      <c r="AF945" s="46"/>
    </row>
    <row r="946" spans="1:32" s="48" customFormat="1" ht="14.25" customHeight="1" x14ac:dyDescent="0.25">
      <c r="A946" s="46"/>
      <c r="B946" s="46"/>
      <c r="C946" s="46"/>
      <c r="D946" s="46"/>
      <c r="E946" s="47"/>
      <c r="F946" s="47"/>
      <c r="G946" s="47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  <c r="AA946" s="46"/>
      <c r="AB946" s="46"/>
      <c r="AC946" s="46"/>
      <c r="AD946" s="46"/>
      <c r="AE946" s="46"/>
      <c r="AF946" s="46"/>
    </row>
    <row r="947" spans="1:32" s="48" customFormat="1" ht="14.25" customHeight="1" x14ac:dyDescent="0.25">
      <c r="A947" s="46"/>
      <c r="B947" s="46"/>
      <c r="C947" s="46"/>
      <c r="D947" s="46"/>
      <c r="E947" s="47"/>
      <c r="F947" s="47"/>
      <c r="G947" s="47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  <c r="AA947" s="46"/>
      <c r="AB947" s="46"/>
      <c r="AC947" s="46"/>
      <c r="AD947" s="46"/>
      <c r="AE947" s="46"/>
      <c r="AF947" s="46"/>
    </row>
    <row r="948" spans="1:32" s="48" customFormat="1" ht="14.25" customHeight="1" x14ac:dyDescent="0.25">
      <c r="A948" s="46"/>
      <c r="B948" s="46"/>
      <c r="C948" s="46"/>
      <c r="D948" s="46"/>
      <c r="E948" s="47"/>
      <c r="F948" s="47"/>
      <c r="G948" s="47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  <c r="AA948" s="46"/>
      <c r="AB948" s="46"/>
      <c r="AC948" s="46"/>
      <c r="AD948" s="46"/>
      <c r="AE948" s="46"/>
      <c r="AF948" s="46"/>
    </row>
    <row r="949" spans="1:32" s="48" customFormat="1" ht="14.25" customHeight="1" x14ac:dyDescent="0.25">
      <c r="A949" s="46"/>
      <c r="B949" s="46"/>
      <c r="C949" s="46"/>
      <c r="D949" s="46"/>
      <c r="E949" s="47"/>
      <c r="F949" s="47"/>
      <c r="G949" s="47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  <c r="AA949" s="46"/>
      <c r="AB949" s="46"/>
      <c r="AC949" s="46"/>
      <c r="AD949" s="46"/>
      <c r="AE949" s="46"/>
      <c r="AF949" s="46"/>
    </row>
    <row r="950" spans="1:32" s="48" customFormat="1" ht="14.25" customHeight="1" x14ac:dyDescent="0.25">
      <c r="A950" s="46"/>
      <c r="B950" s="46"/>
      <c r="C950" s="46"/>
      <c r="D950" s="46"/>
      <c r="E950" s="47"/>
      <c r="F950" s="47"/>
      <c r="G950" s="47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  <c r="AA950" s="46"/>
      <c r="AB950" s="46"/>
      <c r="AC950" s="46"/>
      <c r="AD950" s="46"/>
      <c r="AE950" s="46"/>
      <c r="AF950" s="46"/>
    </row>
    <row r="951" spans="1:32" s="48" customFormat="1" ht="14.25" customHeight="1" x14ac:dyDescent="0.25">
      <c r="A951" s="46"/>
      <c r="B951" s="46"/>
      <c r="C951" s="46"/>
      <c r="D951" s="46"/>
      <c r="E951" s="47"/>
      <c r="F951" s="47"/>
      <c r="G951" s="47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  <c r="AA951" s="46"/>
      <c r="AB951" s="46"/>
      <c r="AC951" s="46"/>
      <c r="AD951" s="46"/>
      <c r="AE951" s="46"/>
      <c r="AF951" s="46"/>
    </row>
    <row r="952" spans="1:32" s="48" customFormat="1" ht="14.25" customHeight="1" x14ac:dyDescent="0.25">
      <c r="A952" s="46"/>
      <c r="B952" s="46"/>
      <c r="C952" s="46"/>
      <c r="D952" s="46"/>
      <c r="E952" s="47"/>
      <c r="F952" s="47"/>
      <c r="G952" s="47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  <c r="AA952" s="46"/>
      <c r="AB952" s="46"/>
      <c r="AC952" s="46"/>
      <c r="AD952" s="46"/>
      <c r="AE952" s="46"/>
      <c r="AF952" s="46"/>
    </row>
    <row r="953" spans="1:32" s="48" customFormat="1" ht="14.25" customHeight="1" x14ac:dyDescent="0.25">
      <c r="A953" s="46"/>
      <c r="B953" s="46"/>
      <c r="C953" s="46"/>
      <c r="D953" s="46"/>
      <c r="E953" s="47"/>
      <c r="F953" s="47"/>
      <c r="G953" s="47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  <c r="AA953" s="46"/>
      <c r="AB953" s="46"/>
      <c r="AC953" s="46"/>
      <c r="AD953" s="46"/>
      <c r="AE953" s="46"/>
      <c r="AF953" s="46"/>
    </row>
    <row r="954" spans="1:32" s="48" customFormat="1" ht="14.25" customHeight="1" x14ac:dyDescent="0.25">
      <c r="A954" s="46"/>
      <c r="B954" s="46"/>
      <c r="C954" s="46"/>
      <c r="D954" s="46"/>
      <c r="E954" s="47"/>
      <c r="F954" s="47"/>
      <c r="G954" s="47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  <c r="AA954" s="46"/>
      <c r="AB954" s="46"/>
      <c r="AC954" s="46"/>
      <c r="AD954" s="46"/>
      <c r="AE954" s="46"/>
      <c r="AF954" s="46"/>
    </row>
    <row r="955" spans="1:32" s="48" customFormat="1" ht="14.25" customHeight="1" x14ac:dyDescent="0.25">
      <c r="A955" s="46"/>
      <c r="B955" s="46"/>
      <c r="C955" s="46"/>
      <c r="D955" s="46"/>
      <c r="E955" s="47"/>
      <c r="F955" s="47"/>
      <c r="G955" s="47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  <c r="AA955" s="46"/>
      <c r="AB955" s="46"/>
      <c r="AC955" s="46"/>
      <c r="AD955" s="46"/>
      <c r="AE955" s="46"/>
      <c r="AF955" s="46"/>
    </row>
    <row r="956" spans="1:32" s="48" customFormat="1" ht="14.25" customHeight="1" x14ac:dyDescent="0.25">
      <c r="A956" s="46"/>
      <c r="B956" s="46"/>
      <c r="C956" s="46"/>
      <c r="D956" s="46"/>
      <c r="E956" s="47"/>
      <c r="F956" s="47"/>
      <c r="G956" s="47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  <c r="AA956" s="46"/>
      <c r="AB956" s="46"/>
      <c r="AC956" s="46"/>
      <c r="AD956" s="46"/>
      <c r="AE956" s="46"/>
      <c r="AF956" s="46"/>
    </row>
    <row r="957" spans="1:32" s="48" customFormat="1" ht="14.25" customHeight="1" x14ac:dyDescent="0.25">
      <c r="A957" s="46"/>
      <c r="B957" s="46"/>
      <c r="C957" s="46"/>
      <c r="D957" s="46"/>
      <c r="E957" s="47"/>
      <c r="F957" s="47"/>
      <c r="G957" s="47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  <c r="AA957" s="46"/>
      <c r="AB957" s="46"/>
      <c r="AC957" s="46"/>
      <c r="AD957" s="46"/>
      <c r="AE957" s="46"/>
      <c r="AF957" s="46"/>
    </row>
    <row r="958" spans="1:32" s="48" customFormat="1" ht="14.25" customHeight="1" x14ac:dyDescent="0.25">
      <c r="A958" s="46"/>
      <c r="B958" s="46"/>
      <c r="C958" s="46"/>
      <c r="D958" s="46"/>
      <c r="E958" s="47"/>
      <c r="F958" s="47"/>
      <c r="G958" s="47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  <c r="AA958" s="46"/>
      <c r="AB958" s="46"/>
      <c r="AC958" s="46"/>
      <c r="AD958" s="46"/>
      <c r="AE958" s="46"/>
      <c r="AF958" s="46"/>
    </row>
    <row r="959" spans="1:32" s="48" customFormat="1" ht="14.25" customHeight="1" x14ac:dyDescent="0.25">
      <c r="A959" s="46"/>
      <c r="B959" s="46"/>
      <c r="C959" s="46"/>
      <c r="D959" s="46"/>
      <c r="E959" s="47"/>
      <c r="F959" s="47"/>
      <c r="G959" s="47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  <c r="AA959" s="46"/>
      <c r="AB959" s="46"/>
      <c r="AC959" s="46"/>
      <c r="AD959" s="46"/>
      <c r="AE959" s="46"/>
      <c r="AF959" s="46"/>
    </row>
    <row r="960" spans="1:32" s="48" customFormat="1" ht="14.25" customHeight="1" x14ac:dyDescent="0.25">
      <c r="A960" s="46"/>
      <c r="B960" s="46"/>
      <c r="C960" s="46"/>
      <c r="D960" s="46"/>
      <c r="E960" s="47"/>
      <c r="F960" s="47"/>
      <c r="G960" s="47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  <c r="AA960" s="46"/>
      <c r="AB960" s="46"/>
      <c r="AC960" s="46"/>
      <c r="AD960" s="46"/>
      <c r="AE960" s="46"/>
      <c r="AF960" s="46"/>
    </row>
    <row r="961" spans="1:32" s="48" customFormat="1" ht="14.25" customHeight="1" x14ac:dyDescent="0.25">
      <c r="A961" s="46"/>
      <c r="B961" s="46"/>
      <c r="C961" s="46"/>
      <c r="D961" s="46"/>
      <c r="E961" s="47"/>
      <c r="F961" s="47"/>
      <c r="G961" s="47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  <c r="AA961" s="46"/>
      <c r="AB961" s="46"/>
      <c r="AC961" s="46"/>
      <c r="AD961" s="46"/>
      <c r="AE961" s="46"/>
      <c r="AF961" s="46"/>
    </row>
    <row r="962" spans="1:32" s="48" customFormat="1" ht="14.25" customHeight="1" x14ac:dyDescent="0.25">
      <c r="A962" s="46"/>
      <c r="B962" s="46"/>
      <c r="C962" s="46"/>
      <c r="D962" s="46"/>
      <c r="E962" s="47"/>
      <c r="F962" s="47"/>
      <c r="G962" s="47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  <c r="AA962" s="46"/>
      <c r="AB962" s="46"/>
      <c r="AC962" s="46"/>
      <c r="AD962" s="46"/>
      <c r="AE962" s="46"/>
      <c r="AF962" s="46"/>
    </row>
    <row r="963" spans="1:32" s="48" customFormat="1" ht="14.25" customHeight="1" x14ac:dyDescent="0.25">
      <c r="A963" s="46"/>
      <c r="B963" s="46"/>
      <c r="C963" s="46"/>
      <c r="D963" s="46"/>
      <c r="E963" s="47"/>
      <c r="F963" s="47"/>
      <c r="G963" s="47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  <c r="AA963" s="46"/>
      <c r="AB963" s="46"/>
      <c r="AC963" s="46"/>
      <c r="AD963" s="46"/>
      <c r="AE963" s="46"/>
      <c r="AF963" s="46"/>
    </row>
    <row r="964" spans="1:32" s="48" customFormat="1" ht="14.25" customHeight="1" x14ac:dyDescent="0.25">
      <c r="A964" s="46"/>
      <c r="B964" s="46"/>
      <c r="C964" s="46"/>
      <c r="D964" s="46"/>
      <c r="E964" s="47"/>
      <c r="F964" s="47"/>
      <c r="G964" s="47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  <c r="AA964" s="46"/>
      <c r="AB964" s="46"/>
      <c r="AC964" s="46"/>
      <c r="AD964" s="46"/>
      <c r="AE964" s="46"/>
      <c r="AF964" s="46"/>
    </row>
    <row r="965" spans="1:32" s="48" customFormat="1" ht="14.25" customHeight="1" x14ac:dyDescent="0.25">
      <c r="A965" s="46"/>
      <c r="B965" s="46"/>
      <c r="C965" s="46"/>
      <c r="D965" s="46"/>
      <c r="E965" s="47"/>
      <c r="F965" s="47"/>
      <c r="G965" s="47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  <c r="AA965" s="46"/>
      <c r="AB965" s="46"/>
      <c r="AC965" s="46"/>
      <c r="AD965" s="46"/>
      <c r="AE965" s="46"/>
      <c r="AF965" s="46"/>
    </row>
    <row r="966" spans="1:32" s="48" customFormat="1" ht="14.25" customHeight="1" x14ac:dyDescent="0.25">
      <c r="A966" s="46"/>
      <c r="B966" s="46"/>
      <c r="C966" s="46"/>
      <c r="D966" s="46"/>
      <c r="E966" s="47"/>
      <c r="F966" s="47"/>
      <c r="G966" s="47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  <c r="AA966" s="46"/>
      <c r="AB966" s="46"/>
      <c r="AC966" s="46"/>
      <c r="AD966" s="46"/>
      <c r="AE966" s="46"/>
      <c r="AF966" s="46"/>
    </row>
    <row r="967" spans="1:32" s="48" customFormat="1" ht="14.25" customHeight="1" x14ac:dyDescent="0.25">
      <c r="A967" s="46"/>
      <c r="B967" s="46"/>
      <c r="C967" s="46"/>
      <c r="D967" s="46"/>
      <c r="E967" s="47"/>
      <c r="F967" s="47"/>
      <c r="G967" s="47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  <c r="AA967" s="46"/>
      <c r="AB967" s="46"/>
      <c r="AC967" s="46"/>
      <c r="AD967" s="46"/>
      <c r="AE967" s="46"/>
      <c r="AF967" s="46"/>
    </row>
    <row r="968" spans="1:32" s="48" customFormat="1" ht="14.25" customHeight="1" x14ac:dyDescent="0.25">
      <c r="A968" s="46"/>
      <c r="B968" s="46"/>
      <c r="C968" s="46"/>
      <c r="D968" s="46"/>
      <c r="E968" s="47"/>
      <c r="F968" s="47"/>
      <c r="G968" s="47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  <c r="AA968" s="46"/>
      <c r="AB968" s="46"/>
      <c r="AC968" s="46"/>
      <c r="AD968" s="46"/>
      <c r="AE968" s="46"/>
      <c r="AF968" s="46"/>
    </row>
    <row r="969" spans="1:32" s="48" customFormat="1" ht="14.25" customHeight="1" x14ac:dyDescent="0.25">
      <c r="A969" s="46"/>
      <c r="B969" s="46"/>
      <c r="C969" s="46"/>
      <c r="D969" s="46"/>
      <c r="E969" s="47"/>
      <c r="F969" s="47"/>
      <c r="G969" s="47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  <c r="AA969" s="46"/>
      <c r="AB969" s="46"/>
      <c r="AC969" s="46"/>
      <c r="AD969" s="46"/>
      <c r="AE969" s="46"/>
      <c r="AF969" s="46"/>
    </row>
    <row r="970" spans="1:32" s="48" customFormat="1" ht="14.25" customHeight="1" x14ac:dyDescent="0.25">
      <c r="A970" s="46"/>
      <c r="B970" s="46"/>
      <c r="C970" s="46"/>
      <c r="D970" s="46"/>
      <c r="E970" s="47"/>
      <c r="F970" s="47"/>
      <c r="G970" s="47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  <c r="AA970" s="46"/>
      <c r="AB970" s="46"/>
      <c r="AC970" s="46"/>
      <c r="AD970" s="46"/>
      <c r="AE970" s="46"/>
      <c r="AF970" s="46"/>
    </row>
    <row r="971" spans="1:32" s="48" customFormat="1" ht="14.25" customHeight="1" x14ac:dyDescent="0.25">
      <c r="A971" s="46"/>
      <c r="B971" s="46"/>
      <c r="C971" s="46"/>
      <c r="D971" s="46"/>
      <c r="E971" s="47"/>
      <c r="F971" s="47"/>
      <c r="G971" s="47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  <c r="AA971" s="46"/>
      <c r="AB971" s="46"/>
      <c r="AC971" s="46"/>
      <c r="AD971" s="46"/>
      <c r="AE971" s="46"/>
      <c r="AF971" s="46"/>
    </row>
    <row r="972" spans="1:32" s="48" customFormat="1" ht="14.25" customHeight="1" x14ac:dyDescent="0.25">
      <c r="A972" s="46"/>
      <c r="B972" s="46"/>
      <c r="C972" s="46"/>
      <c r="D972" s="46"/>
      <c r="E972" s="47"/>
      <c r="F972" s="47"/>
      <c r="G972" s="47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  <c r="AA972" s="46"/>
      <c r="AB972" s="46"/>
      <c r="AC972" s="46"/>
      <c r="AD972" s="46"/>
      <c r="AE972" s="46"/>
      <c r="AF972" s="46"/>
    </row>
    <row r="973" spans="1:32" s="48" customFormat="1" ht="14.25" customHeight="1" x14ac:dyDescent="0.25">
      <c r="A973" s="46"/>
      <c r="B973" s="46"/>
      <c r="C973" s="46"/>
      <c r="D973" s="46"/>
      <c r="E973" s="47"/>
      <c r="F973" s="47"/>
      <c r="G973" s="47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  <c r="AA973" s="46"/>
      <c r="AB973" s="46"/>
      <c r="AC973" s="46"/>
      <c r="AD973" s="46"/>
      <c r="AE973" s="46"/>
      <c r="AF973" s="46"/>
    </row>
    <row r="974" spans="1:32" s="48" customFormat="1" ht="14.25" customHeight="1" x14ac:dyDescent="0.25">
      <c r="A974" s="46"/>
      <c r="B974" s="46"/>
      <c r="C974" s="46"/>
      <c r="D974" s="46"/>
      <c r="E974" s="47"/>
      <c r="F974" s="47"/>
      <c r="G974" s="47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  <c r="AA974" s="46"/>
      <c r="AB974" s="46"/>
      <c r="AC974" s="46"/>
      <c r="AD974" s="46"/>
      <c r="AE974" s="46"/>
      <c r="AF974" s="46"/>
    </row>
    <row r="975" spans="1:32" s="48" customFormat="1" ht="14.25" customHeight="1" x14ac:dyDescent="0.25">
      <c r="A975" s="46"/>
      <c r="B975" s="46"/>
      <c r="C975" s="46"/>
      <c r="D975" s="46"/>
      <c r="E975" s="47"/>
      <c r="F975" s="47"/>
      <c r="G975" s="47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  <c r="AA975" s="46"/>
      <c r="AB975" s="46"/>
      <c r="AC975" s="46"/>
      <c r="AD975" s="46"/>
      <c r="AE975" s="46"/>
      <c r="AF975" s="46"/>
    </row>
    <row r="976" spans="1:32" s="48" customFormat="1" ht="14.25" customHeight="1" x14ac:dyDescent="0.25">
      <c r="A976" s="46"/>
      <c r="B976" s="46"/>
      <c r="C976" s="46"/>
      <c r="D976" s="46"/>
      <c r="E976" s="47"/>
      <c r="F976" s="47"/>
      <c r="G976" s="47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  <c r="AA976" s="46"/>
      <c r="AB976" s="46"/>
      <c r="AC976" s="46"/>
      <c r="AD976" s="46"/>
      <c r="AE976" s="46"/>
      <c r="AF976" s="46"/>
    </row>
    <row r="977" spans="1:32" s="48" customFormat="1" ht="14.25" customHeight="1" x14ac:dyDescent="0.25">
      <c r="A977" s="46"/>
      <c r="B977" s="46"/>
      <c r="C977" s="46"/>
      <c r="D977" s="46"/>
      <c r="E977" s="47"/>
      <c r="F977" s="47"/>
      <c r="G977" s="47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  <c r="AA977" s="46"/>
      <c r="AB977" s="46"/>
      <c r="AC977" s="46"/>
      <c r="AD977" s="46"/>
      <c r="AE977" s="46"/>
      <c r="AF977" s="46"/>
    </row>
    <row r="978" spans="1:32" s="48" customFormat="1" ht="14.25" customHeight="1" x14ac:dyDescent="0.25">
      <c r="A978" s="46"/>
      <c r="B978" s="46"/>
      <c r="C978" s="46"/>
      <c r="D978" s="46"/>
      <c r="E978" s="47"/>
      <c r="F978" s="47"/>
      <c r="G978" s="47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  <c r="AA978" s="46"/>
      <c r="AB978" s="46"/>
      <c r="AC978" s="46"/>
      <c r="AD978" s="46"/>
      <c r="AE978" s="46"/>
      <c r="AF978" s="46"/>
    </row>
    <row r="979" spans="1:32" s="48" customFormat="1" ht="14.25" customHeight="1" x14ac:dyDescent="0.25">
      <c r="A979" s="46"/>
      <c r="B979" s="46"/>
      <c r="C979" s="46"/>
      <c r="D979" s="46"/>
      <c r="E979" s="47"/>
      <c r="F979" s="47"/>
      <c r="G979" s="47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  <c r="AA979" s="46"/>
      <c r="AB979" s="46"/>
      <c r="AC979" s="46"/>
      <c r="AD979" s="46"/>
      <c r="AE979" s="46"/>
      <c r="AF979" s="46"/>
    </row>
    <row r="980" spans="1:32" s="48" customFormat="1" ht="14.25" customHeight="1" x14ac:dyDescent="0.25">
      <c r="A980" s="46"/>
      <c r="B980" s="46"/>
      <c r="C980" s="46"/>
      <c r="D980" s="46"/>
      <c r="E980" s="47"/>
      <c r="F980" s="47"/>
      <c r="G980" s="47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  <c r="AA980" s="46"/>
      <c r="AB980" s="46"/>
      <c r="AC980" s="46"/>
      <c r="AD980" s="46"/>
      <c r="AE980" s="46"/>
      <c r="AF980" s="46"/>
    </row>
    <row r="981" spans="1:32" s="48" customFormat="1" ht="14.25" customHeight="1" x14ac:dyDescent="0.25">
      <c r="A981" s="46"/>
      <c r="B981" s="46"/>
      <c r="C981" s="46"/>
      <c r="D981" s="46"/>
      <c r="E981" s="47"/>
      <c r="F981" s="47"/>
      <c r="G981" s="47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  <c r="AA981" s="46"/>
      <c r="AB981" s="46"/>
      <c r="AC981" s="46"/>
      <c r="AD981" s="46"/>
      <c r="AE981" s="46"/>
      <c r="AF981" s="46"/>
    </row>
    <row r="982" spans="1:32" s="48" customFormat="1" ht="14.25" customHeight="1" x14ac:dyDescent="0.25">
      <c r="A982" s="46"/>
      <c r="B982" s="46"/>
      <c r="C982" s="46"/>
      <c r="D982" s="46"/>
      <c r="E982" s="47"/>
      <c r="F982" s="47"/>
      <c r="G982" s="47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  <c r="AA982" s="46"/>
      <c r="AB982" s="46"/>
      <c r="AC982" s="46"/>
      <c r="AD982" s="46"/>
      <c r="AE982" s="46"/>
      <c r="AF982" s="46"/>
    </row>
    <row r="983" spans="1:32" s="48" customFormat="1" ht="14.25" customHeight="1" x14ac:dyDescent="0.25">
      <c r="A983" s="46"/>
      <c r="B983" s="46"/>
      <c r="C983" s="46"/>
      <c r="D983" s="46"/>
      <c r="E983" s="47"/>
      <c r="F983" s="47"/>
      <c r="G983" s="47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  <c r="AA983" s="46"/>
      <c r="AB983" s="46"/>
      <c r="AC983" s="46"/>
      <c r="AD983" s="46"/>
      <c r="AE983" s="46"/>
      <c r="AF983" s="46"/>
    </row>
    <row r="984" spans="1:32" s="48" customFormat="1" ht="14.25" customHeight="1" x14ac:dyDescent="0.25">
      <c r="A984" s="46"/>
      <c r="B984" s="46"/>
      <c r="C984" s="46"/>
      <c r="D984" s="46"/>
      <c r="E984" s="47"/>
      <c r="F984" s="47"/>
      <c r="G984" s="47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  <c r="AA984" s="46"/>
      <c r="AB984" s="46"/>
      <c r="AC984" s="46"/>
      <c r="AD984" s="46"/>
      <c r="AE984" s="46"/>
      <c r="AF984" s="46"/>
    </row>
    <row r="985" spans="1:32" s="48" customFormat="1" ht="14.25" customHeight="1" x14ac:dyDescent="0.25">
      <c r="A985" s="46"/>
      <c r="B985" s="46"/>
      <c r="C985" s="46"/>
      <c r="D985" s="46"/>
      <c r="E985" s="47"/>
      <c r="F985" s="47"/>
      <c r="G985" s="47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  <c r="AA985" s="46"/>
      <c r="AB985" s="46"/>
      <c r="AC985" s="46"/>
      <c r="AD985" s="46"/>
      <c r="AE985" s="46"/>
      <c r="AF985" s="46"/>
    </row>
    <row r="986" spans="1:32" s="48" customFormat="1" ht="14.25" customHeight="1" x14ac:dyDescent="0.25">
      <c r="A986" s="46"/>
      <c r="B986" s="46"/>
      <c r="C986" s="46"/>
      <c r="D986" s="46"/>
      <c r="E986" s="47"/>
      <c r="F986" s="47"/>
      <c r="G986" s="47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  <c r="AA986" s="46"/>
      <c r="AB986" s="46"/>
      <c r="AC986" s="46"/>
      <c r="AD986" s="46"/>
      <c r="AE986" s="46"/>
      <c r="AF986" s="46"/>
    </row>
    <row r="987" spans="1:32" s="48" customFormat="1" ht="14.25" customHeight="1" x14ac:dyDescent="0.25">
      <c r="A987" s="46"/>
      <c r="B987" s="46"/>
      <c r="C987" s="46"/>
      <c r="D987" s="46"/>
      <c r="E987" s="47"/>
      <c r="F987" s="47"/>
      <c r="G987" s="47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  <c r="AA987" s="46"/>
      <c r="AB987" s="46"/>
      <c r="AC987" s="46"/>
      <c r="AD987" s="46"/>
      <c r="AE987" s="46"/>
      <c r="AF987" s="46"/>
    </row>
    <row r="988" spans="1:32" s="48" customFormat="1" ht="14.25" customHeight="1" x14ac:dyDescent="0.25">
      <c r="A988" s="46"/>
      <c r="B988" s="46"/>
      <c r="C988" s="46"/>
      <c r="D988" s="46"/>
      <c r="E988" s="47"/>
      <c r="F988" s="47"/>
      <c r="G988" s="47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  <c r="AA988" s="46"/>
      <c r="AB988" s="46"/>
      <c r="AC988" s="46"/>
      <c r="AD988" s="46"/>
      <c r="AE988" s="46"/>
      <c r="AF988" s="46"/>
    </row>
    <row r="989" spans="1:32" s="48" customFormat="1" ht="14.25" customHeight="1" x14ac:dyDescent="0.25">
      <c r="A989" s="46"/>
      <c r="B989" s="46"/>
      <c r="C989" s="46"/>
      <c r="D989" s="46"/>
      <c r="E989" s="47"/>
      <c r="F989" s="47"/>
      <c r="G989" s="47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  <c r="AA989" s="46"/>
      <c r="AB989" s="46"/>
      <c r="AC989" s="46"/>
      <c r="AD989" s="46"/>
      <c r="AE989" s="46"/>
      <c r="AF989" s="46"/>
    </row>
    <row r="990" spans="1:32" s="48" customFormat="1" ht="14.25" customHeight="1" x14ac:dyDescent="0.25">
      <c r="A990" s="46"/>
      <c r="B990" s="46"/>
      <c r="C990" s="46"/>
      <c r="D990" s="46"/>
      <c r="E990" s="47"/>
      <c r="F990" s="47"/>
      <c r="G990" s="47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  <c r="AA990" s="46"/>
      <c r="AB990" s="46"/>
      <c r="AC990" s="46"/>
      <c r="AD990" s="46"/>
      <c r="AE990" s="46"/>
      <c r="AF990" s="46"/>
    </row>
    <row r="991" spans="1:32" s="48" customFormat="1" ht="14.25" customHeight="1" x14ac:dyDescent="0.25">
      <c r="A991" s="46"/>
      <c r="B991" s="46"/>
      <c r="C991" s="46"/>
      <c r="D991" s="46"/>
      <c r="E991" s="47"/>
      <c r="F991" s="47"/>
      <c r="G991" s="47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  <c r="AA991" s="46"/>
      <c r="AB991" s="46"/>
      <c r="AC991" s="46"/>
      <c r="AD991" s="46"/>
      <c r="AE991" s="46"/>
      <c r="AF991" s="46"/>
    </row>
    <row r="992" spans="1:32" s="48" customFormat="1" ht="14.25" customHeight="1" x14ac:dyDescent="0.25">
      <c r="A992" s="46"/>
      <c r="B992" s="46"/>
      <c r="C992" s="46"/>
      <c r="D992" s="46"/>
      <c r="E992" s="47"/>
      <c r="F992" s="47"/>
      <c r="G992" s="47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  <c r="AA992" s="46"/>
      <c r="AB992" s="46"/>
      <c r="AC992" s="46"/>
      <c r="AD992" s="46"/>
      <c r="AE992" s="46"/>
      <c r="AF992" s="46"/>
    </row>
    <row r="993" spans="1:32" s="48" customFormat="1" ht="14.25" customHeight="1" x14ac:dyDescent="0.25">
      <c r="A993" s="46"/>
      <c r="B993" s="46"/>
      <c r="C993" s="46"/>
      <c r="D993" s="46"/>
      <c r="E993" s="47"/>
      <c r="F993" s="47"/>
      <c r="G993" s="47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  <c r="AA993" s="46"/>
      <c r="AB993" s="46"/>
      <c r="AC993" s="46"/>
      <c r="AD993" s="46"/>
      <c r="AE993" s="46"/>
      <c r="AF993" s="46"/>
    </row>
    <row r="994" spans="1:32" s="48" customFormat="1" ht="14.25" customHeight="1" x14ac:dyDescent="0.25">
      <c r="A994" s="46"/>
      <c r="B994" s="46"/>
      <c r="C994" s="46"/>
      <c r="D994" s="46"/>
      <c r="E994" s="47"/>
      <c r="F994" s="47"/>
      <c r="G994" s="47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  <c r="AD994" s="46"/>
      <c r="AE994" s="46"/>
      <c r="AF994" s="46"/>
    </row>
    <row r="995" spans="1:32" s="48" customFormat="1" ht="14.25" customHeight="1" x14ac:dyDescent="0.25">
      <c r="A995" s="46"/>
      <c r="B995" s="46"/>
      <c r="C995" s="46"/>
      <c r="D995" s="46"/>
      <c r="E995" s="47"/>
      <c r="F995" s="47"/>
      <c r="G995" s="47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  <c r="AD995" s="46"/>
      <c r="AE995" s="46"/>
      <c r="AF995" s="46"/>
    </row>
    <row r="996" spans="1:32" s="48" customFormat="1" ht="14.25" customHeight="1" x14ac:dyDescent="0.25">
      <c r="A996" s="46"/>
      <c r="B996" s="46"/>
      <c r="C996" s="46"/>
      <c r="D996" s="46"/>
      <c r="E996" s="47"/>
      <c r="F996" s="47"/>
      <c r="G996" s="47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  <c r="AD996" s="46"/>
      <c r="AE996" s="46"/>
      <c r="AF996" s="46"/>
    </row>
    <row r="997" spans="1:32" s="48" customFormat="1" ht="14.25" customHeight="1" x14ac:dyDescent="0.25">
      <c r="A997" s="46"/>
      <c r="B997" s="46"/>
      <c r="C997" s="46"/>
      <c r="D997" s="46"/>
      <c r="E997" s="47"/>
      <c r="F997" s="47"/>
      <c r="G997" s="47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  <c r="AD997" s="46"/>
      <c r="AE997" s="46"/>
      <c r="AF997" s="46"/>
    </row>
    <row r="998" spans="1:32" s="48" customFormat="1" ht="14.25" customHeight="1" x14ac:dyDescent="0.25">
      <c r="A998" s="46"/>
      <c r="B998" s="46"/>
      <c r="C998" s="46"/>
      <c r="D998" s="46"/>
      <c r="E998" s="47"/>
      <c r="F998" s="47"/>
      <c r="G998" s="47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  <c r="AA998" s="46"/>
      <c r="AB998" s="46"/>
      <c r="AC998" s="46"/>
      <c r="AD998" s="46"/>
      <c r="AE998" s="46"/>
      <c r="AF998" s="46"/>
    </row>
    <row r="999" spans="1:32" s="48" customFormat="1" ht="14.25" customHeight="1" x14ac:dyDescent="0.25">
      <c r="A999" s="46"/>
      <c r="B999" s="46"/>
      <c r="C999" s="46"/>
      <c r="D999" s="46"/>
      <c r="E999" s="47"/>
      <c r="F999" s="47"/>
      <c r="G999" s="47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  <c r="AA999" s="46"/>
      <c r="AB999" s="46"/>
      <c r="AC999" s="46"/>
      <c r="AD999" s="46"/>
      <c r="AE999" s="46"/>
      <c r="AF999" s="46"/>
    </row>
    <row r="1000" spans="1:32" s="48" customFormat="1" ht="14.25" customHeight="1" x14ac:dyDescent="0.25">
      <c r="A1000" s="46"/>
      <c r="B1000" s="46"/>
      <c r="C1000" s="46"/>
      <c r="D1000" s="46"/>
      <c r="E1000" s="47"/>
      <c r="F1000" s="47"/>
      <c r="G1000" s="47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  <c r="AA1000" s="46"/>
      <c r="AB1000" s="46"/>
      <c r="AC1000" s="46"/>
      <c r="AD1000" s="46"/>
      <c r="AE1000" s="46"/>
      <c r="AF1000" s="46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B94FF-6450-4E1F-B741-7C07FDAC305A}">
  <dimension ref="A1:G1000"/>
  <sheetViews>
    <sheetView topLeftCell="A71" zoomScale="70" zoomScaleNormal="70" workbookViewId="0">
      <selection sqref="A1:G98"/>
    </sheetView>
  </sheetViews>
  <sheetFormatPr defaultRowHeight="15" x14ac:dyDescent="0.25"/>
  <cols>
    <col min="1" max="1" width="14.140625" customWidth="1"/>
    <col min="2" max="7" width="14" customWidth="1"/>
  </cols>
  <sheetData>
    <row r="1" spans="1:7" x14ac:dyDescent="0.25">
      <c r="A1" s="5"/>
      <c r="B1" s="5" t="s">
        <v>50</v>
      </c>
      <c r="C1" s="5"/>
      <c r="D1" s="5"/>
      <c r="E1" s="5"/>
      <c r="F1" s="5"/>
      <c r="G1" s="5"/>
    </row>
    <row r="2" spans="1:7" x14ac:dyDescent="0.25">
      <c r="A2" s="16" t="s">
        <v>0</v>
      </c>
      <c r="B2" s="16" t="s">
        <v>66</v>
      </c>
      <c r="C2" s="16" t="s">
        <v>67</v>
      </c>
      <c r="D2" s="16" t="s">
        <v>68</v>
      </c>
      <c r="E2" s="16" t="s">
        <v>69</v>
      </c>
      <c r="F2" s="16" t="s">
        <v>70</v>
      </c>
      <c r="G2" s="16" t="s">
        <v>71</v>
      </c>
    </row>
    <row r="3" spans="1:7" x14ac:dyDescent="0.25">
      <c r="A3" s="6" t="s">
        <v>95</v>
      </c>
      <c r="B3" s="15">
        <v>64.319999999999993</v>
      </c>
      <c r="C3" s="18">
        <v>0</v>
      </c>
      <c r="D3" s="18">
        <v>0</v>
      </c>
      <c r="E3" s="18">
        <v>0</v>
      </c>
      <c r="F3" s="18">
        <v>0</v>
      </c>
      <c r="G3" s="17"/>
    </row>
    <row r="4" spans="1:7" x14ac:dyDescent="0.25">
      <c r="A4" s="6" t="s">
        <v>100</v>
      </c>
      <c r="B4" s="15">
        <v>39.32</v>
      </c>
      <c r="C4" s="18">
        <v>0</v>
      </c>
      <c r="D4" s="15">
        <v>8.2899999999999991</v>
      </c>
      <c r="E4" s="18">
        <v>0</v>
      </c>
      <c r="F4" s="18">
        <v>0</v>
      </c>
      <c r="G4" s="17"/>
    </row>
    <row r="5" spans="1:7" x14ac:dyDescent="0.25">
      <c r="A5" s="6" t="s">
        <v>101</v>
      </c>
      <c r="B5" s="15">
        <v>60.68</v>
      </c>
      <c r="C5" s="18">
        <v>0</v>
      </c>
      <c r="D5" s="15">
        <v>9.7100000000000009</v>
      </c>
      <c r="E5" s="18">
        <v>0</v>
      </c>
      <c r="F5" s="18">
        <v>0</v>
      </c>
      <c r="G5" s="17"/>
    </row>
    <row r="6" spans="1:7" x14ac:dyDescent="0.25">
      <c r="A6" s="6" t="s">
        <v>102</v>
      </c>
      <c r="B6" s="15">
        <v>52.05</v>
      </c>
      <c r="C6" s="18">
        <v>0</v>
      </c>
      <c r="D6" s="15">
        <v>12.57</v>
      </c>
      <c r="E6" s="18">
        <v>0</v>
      </c>
      <c r="F6" s="15">
        <v>3</v>
      </c>
      <c r="G6" s="17"/>
    </row>
    <row r="7" spans="1:7" x14ac:dyDescent="0.25">
      <c r="A7" s="6" t="s">
        <v>103</v>
      </c>
      <c r="B7" s="15">
        <v>77.05</v>
      </c>
      <c r="C7" s="18">
        <v>0</v>
      </c>
      <c r="D7" s="15">
        <v>6.86</v>
      </c>
      <c r="E7" s="18">
        <v>0</v>
      </c>
      <c r="F7" s="15">
        <v>10.33</v>
      </c>
      <c r="G7" s="17"/>
    </row>
    <row r="8" spans="1:7" x14ac:dyDescent="0.25">
      <c r="A8" s="6" t="s">
        <v>104</v>
      </c>
      <c r="B8" s="15">
        <v>47.5</v>
      </c>
      <c r="C8" s="18">
        <v>0</v>
      </c>
      <c r="D8" s="15">
        <v>6.86</v>
      </c>
      <c r="E8" s="18">
        <v>0</v>
      </c>
      <c r="F8" s="15">
        <v>0.33</v>
      </c>
      <c r="G8" s="17"/>
    </row>
    <row r="9" spans="1:7" x14ac:dyDescent="0.25">
      <c r="A9" s="6" t="s">
        <v>105</v>
      </c>
      <c r="B9" s="15">
        <v>33.409999999999997</v>
      </c>
      <c r="C9" s="18">
        <v>0</v>
      </c>
      <c r="D9" s="18">
        <v>0</v>
      </c>
      <c r="E9" s="18">
        <v>0</v>
      </c>
      <c r="F9" s="18">
        <v>0</v>
      </c>
      <c r="G9" s="17"/>
    </row>
    <row r="10" spans="1:7" x14ac:dyDescent="0.25">
      <c r="A10" s="6" t="s">
        <v>106</v>
      </c>
      <c r="B10" s="15">
        <v>115.68</v>
      </c>
      <c r="C10" s="18">
        <v>0</v>
      </c>
      <c r="D10" s="15">
        <v>12.57</v>
      </c>
      <c r="E10" s="15">
        <v>3</v>
      </c>
      <c r="F10" s="15">
        <v>150.33000000000001</v>
      </c>
      <c r="G10" s="17"/>
    </row>
    <row r="11" spans="1:7" x14ac:dyDescent="0.25">
      <c r="A11" s="6" t="s">
        <v>107</v>
      </c>
      <c r="B11" s="15">
        <v>67.05</v>
      </c>
      <c r="C11" s="18">
        <v>0</v>
      </c>
      <c r="D11" s="15">
        <v>4</v>
      </c>
      <c r="E11" s="18">
        <v>0</v>
      </c>
      <c r="F11" s="18">
        <v>0</v>
      </c>
      <c r="G11" s="17"/>
    </row>
    <row r="12" spans="1:7" x14ac:dyDescent="0.25">
      <c r="A12" s="6" t="s">
        <v>108</v>
      </c>
      <c r="B12" s="15">
        <v>92.95</v>
      </c>
      <c r="C12" s="18">
        <v>0</v>
      </c>
      <c r="D12" s="15">
        <v>14</v>
      </c>
      <c r="E12" s="18">
        <v>0</v>
      </c>
      <c r="F12" s="15">
        <v>27</v>
      </c>
      <c r="G12" s="17"/>
    </row>
    <row r="13" spans="1:7" x14ac:dyDescent="0.25">
      <c r="A13" s="6" t="s">
        <v>110</v>
      </c>
      <c r="B13" s="15">
        <v>68.86</v>
      </c>
      <c r="C13" s="18">
        <v>0</v>
      </c>
      <c r="D13" s="15">
        <v>11.14</v>
      </c>
      <c r="E13" s="18">
        <v>0</v>
      </c>
      <c r="F13" s="18">
        <v>0</v>
      </c>
      <c r="G13" s="17"/>
    </row>
    <row r="14" spans="1:7" x14ac:dyDescent="0.25">
      <c r="A14" s="6" t="s">
        <v>111</v>
      </c>
      <c r="B14" s="15">
        <v>82.95</v>
      </c>
      <c r="C14" s="18">
        <v>0</v>
      </c>
      <c r="D14" s="15">
        <v>31.14</v>
      </c>
      <c r="E14" s="18">
        <v>0</v>
      </c>
      <c r="F14" s="18">
        <v>0</v>
      </c>
      <c r="G14" s="17"/>
    </row>
    <row r="15" spans="1:7" x14ac:dyDescent="0.25">
      <c r="A15" s="6" t="s">
        <v>112</v>
      </c>
      <c r="B15" s="15">
        <v>77.95</v>
      </c>
      <c r="C15" s="18">
        <v>0</v>
      </c>
      <c r="D15" s="15">
        <v>18.29</v>
      </c>
      <c r="E15" s="18">
        <v>0</v>
      </c>
      <c r="F15" s="15">
        <v>22</v>
      </c>
      <c r="G15" s="17"/>
    </row>
    <row r="16" spans="1:7" x14ac:dyDescent="0.25">
      <c r="A16" s="6" t="s">
        <v>114</v>
      </c>
      <c r="B16" s="15">
        <v>99.32</v>
      </c>
      <c r="C16" s="18">
        <v>0</v>
      </c>
      <c r="D16" s="15">
        <v>16.86</v>
      </c>
      <c r="E16" s="18">
        <v>0</v>
      </c>
      <c r="F16" s="15">
        <v>20.329999999999998</v>
      </c>
      <c r="G16" s="17"/>
    </row>
    <row r="17" spans="1:7" x14ac:dyDescent="0.25">
      <c r="A17" s="6" t="s">
        <v>115</v>
      </c>
      <c r="B17" s="15">
        <v>65.23</v>
      </c>
      <c r="C17" s="18">
        <v>0</v>
      </c>
      <c r="D17" s="15">
        <v>19.71</v>
      </c>
      <c r="E17" s="18">
        <v>0</v>
      </c>
      <c r="F17" s="15">
        <v>15.33</v>
      </c>
      <c r="G17" s="17"/>
    </row>
    <row r="18" spans="1:7" x14ac:dyDescent="0.25">
      <c r="A18" s="6" t="s">
        <v>116</v>
      </c>
      <c r="B18" s="15">
        <v>203.86</v>
      </c>
      <c r="C18" s="18">
        <v>0</v>
      </c>
      <c r="D18" s="15">
        <v>8.2899999999999991</v>
      </c>
      <c r="E18" s="18">
        <v>0</v>
      </c>
      <c r="F18" s="15">
        <v>47</v>
      </c>
      <c r="G18" s="17"/>
    </row>
    <row r="19" spans="1:7" x14ac:dyDescent="0.25">
      <c r="A19" s="6" t="s">
        <v>118</v>
      </c>
      <c r="B19" s="15">
        <v>277.5</v>
      </c>
      <c r="C19" s="18">
        <v>0</v>
      </c>
      <c r="D19" s="15">
        <v>5.43</v>
      </c>
      <c r="E19" s="18">
        <v>0</v>
      </c>
      <c r="F19" s="15">
        <v>55.33</v>
      </c>
      <c r="G19" s="17"/>
    </row>
    <row r="20" spans="1:7" x14ac:dyDescent="0.25">
      <c r="A20" s="6" t="s">
        <v>119</v>
      </c>
      <c r="B20" s="15">
        <v>249.77</v>
      </c>
      <c r="C20" s="18">
        <v>0</v>
      </c>
      <c r="D20" s="15">
        <v>16.86</v>
      </c>
      <c r="E20" s="18">
        <v>0</v>
      </c>
      <c r="F20" s="15">
        <v>13.67</v>
      </c>
      <c r="G20" s="17"/>
    </row>
    <row r="21" spans="1:7" x14ac:dyDescent="0.25">
      <c r="A21" s="6" t="s">
        <v>120</v>
      </c>
      <c r="B21" s="17"/>
      <c r="C21" s="17"/>
      <c r="D21" s="17"/>
      <c r="E21" s="17"/>
      <c r="F21" s="17"/>
      <c r="G21" s="17"/>
    </row>
    <row r="22" spans="1:7" x14ac:dyDescent="0.25">
      <c r="A22" s="6" t="s">
        <v>125</v>
      </c>
      <c r="B22" s="17"/>
      <c r="C22" s="17"/>
      <c r="D22" s="17"/>
      <c r="E22" s="17"/>
      <c r="F22" s="17"/>
      <c r="G22" s="17"/>
    </row>
    <row r="23" spans="1:7" x14ac:dyDescent="0.25">
      <c r="A23" s="6" t="s">
        <v>126</v>
      </c>
      <c r="B23" s="17"/>
      <c r="C23" s="17"/>
      <c r="D23" s="17"/>
      <c r="E23" s="17"/>
      <c r="F23" s="17"/>
      <c r="G23" s="17"/>
    </row>
    <row r="24" spans="1:7" x14ac:dyDescent="0.25">
      <c r="A24" s="6" t="s">
        <v>127</v>
      </c>
      <c r="B24" s="15">
        <v>64.318181818181799</v>
      </c>
      <c r="C24" s="15">
        <v>1.79411764705882</v>
      </c>
      <c r="D24" s="15">
        <v>1379.7142857142901</v>
      </c>
      <c r="E24" s="15">
        <v>7.28571428571429</v>
      </c>
      <c r="F24" s="15">
        <v>8.6666666666666696</v>
      </c>
      <c r="G24" s="17"/>
    </row>
    <row r="25" spans="1:7" x14ac:dyDescent="0.25">
      <c r="A25" s="6" t="s">
        <v>131</v>
      </c>
      <c r="B25" s="15">
        <v>101.59090909090899</v>
      </c>
      <c r="C25" s="15">
        <v>2.3823529411764701</v>
      </c>
      <c r="D25" s="15">
        <v>922.57142857142901</v>
      </c>
      <c r="E25" s="15">
        <v>7.28571428571429</v>
      </c>
      <c r="F25" s="15">
        <v>8.6666666666666696</v>
      </c>
      <c r="G25" s="17"/>
    </row>
    <row r="26" spans="1:7" x14ac:dyDescent="0.25">
      <c r="A26" s="6" t="s">
        <v>132</v>
      </c>
      <c r="B26" s="15">
        <v>82.5</v>
      </c>
      <c r="C26" s="15">
        <v>1.5</v>
      </c>
      <c r="D26" s="15">
        <v>94</v>
      </c>
      <c r="E26" s="15">
        <v>8.7142857142857206</v>
      </c>
      <c r="F26" s="15">
        <v>12</v>
      </c>
      <c r="G26" s="17"/>
    </row>
    <row r="27" spans="1:7" x14ac:dyDescent="0.25">
      <c r="A27" s="6" t="s">
        <v>133</v>
      </c>
      <c r="B27" s="15">
        <v>73.409090909090907</v>
      </c>
      <c r="C27" s="15">
        <v>1.20588235294118</v>
      </c>
      <c r="D27" s="15">
        <v>144</v>
      </c>
      <c r="E27" s="15">
        <v>0.14285714285714299</v>
      </c>
      <c r="F27" s="15">
        <v>0.33333333333333398</v>
      </c>
      <c r="G27" s="17"/>
    </row>
    <row r="28" spans="1:7" x14ac:dyDescent="0.25">
      <c r="A28" s="6" t="s">
        <v>135</v>
      </c>
      <c r="B28" s="15">
        <v>52.954545454545503</v>
      </c>
      <c r="C28" s="15">
        <v>23.264705882352899</v>
      </c>
      <c r="D28" s="15">
        <v>165.42857142857099</v>
      </c>
      <c r="E28" s="15">
        <v>5.8571428571428603</v>
      </c>
      <c r="F28" s="15">
        <v>7</v>
      </c>
      <c r="G28" s="17"/>
    </row>
    <row r="29" spans="1:7" x14ac:dyDescent="0.25">
      <c r="A29" s="6" t="s">
        <v>136</v>
      </c>
      <c r="B29" s="15">
        <v>55.227272727272698</v>
      </c>
      <c r="C29" s="15">
        <v>20.323529411764699</v>
      </c>
      <c r="D29" s="15">
        <v>189.71428571428601</v>
      </c>
      <c r="E29" s="15">
        <v>5.8571428571428603</v>
      </c>
      <c r="F29" s="15">
        <v>7</v>
      </c>
      <c r="G29" s="17"/>
    </row>
    <row r="30" spans="1:7" x14ac:dyDescent="0.25">
      <c r="A30" s="6" t="s">
        <v>137</v>
      </c>
      <c r="B30" s="15">
        <v>53.409090909090899</v>
      </c>
      <c r="C30" s="15">
        <v>4.1470588235294104</v>
      </c>
      <c r="D30" s="15">
        <v>1652.57142857143</v>
      </c>
      <c r="E30" s="15">
        <v>4.4285714285714297</v>
      </c>
      <c r="F30" s="15">
        <v>5.3333333333333401</v>
      </c>
      <c r="G30" s="17"/>
    </row>
    <row r="31" spans="1:7" x14ac:dyDescent="0.25">
      <c r="A31" s="6" t="s">
        <v>139</v>
      </c>
      <c r="B31" s="15">
        <v>125.681818181818</v>
      </c>
      <c r="C31" s="15">
        <v>6.2058823529411802</v>
      </c>
      <c r="D31" s="15">
        <v>2046.8571428571399</v>
      </c>
      <c r="E31" s="15">
        <v>7.28571428571429</v>
      </c>
      <c r="F31" s="15">
        <v>12</v>
      </c>
      <c r="G31" s="17"/>
    </row>
    <row r="32" spans="1:7" x14ac:dyDescent="0.25">
      <c r="A32" s="6" t="s">
        <v>140</v>
      </c>
      <c r="B32" s="15">
        <v>103.40909090909101</v>
      </c>
      <c r="C32" s="15">
        <v>4.7352941176470598</v>
      </c>
      <c r="D32" s="15">
        <v>2309.7142857142899</v>
      </c>
      <c r="E32" s="15">
        <v>5.8571428571428603</v>
      </c>
      <c r="F32" s="15">
        <v>7</v>
      </c>
      <c r="G32" s="17"/>
    </row>
    <row r="33" spans="1:7" x14ac:dyDescent="0.25">
      <c r="A33" s="6" t="s">
        <v>141</v>
      </c>
      <c r="B33" s="15">
        <v>173.863636363636</v>
      </c>
      <c r="C33" s="15">
        <v>1.20588235294118</v>
      </c>
      <c r="D33" s="15">
        <v>352.57142857142901</v>
      </c>
      <c r="E33" s="15">
        <v>5.8571428571428603</v>
      </c>
      <c r="F33" s="15">
        <v>7</v>
      </c>
      <c r="G33" s="17"/>
    </row>
    <row r="34" spans="1:7" x14ac:dyDescent="0.25">
      <c r="A34" s="6" t="s">
        <v>144</v>
      </c>
      <c r="B34" s="15">
        <v>141.136363636364</v>
      </c>
      <c r="C34" s="15">
        <v>2.6764705882352899</v>
      </c>
      <c r="D34" s="15">
        <v>908.28571428571399</v>
      </c>
      <c r="E34" s="15">
        <v>8.7142857142857206</v>
      </c>
      <c r="F34" s="15">
        <v>15.3333333333333</v>
      </c>
      <c r="G34" s="17"/>
    </row>
    <row r="35" spans="1:7" x14ac:dyDescent="0.25">
      <c r="A35" s="6" t="s">
        <v>145</v>
      </c>
      <c r="B35" s="15">
        <v>191.59090909090901</v>
      </c>
      <c r="C35" s="15">
        <v>2.6764705882352899</v>
      </c>
      <c r="D35" s="15">
        <v>1044</v>
      </c>
      <c r="E35" s="15">
        <v>7.28571428571429</v>
      </c>
      <c r="F35" s="15">
        <v>33.6666666666667</v>
      </c>
      <c r="G35" s="17"/>
    </row>
    <row r="36" spans="1:7" x14ac:dyDescent="0.25">
      <c r="A36" s="6" t="s">
        <v>146</v>
      </c>
      <c r="B36" s="15">
        <v>61.590909090909101</v>
      </c>
      <c r="C36" s="15">
        <v>10.323529411764699</v>
      </c>
      <c r="D36" s="15">
        <v>4106.8571428571404</v>
      </c>
      <c r="E36" s="15">
        <v>7.28571428571429</v>
      </c>
      <c r="F36" s="15">
        <v>10.3333333333333</v>
      </c>
      <c r="G36" s="17"/>
    </row>
    <row r="37" spans="1:7" x14ac:dyDescent="0.25">
      <c r="A37" s="6" t="s">
        <v>151</v>
      </c>
      <c r="B37" s="15">
        <v>73.863636363636402</v>
      </c>
      <c r="C37" s="15">
        <v>5.0294117647058796</v>
      </c>
      <c r="D37" s="15">
        <v>322.57142857142901</v>
      </c>
      <c r="E37" s="15">
        <v>13</v>
      </c>
      <c r="F37" s="15">
        <v>15.3333333333333</v>
      </c>
      <c r="G37" s="17"/>
    </row>
    <row r="38" spans="1:7" x14ac:dyDescent="0.25">
      <c r="A38" s="6" t="s">
        <v>152</v>
      </c>
      <c r="B38" s="15">
        <v>67.954545454545496</v>
      </c>
      <c r="C38" s="15">
        <v>4.7352941176470598</v>
      </c>
      <c r="D38" s="15">
        <v>442.57142857142901</v>
      </c>
      <c r="E38" s="15">
        <v>75.857142857142904</v>
      </c>
      <c r="F38" s="15">
        <v>170.333333333333</v>
      </c>
      <c r="G38" s="17"/>
    </row>
    <row r="39" spans="1:7" x14ac:dyDescent="0.25">
      <c r="A39" s="6" t="s">
        <v>153</v>
      </c>
      <c r="B39" s="15">
        <v>80.227272727272705</v>
      </c>
      <c r="C39" s="15">
        <v>2.6764705882352899</v>
      </c>
      <c r="D39" s="15">
        <v>461.142857142857</v>
      </c>
      <c r="E39" s="15">
        <v>8.7142857142857206</v>
      </c>
      <c r="F39" s="15">
        <v>12</v>
      </c>
      <c r="G39" s="17"/>
    </row>
    <row r="40" spans="1:7" x14ac:dyDescent="0.25">
      <c r="A40" s="6" t="s">
        <v>158</v>
      </c>
      <c r="B40" s="15">
        <v>79.318181818181799</v>
      </c>
      <c r="C40" s="15">
        <v>3.8529411764705901</v>
      </c>
      <c r="D40" s="15">
        <v>566.857142857143</v>
      </c>
      <c r="E40" s="15">
        <v>7.28571428571429</v>
      </c>
      <c r="F40" s="15">
        <v>22</v>
      </c>
      <c r="G40" s="17"/>
    </row>
    <row r="41" spans="1:7" x14ac:dyDescent="0.25">
      <c r="A41" s="6" t="s">
        <v>159</v>
      </c>
      <c r="B41" s="15">
        <v>87.045454545454604</v>
      </c>
      <c r="C41" s="15">
        <v>4.1470588235294104</v>
      </c>
      <c r="D41" s="15">
        <v>1004</v>
      </c>
      <c r="E41" s="15">
        <v>10.1428571428571</v>
      </c>
      <c r="F41" s="15">
        <v>25.3333333333333</v>
      </c>
      <c r="G41" s="17"/>
    </row>
    <row r="42" spans="1:7" x14ac:dyDescent="0.25">
      <c r="A42" s="6" t="s">
        <v>160</v>
      </c>
      <c r="B42" s="15">
        <v>43.863636363636402</v>
      </c>
      <c r="C42" s="15">
        <v>3.2647058823529398</v>
      </c>
      <c r="D42" s="15">
        <v>626.857142857143</v>
      </c>
      <c r="E42" s="15">
        <v>7.28571428571429</v>
      </c>
      <c r="F42" s="15">
        <v>8.6666666666666696</v>
      </c>
      <c r="G42" s="17"/>
    </row>
    <row r="43" spans="1:7" x14ac:dyDescent="0.25">
      <c r="A43" s="6" t="s">
        <v>164</v>
      </c>
      <c r="B43" s="15">
        <v>48.863636363636402</v>
      </c>
      <c r="C43" s="15">
        <v>3.8529411764705901</v>
      </c>
      <c r="D43" s="15">
        <v>486.857142857143</v>
      </c>
      <c r="E43" s="15">
        <v>8.7142857142857206</v>
      </c>
      <c r="F43" s="15">
        <v>17</v>
      </c>
      <c r="G43" s="17"/>
    </row>
    <row r="44" spans="1:7" x14ac:dyDescent="0.25">
      <c r="A44" s="6" t="s">
        <v>165</v>
      </c>
      <c r="B44" s="15">
        <v>54.772727272727302</v>
      </c>
      <c r="C44" s="15">
        <v>3.2647058823529398</v>
      </c>
      <c r="D44" s="15">
        <v>754</v>
      </c>
      <c r="E44" s="15">
        <v>10.1428571428571</v>
      </c>
      <c r="F44" s="15">
        <v>12</v>
      </c>
      <c r="G44" s="17"/>
    </row>
    <row r="45" spans="1:7" x14ac:dyDescent="0.25">
      <c r="A45" s="6" t="s">
        <v>166</v>
      </c>
      <c r="B45" s="15">
        <v>54.318181818181799</v>
      </c>
      <c r="C45" s="15">
        <v>2.6764705882352899</v>
      </c>
      <c r="D45" s="15">
        <v>655.42857142857099</v>
      </c>
      <c r="E45" s="15">
        <v>10.1428571428571</v>
      </c>
      <c r="F45" s="15">
        <v>12</v>
      </c>
      <c r="G45" s="17"/>
    </row>
    <row r="46" spans="1:7" x14ac:dyDescent="0.25">
      <c r="A46" s="6" t="s">
        <v>168</v>
      </c>
      <c r="B46" s="15">
        <v>50.227272727272698</v>
      </c>
      <c r="C46" s="15">
        <v>3.8529411764705901</v>
      </c>
      <c r="D46" s="15">
        <v>695.42857142857099</v>
      </c>
      <c r="E46" s="15">
        <v>13</v>
      </c>
      <c r="F46" s="15">
        <v>18.6666666666667</v>
      </c>
      <c r="G46" s="17"/>
    </row>
    <row r="47" spans="1:7" x14ac:dyDescent="0.25">
      <c r="A47" s="6" t="s">
        <v>169</v>
      </c>
      <c r="B47" s="15">
        <v>46.136363636363598</v>
      </c>
      <c r="C47" s="15">
        <v>2.6764705882352899</v>
      </c>
      <c r="D47" s="15">
        <v>581.142857142857</v>
      </c>
      <c r="E47" s="15">
        <v>11.5714285714286</v>
      </c>
      <c r="F47" s="15">
        <v>13.6666666666667</v>
      </c>
      <c r="G47" s="17"/>
    </row>
    <row r="48" spans="1:7" x14ac:dyDescent="0.25">
      <c r="A48" s="6" t="s">
        <v>170</v>
      </c>
      <c r="B48" s="15">
        <v>81.136363636363598</v>
      </c>
      <c r="C48" s="15">
        <v>2.97058823529412</v>
      </c>
      <c r="D48" s="15">
        <v>702.57142857142901</v>
      </c>
      <c r="E48" s="15">
        <v>7.28571428571429</v>
      </c>
      <c r="F48" s="15">
        <v>8.6666666666666696</v>
      </c>
      <c r="G48" s="17"/>
    </row>
    <row r="49" spans="1:7" x14ac:dyDescent="0.25">
      <c r="A49" s="6" t="s">
        <v>173</v>
      </c>
      <c r="B49" s="15">
        <v>194.772727272727</v>
      </c>
      <c r="C49" s="15">
        <v>96.794117647058798</v>
      </c>
      <c r="D49" s="15">
        <v>889.71428571428601</v>
      </c>
      <c r="E49" s="15">
        <v>23</v>
      </c>
      <c r="F49" s="15">
        <v>30.3333333333333</v>
      </c>
      <c r="G49" s="17"/>
    </row>
    <row r="50" spans="1:7" x14ac:dyDescent="0.25">
      <c r="A50" s="6" t="s">
        <v>174</v>
      </c>
      <c r="B50" s="15">
        <v>53.409090909090899</v>
      </c>
      <c r="C50" s="15">
        <v>2.97058823529412</v>
      </c>
      <c r="D50" s="15">
        <v>594</v>
      </c>
      <c r="E50" s="15">
        <v>8.7142857142857206</v>
      </c>
      <c r="F50" s="15">
        <v>10.3333333333333</v>
      </c>
      <c r="G50" s="17"/>
    </row>
    <row r="51" spans="1:7" x14ac:dyDescent="0.25">
      <c r="A51" s="23" t="s">
        <v>175</v>
      </c>
      <c r="B51" s="28"/>
      <c r="C51" s="28"/>
      <c r="D51" s="28"/>
      <c r="E51" s="28"/>
      <c r="F51" s="28"/>
      <c r="G51" s="28"/>
    </row>
    <row r="52" spans="1:7" x14ac:dyDescent="0.25">
      <c r="A52" s="23" t="s">
        <v>177</v>
      </c>
      <c r="B52" s="28"/>
      <c r="C52" s="28"/>
      <c r="D52" s="28"/>
      <c r="E52" s="28"/>
      <c r="F52" s="28"/>
      <c r="G52" s="28"/>
    </row>
    <row r="53" spans="1:7" x14ac:dyDescent="0.25">
      <c r="A53" s="23" t="s">
        <v>178</v>
      </c>
      <c r="B53" s="28"/>
      <c r="C53" s="28"/>
      <c r="D53" s="28"/>
      <c r="E53" s="28"/>
      <c r="F53" s="28"/>
      <c r="G53" s="28"/>
    </row>
    <row r="54" spans="1:7" x14ac:dyDescent="0.25">
      <c r="A54" s="23" t="s">
        <v>179</v>
      </c>
      <c r="B54" s="28"/>
      <c r="C54" s="28"/>
      <c r="D54" s="28"/>
      <c r="E54" s="28"/>
      <c r="F54" s="28"/>
      <c r="G54" s="28"/>
    </row>
    <row r="55" spans="1:7" x14ac:dyDescent="0.25">
      <c r="A55" s="23" t="s">
        <v>180</v>
      </c>
      <c r="B55" s="28"/>
      <c r="C55" s="28"/>
      <c r="D55" s="28"/>
      <c r="E55" s="28"/>
      <c r="F55" s="28"/>
      <c r="G55" s="28"/>
    </row>
    <row r="56" spans="1:7" x14ac:dyDescent="0.25">
      <c r="A56" s="23" t="s">
        <v>181</v>
      </c>
      <c r="B56" s="28"/>
      <c r="C56" s="28"/>
      <c r="D56" s="28"/>
      <c r="E56" s="28"/>
      <c r="F56" s="28"/>
      <c r="G56" s="28"/>
    </row>
    <row r="57" spans="1:7" x14ac:dyDescent="0.25">
      <c r="A57" s="23" t="s">
        <v>182</v>
      </c>
      <c r="B57" s="28"/>
      <c r="C57" s="28"/>
      <c r="D57" s="28"/>
      <c r="E57" s="28"/>
      <c r="F57" s="28"/>
      <c r="G57" s="28"/>
    </row>
    <row r="58" spans="1:7" x14ac:dyDescent="0.25">
      <c r="A58" s="23" t="s">
        <v>183</v>
      </c>
      <c r="B58" s="28"/>
      <c r="C58" s="28"/>
      <c r="D58" s="28"/>
      <c r="E58" s="28"/>
      <c r="F58" s="28"/>
      <c r="G58" s="28"/>
    </row>
    <row r="59" spans="1:7" x14ac:dyDescent="0.25">
      <c r="A59" s="23" t="s">
        <v>184</v>
      </c>
      <c r="B59" s="28"/>
      <c r="C59" s="28"/>
      <c r="D59" s="28"/>
      <c r="E59" s="28"/>
      <c r="F59" s="28"/>
      <c r="G59" s="28"/>
    </row>
    <row r="60" spans="1:7" x14ac:dyDescent="0.25">
      <c r="A60" s="23" t="s">
        <v>185</v>
      </c>
      <c r="B60" s="28"/>
      <c r="C60" s="28"/>
      <c r="D60" s="28"/>
      <c r="E60" s="28"/>
      <c r="F60" s="28"/>
      <c r="G60" s="28"/>
    </row>
    <row r="61" spans="1:7" x14ac:dyDescent="0.25">
      <c r="A61" s="23" t="s">
        <v>186</v>
      </c>
      <c r="B61" s="28"/>
      <c r="C61" s="28"/>
      <c r="D61" s="28"/>
      <c r="E61" s="28"/>
      <c r="F61" s="28"/>
      <c r="G61" s="28"/>
    </row>
    <row r="62" spans="1:7" x14ac:dyDescent="0.25">
      <c r="A62" s="23" t="s">
        <v>187</v>
      </c>
      <c r="B62" s="28"/>
      <c r="C62" s="28"/>
      <c r="D62" s="28"/>
      <c r="E62" s="28"/>
      <c r="F62" s="28"/>
      <c r="G62" s="28"/>
    </row>
    <row r="63" spans="1:7" x14ac:dyDescent="0.25">
      <c r="A63" s="23" t="s">
        <v>188</v>
      </c>
      <c r="B63" s="28"/>
      <c r="C63" s="28"/>
      <c r="D63" s="28"/>
      <c r="E63" s="28"/>
      <c r="F63" s="28"/>
      <c r="G63" s="28"/>
    </row>
    <row r="64" spans="1:7" x14ac:dyDescent="0.25">
      <c r="A64" s="23" t="s">
        <v>189</v>
      </c>
      <c r="B64" s="28"/>
      <c r="C64" s="28"/>
      <c r="D64" s="28"/>
      <c r="E64" s="28"/>
      <c r="F64" s="28"/>
      <c r="G64" s="28"/>
    </row>
    <row r="65" spans="1:7" x14ac:dyDescent="0.25">
      <c r="A65" s="23" t="s">
        <v>190</v>
      </c>
      <c r="B65" s="28"/>
      <c r="C65" s="28"/>
      <c r="D65" s="28"/>
      <c r="E65" s="28"/>
      <c r="F65" s="28"/>
      <c r="G65" s="28"/>
    </row>
    <row r="66" spans="1:7" x14ac:dyDescent="0.25">
      <c r="A66" s="23" t="s">
        <v>191</v>
      </c>
      <c r="B66" s="28"/>
      <c r="C66" s="28"/>
      <c r="D66" s="28"/>
      <c r="E66" s="28"/>
      <c r="F66" s="28"/>
      <c r="G66" s="28"/>
    </row>
    <row r="67" spans="1:7" x14ac:dyDescent="0.25">
      <c r="A67" s="23" t="s">
        <v>192</v>
      </c>
      <c r="B67" s="28"/>
      <c r="C67" s="28"/>
      <c r="D67" s="28"/>
      <c r="E67" s="28"/>
      <c r="F67" s="28"/>
      <c r="G67" s="28"/>
    </row>
    <row r="68" spans="1:7" x14ac:dyDescent="0.25">
      <c r="A68" s="23" t="s">
        <v>193</v>
      </c>
      <c r="B68" s="28"/>
      <c r="C68" s="28"/>
      <c r="D68" s="28"/>
      <c r="E68" s="28"/>
      <c r="F68" s="28"/>
      <c r="G68" s="28"/>
    </row>
    <row r="69" spans="1:7" x14ac:dyDescent="0.25">
      <c r="A69" s="23" t="s">
        <v>194</v>
      </c>
      <c r="B69" s="28"/>
      <c r="C69" s="28"/>
      <c r="D69" s="28"/>
      <c r="E69" s="28"/>
      <c r="F69" s="28"/>
      <c r="G69" s="28"/>
    </row>
    <row r="70" spans="1:7" x14ac:dyDescent="0.25">
      <c r="A70" s="23" t="s">
        <v>195</v>
      </c>
      <c r="B70" s="28"/>
      <c r="C70" s="28"/>
      <c r="D70" s="28"/>
      <c r="E70" s="28"/>
      <c r="F70" s="28"/>
      <c r="G70" s="28"/>
    </row>
    <row r="71" spans="1:7" x14ac:dyDescent="0.25">
      <c r="A71" s="23" t="s">
        <v>196</v>
      </c>
      <c r="B71" s="28"/>
      <c r="C71" s="28"/>
      <c r="D71" s="28"/>
      <c r="E71" s="28"/>
      <c r="F71" s="28"/>
      <c r="G71" s="28"/>
    </row>
    <row r="72" spans="1:7" x14ac:dyDescent="0.25">
      <c r="A72" s="23" t="s">
        <v>197</v>
      </c>
      <c r="B72" s="28"/>
      <c r="C72" s="28"/>
      <c r="D72" s="28"/>
      <c r="E72" s="28"/>
      <c r="F72" s="28"/>
      <c r="G72" s="28"/>
    </row>
    <row r="73" spans="1:7" x14ac:dyDescent="0.25">
      <c r="A73" s="23" t="s">
        <v>198</v>
      </c>
      <c r="B73" s="28"/>
      <c r="C73" s="28"/>
      <c r="D73" s="28"/>
      <c r="E73" s="28"/>
      <c r="F73" s="28"/>
      <c r="G73" s="28"/>
    </row>
    <row r="74" spans="1:7" x14ac:dyDescent="0.25">
      <c r="A74" s="23" t="s">
        <v>199</v>
      </c>
      <c r="B74" s="28"/>
      <c r="C74" s="28"/>
      <c r="D74" s="28"/>
      <c r="E74" s="28"/>
      <c r="F74" s="28"/>
      <c r="G74" s="28"/>
    </row>
    <row r="75" spans="1:7" x14ac:dyDescent="0.25">
      <c r="A75" s="23" t="s">
        <v>200</v>
      </c>
      <c r="B75" s="28"/>
      <c r="C75" s="28"/>
      <c r="D75" s="28"/>
      <c r="E75" s="28"/>
      <c r="F75" s="28"/>
      <c r="G75" s="28"/>
    </row>
    <row r="76" spans="1:7" x14ac:dyDescent="0.25">
      <c r="A76" s="23" t="s">
        <v>201</v>
      </c>
      <c r="B76" s="28"/>
      <c r="C76" s="28"/>
      <c r="D76" s="28"/>
      <c r="E76" s="28"/>
      <c r="F76" s="28"/>
      <c r="G76" s="28"/>
    </row>
    <row r="77" spans="1:7" x14ac:dyDescent="0.25">
      <c r="A77" s="23" t="s">
        <v>202</v>
      </c>
      <c r="B77" s="28"/>
      <c r="C77" s="28"/>
      <c r="D77" s="28"/>
      <c r="E77" s="28"/>
      <c r="F77" s="28"/>
      <c r="G77" s="28"/>
    </row>
    <row r="78" spans="1:7" x14ac:dyDescent="0.25">
      <c r="A78" s="23" t="s">
        <v>203</v>
      </c>
      <c r="B78" s="28"/>
      <c r="C78" s="28"/>
      <c r="D78" s="28"/>
      <c r="E78" s="28"/>
      <c r="F78" s="28"/>
      <c r="G78" s="28"/>
    </row>
    <row r="79" spans="1:7" x14ac:dyDescent="0.25">
      <c r="A79" s="23" t="s">
        <v>204</v>
      </c>
      <c r="B79" s="28"/>
      <c r="C79" s="28"/>
      <c r="D79" s="28"/>
      <c r="E79" s="28"/>
      <c r="F79" s="28"/>
      <c r="G79" s="28"/>
    </row>
    <row r="80" spans="1:7" x14ac:dyDescent="0.25">
      <c r="A80" s="23" t="s">
        <v>205</v>
      </c>
      <c r="B80" s="28"/>
      <c r="C80" s="28"/>
      <c r="D80" s="28"/>
      <c r="E80" s="28"/>
      <c r="F80" s="28"/>
      <c r="G80" s="28"/>
    </row>
    <row r="81" spans="1:7" x14ac:dyDescent="0.25">
      <c r="A81" s="23" t="s">
        <v>206</v>
      </c>
      <c r="B81" s="28"/>
      <c r="C81" s="28"/>
      <c r="D81" s="28"/>
      <c r="E81" s="28"/>
      <c r="F81" s="28"/>
      <c r="G81" s="28"/>
    </row>
    <row r="82" spans="1:7" x14ac:dyDescent="0.25">
      <c r="A82" s="23" t="s">
        <v>207</v>
      </c>
      <c r="B82" s="28"/>
      <c r="C82" s="28"/>
      <c r="D82" s="28"/>
      <c r="E82" s="28"/>
      <c r="F82" s="28"/>
      <c r="G82" s="28"/>
    </row>
    <row r="83" spans="1:7" x14ac:dyDescent="0.25">
      <c r="A83" s="23" t="s">
        <v>208</v>
      </c>
      <c r="B83" s="28"/>
      <c r="C83" s="28"/>
      <c r="D83" s="28"/>
      <c r="E83" s="28"/>
      <c r="F83" s="28"/>
      <c r="G83" s="28"/>
    </row>
    <row r="84" spans="1:7" x14ac:dyDescent="0.25">
      <c r="A84" s="23" t="s">
        <v>209</v>
      </c>
      <c r="B84" s="28"/>
      <c r="C84" s="28"/>
      <c r="D84" s="28"/>
      <c r="E84" s="28"/>
      <c r="F84" s="28"/>
      <c r="G84" s="28"/>
    </row>
    <row r="85" spans="1:7" x14ac:dyDescent="0.25">
      <c r="A85" s="23" t="s">
        <v>210</v>
      </c>
      <c r="B85" s="28"/>
      <c r="C85" s="28"/>
      <c r="D85" s="28"/>
      <c r="E85" s="28"/>
      <c r="F85" s="28"/>
      <c r="G85" s="28"/>
    </row>
    <row r="86" spans="1:7" x14ac:dyDescent="0.25">
      <c r="A86" s="23" t="s">
        <v>211</v>
      </c>
      <c r="B86" s="28"/>
      <c r="C86" s="28"/>
      <c r="D86" s="28"/>
      <c r="E86" s="28"/>
      <c r="F86" s="28"/>
      <c r="G86" s="28"/>
    </row>
    <row r="87" spans="1:7" x14ac:dyDescent="0.25">
      <c r="A87" s="23" t="s">
        <v>212</v>
      </c>
      <c r="B87" s="28"/>
      <c r="C87" s="28"/>
      <c r="D87" s="28"/>
      <c r="E87" s="28"/>
      <c r="F87" s="28"/>
      <c r="G87" s="28"/>
    </row>
    <row r="88" spans="1:7" x14ac:dyDescent="0.25">
      <c r="A88" s="23" t="s">
        <v>213</v>
      </c>
      <c r="B88" s="28"/>
      <c r="C88" s="28"/>
      <c r="D88" s="28"/>
      <c r="E88" s="28"/>
      <c r="F88" s="28"/>
      <c r="G88" s="28"/>
    </row>
    <row r="89" spans="1:7" x14ac:dyDescent="0.25">
      <c r="A89" s="23" t="s">
        <v>214</v>
      </c>
      <c r="B89" s="28"/>
      <c r="C89" s="28"/>
      <c r="D89" s="28"/>
      <c r="E89" s="28"/>
      <c r="F89" s="28"/>
      <c r="G89" s="28"/>
    </row>
    <row r="90" spans="1:7" x14ac:dyDescent="0.25">
      <c r="A90" s="23" t="s">
        <v>215</v>
      </c>
      <c r="B90" s="28"/>
      <c r="C90" s="28"/>
      <c r="D90" s="28"/>
      <c r="E90" s="28"/>
      <c r="F90" s="28"/>
      <c r="G90" s="28"/>
    </row>
    <row r="91" spans="1:7" x14ac:dyDescent="0.25">
      <c r="A91" s="23" t="s">
        <v>216</v>
      </c>
      <c r="B91" s="28"/>
      <c r="C91" s="28"/>
      <c r="D91" s="28"/>
      <c r="E91" s="28"/>
      <c r="F91" s="28"/>
      <c r="G91" s="28"/>
    </row>
    <row r="92" spans="1:7" x14ac:dyDescent="0.25">
      <c r="A92" s="23" t="s">
        <v>217</v>
      </c>
      <c r="B92" s="28"/>
      <c r="C92" s="28"/>
      <c r="D92" s="28"/>
      <c r="E92" s="28"/>
      <c r="F92" s="28"/>
      <c r="G92" s="28"/>
    </row>
    <row r="93" spans="1:7" x14ac:dyDescent="0.25">
      <c r="A93" s="23" t="s">
        <v>218</v>
      </c>
      <c r="B93" s="28"/>
      <c r="C93" s="28"/>
      <c r="D93" s="28"/>
      <c r="E93" s="28"/>
      <c r="F93" s="28"/>
      <c r="G93" s="28"/>
    </row>
    <row r="94" spans="1:7" x14ac:dyDescent="0.25">
      <c r="A94" s="23" t="s">
        <v>219</v>
      </c>
      <c r="B94" s="28"/>
      <c r="C94" s="28"/>
      <c r="D94" s="28"/>
      <c r="E94" s="28"/>
      <c r="F94" s="28"/>
      <c r="G94" s="28"/>
    </row>
    <row r="95" spans="1:7" x14ac:dyDescent="0.25">
      <c r="A95" s="23" t="s">
        <v>220</v>
      </c>
      <c r="B95" s="28"/>
      <c r="C95" s="28"/>
      <c r="D95" s="28"/>
      <c r="E95" s="28"/>
      <c r="F95" s="28"/>
      <c r="G95" s="28"/>
    </row>
    <row r="96" spans="1:7" x14ac:dyDescent="0.25">
      <c r="A96" s="23" t="s">
        <v>221</v>
      </c>
      <c r="B96" s="28"/>
      <c r="C96" s="28"/>
      <c r="D96" s="28"/>
      <c r="E96" s="28"/>
      <c r="F96" s="28"/>
      <c r="G96" s="28"/>
    </row>
    <row r="97" spans="1:7" x14ac:dyDescent="0.25">
      <c r="A97" s="23" t="s">
        <v>222</v>
      </c>
      <c r="B97" s="28"/>
      <c r="C97" s="28"/>
      <c r="D97" s="28"/>
      <c r="E97" s="28"/>
      <c r="F97" s="28"/>
      <c r="G97" s="28"/>
    </row>
    <row r="98" spans="1:7" x14ac:dyDescent="0.25">
      <c r="A98" s="23" t="s">
        <v>223</v>
      </c>
      <c r="B98" s="28"/>
      <c r="C98" s="28"/>
      <c r="D98" s="28"/>
      <c r="E98" s="28"/>
      <c r="F98" s="28"/>
      <c r="G98" s="28"/>
    </row>
    <row r="99" spans="1:7" x14ac:dyDescent="0.25">
      <c r="A99" s="5"/>
      <c r="B99" s="5"/>
      <c r="C99" s="5"/>
      <c r="D99" s="5"/>
      <c r="E99" s="5"/>
      <c r="F99" s="5"/>
      <c r="G99" s="5"/>
    </row>
    <row r="100" spans="1:7" x14ac:dyDescent="0.25">
      <c r="A100" s="5"/>
      <c r="B100" s="5"/>
      <c r="C100" s="5"/>
      <c r="D100" s="5"/>
      <c r="E100" s="5"/>
      <c r="F100" s="5"/>
      <c r="G100" s="5"/>
    </row>
    <row r="101" spans="1:7" x14ac:dyDescent="0.25">
      <c r="A101" s="5"/>
      <c r="B101" s="5"/>
      <c r="C101" s="5"/>
      <c r="D101" s="5"/>
      <c r="E101" s="5"/>
      <c r="F101" s="5"/>
      <c r="G101" s="5"/>
    </row>
    <row r="102" spans="1:7" x14ac:dyDescent="0.25">
      <c r="A102" s="5"/>
      <c r="B102" s="5"/>
      <c r="C102" s="5"/>
      <c r="D102" s="5"/>
      <c r="E102" s="5"/>
      <c r="F102" s="5"/>
      <c r="G102" s="5"/>
    </row>
    <row r="103" spans="1:7" x14ac:dyDescent="0.25">
      <c r="A103" s="5"/>
      <c r="B103" s="5"/>
      <c r="C103" s="5"/>
      <c r="D103" s="5"/>
      <c r="E103" s="5"/>
      <c r="F103" s="5"/>
      <c r="G103" s="5"/>
    </row>
    <row r="104" spans="1:7" x14ac:dyDescent="0.25">
      <c r="A104" s="5"/>
      <c r="B104" s="5"/>
      <c r="C104" s="5"/>
      <c r="D104" s="5"/>
      <c r="E104" s="5"/>
      <c r="F104" s="5"/>
      <c r="G104" s="5"/>
    </row>
    <row r="105" spans="1:7" x14ac:dyDescent="0.25">
      <c r="A105" s="5"/>
      <c r="B105" s="5"/>
      <c r="C105" s="5"/>
      <c r="D105" s="5"/>
      <c r="E105" s="5"/>
      <c r="F105" s="5"/>
      <c r="G105" s="5"/>
    </row>
    <row r="106" spans="1:7" x14ac:dyDescent="0.25">
      <c r="A106" s="5"/>
      <c r="B106" s="5"/>
      <c r="C106" s="5"/>
      <c r="D106" s="5"/>
      <c r="E106" s="5"/>
      <c r="F106" s="5"/>
      <c r="G106" s="5"/>
    </row>
    <row r="107" spans="1:7" x14ac:dyDescent="0.25">
      <c r="A107" s="5"/>
      <c r="B107" s="5"/>
      <c r="C107" s="5"/>
      <c r="D107" s="5"/>
      <c r="E107" s="5"/>
      <c r="F107" s="5"/>
      <c r="G107" s="5"/>
    </row>
    <row r="108" spans="1:7" x14ac:dyDescent="0.25">
      <c r="A108" s="5"/>
      <c r="B108" s="5"/>
      <c r="C108" s="5"/>
      <c r="D108" s="5"/>
      <c r="E108" s="5"/>
      <c r="F108" s="5"/>
      <c r="G108" s="5"/>
    </row>
    <row r="109" spans="1:7" x14ac:dyDescent="0.25">
      <c r="A109" s="5"/>
      <c r="B109" s="5"/>
      <c r="C109" s="5"/>
      <c r="D109" s="5"/>
      <c r="E109" s="5"/>
      <c r="F109" s="5"/>
      <c r="G109" s="5"/>
    </row>
    <row r="110" spans="1:7" x14ac:dyDescent="0.25">
      <c r="A110" s="5"/>
      <c r="B110" s="5"/>
      <c r="C110" s="5"/>
      <c r="D110" s="5"/>
      <c r="E110" s="5"/>
      <c r="F110" s="5"/>
      <c r="G110" s="5"/>
    </row>
    <row r="111" spans="1:7" x14ac:dyDescent="0.25">
      <c r="A111" s="5"/>
      <c r="B111" s="5"/>
      <c r="C111" s="5"/>
      <c r="D111" s="5"/>
      <c r="E111" s="5"/>
      <c r="F111" s="5"/>
      <c r="G111" s="5"/>
    </row>
    <row r="112" spans="1:7" x14ac:dyDescent="0.25">
      <c r="A112" s="5"/>
      <c r="B112" s="5"/>
      <c r="C112" s="5"/>
      <c r="D112" s="5"/>
      <c r="E112" s="5"/>
      <c r="F112" s="5"/>
      <c r="G112" s="5"/>
    </row>
    <row r="113" spans="1:7" x14ac:dyDescent="0.25">
      <c r="A113" s="5"/>
      <c r="B113" s="5"/>
      <c r="C113" s="5"/>
      <c r="D113" s="5"/>
      <c r="E113" s="5"/>
      <c r="F113" s="5"/>
      <c r="G113" s="5"/>
    </row>
    <row r="114" spans="1:7" x14ac:dyDescent="0.25">
      <c r="A114" s="5"/>
      <c r="B114" s="5"/>
      <c r="C114" s="5"/>
      <c r="D114" s="5"/>
      <c r="E114" s="5"/>
      <c r="F114" s="5"/>
      <c r="G114" s="5"/>
    </row>
    <row r="115" spans="1:7" x14ac:dyDescent="0.25">
      <c r="A115" s="5"/>
      <c r="B115" s="5"/>
      <c r="C115" s="5"/>
      <c r="D115" s="5"/>
      <c r="E115" s="5"/>
      <c r="F115" s="5"/>
      <c r="G115" s="5"/>
    </row>
    <row r="116" spans="1:7" x14ac:dyDescent="0.25">
      <c r="A116" s="5"/>
      <c r="B116" s="5"/>
      <c r="C116" s="5"/>
      <c r="D116" s="5"/>
      <c r="E116" s="5"/>
      <c r="F116" s="5"/>
      <c r="G116" s="5"/>
    </row>
    <row r="117" spans="1:7" x14ac:dyDescent="0.25">
      <c r="A117" s="5"/>
      <c r="B117" s="5"/>
      <c r="C117" s="5"/>
      <c r="D117" s="5"/>
      <c r="E117" s="5"/>
      <c r="F117" s="5"/>
      <c r="G117" s="5"/>
    </row>
    <row r="118" spans="1:7" x14ac:dyDescent="0.25">
      <c r="A118" s="5"/>
      <c r="B118" s="5"/>
      <c r="C118" s="5"/>
      <c r="D118" s="5"/>
      <c r="E118" s="5"/>
      <c r="F118" s="5"/>
      <c r="G118" s="5"/>
    </row>
    <row r="119" spans="1:7" x14ac:dyDescent="0.25">
      <c r="A119" s="5"/>
      <c r="B119" s="5"/>
      <c r="C119" s="5"/>
      <c r="D119" s="5"/>
      <c r="E119" s="5"/>
      <c r="F119" s="5"/>
      <c r="G119" s="5"/>
    </row>
    <row r="120" spans="1:7" x14ac:dyDescent="0.25">
      <c r="A120" s="5"/>
      <c r="B120" s="5"/>
      <c r="C120" s="5"/>
      <c r="D120" s="5"/>
      <c r="E120" s="5"/>
      <c r="F120" s="5"/>
      <c r="G120" s="5"/>
    </row>
    <row r="121" spans="1:7" x14ac:dyDescent="0.25">
      <c r="A121" s="5"/>
      <c r="B121" s="5"/>
      <c r="C121" s="5"/>
      <c r="D121" s="5"/>
      <c r="E121" s="5"/>
      <c r="F121" s="5"/>
      <c r="G121" s="5"/>
    </row>
    <row r="122" spans="1:7" x14ac:dyDescent="0.25">
      <c r="A122" s="5"/>
      <c r="B122" s="5"/>
      <c r="C122" s="5"/>
      <c r="D122" s="5"/>
      <c r="E122" s="5"/>
      <c r="F122" s="5"/>
      <c r="G122" s="5"/>
    </row>
    <row r="123" spans="1:7" x14ac:dyDescent="0.25">
      <c r="A123" s="5"/>
      <c r="B123" s="5"/>
      <c r="C123" s="5"/>
      <c r="D123" s="5"/>
      <c r="E123" s="5"/>
      <c r="F123" s="5"/>
      <c r="G123" s="5"/>
    </row>
    <row r="124" spans="1:7" x14ac:dyDescent="0.25">
      <c r="A124" s="5"/>
      <c r="B124" s="5"/>
      <c r="C124" s="5"/>
      <c r="D124" s="5"/>
      <c r="E124" s="5"/>
      <c r="F124" s="5"/>
      <c r="G124" s="5"/>
    </row>
    <row r="125" spans="1:7" x14ac:dyDescent="0.25">
      <c r="A125" s="5"/>
      <c r="B125" s="5"/>
      <c r="C125" s="5"/>
      <c r="D125" s="5"/>
      <c r="E125" s="5"/>
      <c r="F125" s="5"/>
      <c r="G125" s="5"/>
    </row>
    <row r="126" spans="1:7" x14ac:dyDescent="0.25">
      <c r="A126" s="5"/>
      <c r="B126" s="5"/>
      <c r="C126" s="5"/>
      <c r="D126" s="5"/>
      <c r="E126" s="5"/>
      <c r="F126" s="5"/>
      <c r="G126" s="5"/>
    </row>
    <row r="127" spans="1:7" x14ac:dyDescent="0.25">
      <c r="A127" s="5"/>
      <c r="B127" s="5"/>
      <c r="C127" s="5"/>
      <c r="D127" s="5"/>
      <c r="E127" s="5"/>
      <c r="F127" s="5"/>
      <c r="G127" s="5"/>
    </row>
    <row r="128" spans="1:7" x14ac:dyDescent="0.25">
      <c r="A128" s="5"/>
      <c r="B128" s="5"/>
      <c r="C128" s="5"/>
      <c r="D128" s="5"/>
      <c r="E128" s="5"/>
      <c r="F128" s="5"/>
      <c r="G128" s="5"/>
    </row>
    <row r="129" spans="1:7" x14ac:dyDescent="0.25">
      <c r="A129" s="5"/>
      <c r="B129" s="5"/>
      <c r="C129" s="5"/>
      <c r="D129" s="5"/>
      <c r="E129" s="5"/>
      <c r="F129" s="5"/>
      <c r="G129" s="5"/>
    </row>
    <row r="130" spans="1:7" x14ac:dyDescent="0.25">
      <c r="A130" s="5"/>
      <c r="B130" s="5"/>
      <c r="C130" s="5"/>
      <c r="D130" s="5"/>
      <c r="E130" s="5"/>
      <c r="F130" s="5"/>
      <c r="G130" s="5"/>
    </row>
    <row r="131" spans="1:7" x14ac:dyDescent="0.25">
      <c r="A131" s="5"/>
      <c r="B131" s="5"/>
      <c r="C131" s="5"/>
      <c r="D131" s="5"/>
      <c r="E131" s="5"/>
      <c r="F131" s="5"/>
      <c r="G131" s="5"/>
    </row>
    <row r="132" spans="1:7" x14ac:dyDescent="0.25">
      <c r="A132" s="5"/>
      <c r="B132" s="5"/>
      <c r="C132" s="5"/>
      <c r="D132" s="5"/>
      <c r="E132" s="5"/>
      <c r="F132" s="5"/>
      <c r="G132" s="5"/>
    </row>
    <row r="133" spans="1:7" x14ac:dyDescent="0.25">
      <c r="A133" s="5"/>
      <c r="B133" s="5"/>
      <c r="C133" s="5"/>
      <c r="D133" s="5"/>
      <c r="E133" s="5"/>
      <c r="F133" s="5"/>
      <c r="G133" s="5"/>
    </row>
    <row r="134" spans="1:7" x14ac:dyDescent="0.25">
      <c r="A134" s="5"/>
      <c r="B134" s="5"/>
      <c r="C134" s="5"/>
      <c r="D134" s="5"/>
      <c r="E134" s="5"/>
      <c r="F134" s="5"/>
      <c r="G134" s="5"/>
    </row>
    <row r="135" spans="1:7" x14ac:dyDescent="0.25">
      <c r="A135" s="5"/>
      <c r="B135" s="5"/>
      <c r="C135" s="5"/>
      <c r="D135" s="5"/>
      <c r="E135" s="5"/>
      <c r="F135" s="5"/>
      <c r="G135" s="5"/>
    </row>
    <row r="136" spans="1:7" x14ac:dyDescent="0.25">
      <c r="A136" s="5"/>
      <c r="B136" s="5"/>
      <c r="C136" s="5"/>
      <c r="D136" s="5"/>
      <c r="E136" s="5"/>
      <c r="F136" s="5"/>
      <c r="G136" s="5"/>
    </row>
    <row r="137" spans="1:7" x14ac:dyDescent="0.25">
      <c r="A137" s="5"/>
      <c r="B137" s="5"/>
      <c r="C137" s="5"/>
      <c r="D137" s="5"/>
      <c r="E137" s="5"/>
      <c r="F137" s="5"/>
      <c r="G137" s="5"/>
    </row>
    <row r="138" spans="1:7" x14ac:dyDescent="0.25">
      <c r="A138" s="5"/>
      <c r="B138" s="5"/>
      <c r="C138" s="5"/>
      <c r="D138" s="5"/>
      <c r="E138" s="5"/>
      <c r="F138" s="5"/>
      <c r="G138" s="5"/>
    </row>
    <row r="139" spans="1:7" x14ac:dyDescent="0.25">
      <c r="A139" s="5"/>
      <c r="B139" s="5"/>
      <c r="C139" s="5"/>
      <c r="D139" s="5"/>
      <c r="E139" s="5"/>
      <c r="F139" s="5"/>
      <c r="G139" s="5"/>
    </row>
    <row r="140" spans="1:7" x14ac:dyDescent="0.25">
      <c r="A140" s="5"/>
      <c r="B140" s="5"/>
      <c r="C140" s="5"/>
      <c r="D140" s="5"/>
      <c r="E140" s="5"/>
      <c r="F140" s="5"/>
      <c r="G140" s="5"/>
    </row>
    <row r="141" spans="1:7" x14ac:dyDescent="0.25">
      <c r="A141" s="5"/>
      <c r="B141" s="5"/>
      <c r="C141" s="5"/>
      <c r="D141" s="5"/>
      <c r="E141" s="5"/>
      <c r="F141" s="5"/>
      <c r="G141" s="5"/>
    </row>
    <row r="142" spans="1:7" x14ac:dyDescent="0.25">
      <c r="A142" s="5"/>
      <c r="B142" s="5"/>
      <c r="C142" s="5"/>
      <c r="D142" s="5"/>
      <c r="E142" s="5"/>
      <c r="F142" s="5"/>
      <c r="G142" s="5"/>
    </row>
    <row r="143" spans="1:7" x14ac:dyDescent="0.25">
      <c r="A143" s="5"/>
      <c r="B143" s="5"/>
      <c r="C143" s="5"/>
      <c r="D143" s="5"/>
      <c r="E143" s="5"/>
      <c r="F143" s="5"/>
      <c r="G143" s="5"/>
    </row>
    <row r="144" spans="1:7" x14ac:dyDescent="0.25">
      <c r="A144" s="5"/>
      <c r="B144" s="5"/>
      <c r="C144" s="5"/>
      <c r="D144" s="5"/>
      <c r="E144" s="5"/>
      <c r="F144" s="5"/>
      <c r="G144" s="5"/>
    </row>
    <row r="145" spans="1:7" x14ac:dyDescent="0.25">
      <c r="A145" s="5"/>
      <c r="B145" s="5"/>
      <c r="C145" s="5"/>
      <c r="D145" s="5"/>
      <c r="E145" s="5"/>
      <c r="F145" s="5"/>
      <c r="G145" s="5"/>
    </row>
    <row r="146" spans="1:7" x14ac:dyDescent="0.25">
      <c r="A146" s="5"/>
      <c r="B146" s="5"/>
      <c r="C146" s="5"/>
      <c r="D146" s="5"/>
      <c r="E146" s="5"/>
      <c r="F146" s="5"/>
      <c r="G146" s="5"/>
    </row>
    <row r="147" spans="1:7" x14ac:dyDescent="0.25">
      <c r="A147" s="5"/>
      <c r="B147" s="5"/>
      <c r="C147" s="5"/>
      <c r="D147" s="5"/>
      <c r="E147" s="5"/>
      <c r="F147" s="5"/>
      <c r="G147" s="5"/>
    </row>
    <row r="148" spans="1:7" x14ac:dyDescent="0.25">
      <c r="A148" s="5"/>
      <c r="B148" s="5"/>
      <c r="C148" s="5"/>
      <c r="D148" s="5"/>
      <c r="E148" s="5"/>
      <c r="F148" s="5"/>
      <c r="G148" s="5"/>
    </row>
    <row r="149" spans="1:7" x14ac:dyDescent="0.25">
      <c r="A149" s="5"/>
      <c r="B149" s="5"/>
      <c r="C149" s="5"/>
      <c r="D149" s="5"/>
      <c r="E149" s="5"/>
      <c r="F149" s="5"/>
      <c r="G149" s="5"/>
    </row>
    <row r="150" spans="1:7" x14ac:dyDescent="0.25">
      <c r="A150" s="5"/>
      <c r="B150" s="5"/>
      <c r="C150" s="5"/>
      <c r="D150" s="5"/>
      <c r="E150" s="5"/>
      <c r="F150" s="5"/>
      <c r="G150" s="5"/>
    </row>
    <row r="151" spans="1:7" x14ac:dyDescent="0.25">
      <c r="A151" s="5"/>
      <c r="B151" s="5"/>
      <c r="C151" s="5"/>
      <c r="D151" s="5"/>
      <c r="E151" s="5"/>
      <c r="F151" s="5"/>
      <c r="G151" s="5"/>
    </row>
    <row r="152" spans="1:7" x14ac:dyDescent="0.25">
      <c r="A152" s="5"/>
      <c r="B152" s="5"/>
      <c r="C152" s="5"/>
      <c r="D152" s="5"/>
      <c r="E152" s="5"/>
      <c r="F152" s="5"/>
      <c r="G152" s="5"/>
    </row>
    <row r="153" spans="1:7" x14ac:dyDescent="0.25">
      <c r="A153" s="5"/>
      <c r="B153" s="5"/>
      <c r="C153" s="5"/>
      <c r="D153" s="5"/>
      <c r="E153" s="5"/>
      <c r="F153" s="5"/>
      <c r="G153" s="5"/>
    </row>
    <row r="154" spans="1:7" x14ac:dyDescent="0.25">
      <c r="A154" s="5"/>
      <c r="B154" s="5"/>
      <c r="C154" s="5"/>
      <c r="D154" s="5"/>
      <c r="E154" s="5"/>
      <c r="F154" s="5"/>
      <c r="G154" s="5"/>
    </row>
    <row r="155" spans="1:7" x14ac:dyDescent="0.25">
      <c r="A155" s="5"/>
      <c r="B155" s="5"/>
      <c r="C155" s="5"/>
      <c r="D155" s="5"/>
      <c r="E155" s="5"/>
      <c r="F155" s="5"/>
      <c r="G155" s="5"/>
    </row>
    <row r="156" spans="1:7" x14ac:dyDescent="0.25">
      <c r="A156" s="5"/>
      <c r="B156" s="5"/>
      <c r="C156" s="5"/>
      <c r="D156" s="5"/>
      <c r="E156" s="5"/>
      <c r="F156" s="5"/>
      <c r="G156" s="5"/>
    </row>
    <row r="157" spans="1:7" x14ac:dyDescent="0.25">
      <c r="A157" s="5"/>
      <c r="B157" s="5"/>
      <c r="C157" s="5"/>
      <c r="D157" s="5"/>
      <c r="E157" s="5"/>
      <c r="F157" s="5"/>
      <c r="G157" s="5"/>
    </row>
    <row r="158" spans="1:7" x14ac:dyDescent="0.25">
      <c r="A158" s="5"/>
      <c r="B158" s="5"/>
      <c r="C158" s="5"/>
      <c r="D158" s="5"/>
      <c r="E158" s="5"/>
      <c r="F158" s="5"/>
      <c r="G158" s="5"/>
    </row>
    <row r="159" spans="1:7" x14ac:dyDescent="0.25">
      <c r="A159" s="5"/>
      <c r="B159" s="5"/>
      <c r="C159" s="5"/>
      <c r="D159" s="5"/>
      <c r="E159" s="5"/>
      <c r="F159" s="5"/>
      <c r="G159" s="5"/>
    </row>
    <row r="160" spans="1:7" x14ac:dyDescent="0.25">
      <c r="A160" s="5"/>
      <c r="B160" s="5"/>
      <c r="C160" s="5"/>
      <c r="D160" s="5"/>
      <c r="E160" s="5"/>
      <c r="F160" s="5"/>
      <c r="G160" s="5"/>
    </row>
    <row r="161" spans="1:7" x14ac:dyDescent="0.25">
      <c r="A161" s="5"/>
      <c r="B161" s="5"/>
      <c r="C161" s="5"/>
      <c r="D161" s="5"/>
      <c r="E161" s="5"/>
      <c r="F161" s="5"/>
      <c r="G161" s="5"/>
    </row>
    <row r="162" spans="1:7" x14ac:dyDescent="0.25">
      <c r="A162" s="5"/>
      <c r="B162" s="5"/>
      <c r="C162" s="5"/>
      <c r="D162" s="5"/>
      <c r="E162" s="5"/>
      <c r="F162" s="5"/>
      <c r="G162" s="5"/>
    </row>
    <row r="163" spans="1:7" x14ac:dyDescent="0.25">
      <c r="A163" s="5"/>
      <c r="B163" s="5"/>
      <c r="C163" s="5"/>
      <c r="D163" s="5"/>
      <c r="E163" s="5"/>
      <c r="F163" s="5"/>
      <c r="G163" s="5"/>
    </row>
    <row r="164" spans="1:7" x14ac:dyDescent="0.25">
      <c r="A164" s="5"/>
      <c r="B164" s="5"/>
      <c r="C164" s="5"/>
      <c r="D164" s="5"/>
      <c r="E164" s="5"/>
      <c r="F164" s="5"/>
      <c r="G164" s="5"/>
    </row>
    <row r="165" spans="1:7" x14ac:dyDescent="0.25">
      <c r="A165" s="5"/>
      <c r="B165" s="5"/>
      <c r="C165" s="5"/>
      <c r="D165" s="5"/>
      <c r="E165" s="5"/>
      <c r="F165" s="5"/>
      <c r="G165" s="5"/>
    </row>
    <row r="166" spans="1:7" x14ac:dyDescent="0.25">
      <c r="A166" s="5"/>
      <c r="B166" s="5"/>
      <c r="C166" s="5"/>
      <c r="D166" s="5"/>
      <c r="E166" s="5"/>
      <c r="F166" s="5"/>
      <c r="G166" s="5"/>
    </row>
    <row r="167" spans="1:7" x14ac:dyDescent="0.25">
      <c r="A167" s="5"/>
      <c r="B167" s="5"/>
      <c r="C167" s="5"/>
      <c r="D167" s="5"/>
      <c r="E167" s="5"/>
      <c r="F167" s="5"/>
      <c r="G167" s="5"/>
    </row>
    <row r="168" spans="1:7" x14ac:dyDescent="0.25">
      <c r="A168" s="5"/>
      <c r="B168" s="5"/>
      <c r="C168" s="5"/>
      <c r="D168" s="5"/>
      <c r="E168" s="5"/>
      <c r="F168" s="5"/>
      <c r="G168" s="5"/>
    </row>
    <row r="169" spans="1:7" x14ac:dyDescent="0.25">
      <c r="A169" s="5"/>
      <c r="B169" s="5"/>
      <c r="C169" s="5"/>
      <c r="D169" s="5"/>
      <c r="E169" s="5"/>
      <c r="F169" s="5"/>
      <c r="G169" s="5"/>
    </row>
    <row r="170" spans="1:7" x14ac:dyDescent="0.25">
      <c r="A170" s="5"/>
      <c r="B170" s="5"/>
      <c r="C170" s="5"/>
      <c r="D170" s="5"/>
      <c r="E170" s="5"/>
      <c r="F170" s="5"/>
      <c r="G170" s="5"/>
    </row>
    <row r="171" spans="1:7" x14ac:dyDescent="0.25">
      <c r="A171" s="5"/>
      <c r="B171" s="5"/>
      <c r="C171" s="5"/>
      <c r="D171" s="5"/>
      <c r="E171" s="5"/>
      <c r="F171" s="5"/>
      <c r="G171" s="5"/>
    </row>
    <row r="172" spans="1:7" x14ac:dyDescent="0.25">
      <c r="A172" s="5"/>
      <c r="B172" s="5"/>
      <c r="C172" s="5"/>
      <c r="D172" s="5"/>
      <c r="E172" s="5"/>
      <c r="F172" s="5"/>
      <c r="G172" s="5"/>
    </row>
    <row r="173" spans="1:7" x14ac:dyDescent="0.25">
      <c r="A173" s="5"/>
      <c r="B173" s="5"/>
      <c r="C173" s="5"/>
      <c r="D173" s="5"/>
      <c r="E173" s="5"/>
      <c r="F173" s="5"/>
      <c r="G173" s="5"/>
    </row>
    <row r="174" spans="1:7" x14ac:dyDescent="0.25">
      <c r="A174" s="5"/>
      <c r="B174" s="5"/>
      <c r="C174" s="5"/>
      <c r="D174" s="5"/>
      <c r="E174" s="5"/>
      <c r="F174" s="5"/>
      <c r="G174" s="5"/>
    </row>
    <row r="175" spans="1:7" x14ac:dyDescent="0.25">
      <c r="A175" s="5"/>
      <c r="B175" s="5"/>
      <c r="C175" s="5"/>
      <c r="D175" s="5"/>
      <c r="E175" s="5"/>
      <c r="F175" s="5"/>
      <c r="G175" s="5"/>
    </row>
    <row r="176" spans="1:7" x14ac:dyDescent="0.25">
      <c r="A176" s="5"/>
      <c r="B176" s="5"/>
      <c r="C176" s="5"/>
      <c r="D176" s="5"/>
      <c r="E176" s="5"/>
      <c r="F176" s="5"/>
      <c r="G176" s="5"/>
    </row>
    <row r="177" spans="1:7" x14ac:dyDescent="0.25">
      <c r="A177" s="5"/>
      <c r="B177" s="5"/>
      <c r="C177" s="5"/>
      <c r="D177" s="5"/>
      <c r="E177" s="5"/>
      <c r="F177" s="5"/>
      <c r="G177" s="5"/>
    </row>
    <row r="178" spans="1:7" x14ac:dyDescent="0.25">
      <c r="A178" s="5"/>
      <c r="B178" s="5"/>
      <c r="C178" s="5"/>
      <c r="D178" s="5"/>
      <c r="E178" s="5"/>
      <c r="F178" s="5"/>
      <c r="G178" s="5"/>
    </row>
    <row r="179" spans="1:7" x14ac:dyDescent="0.25">
      <c r="A179" s="5"/>
      <c r="B179" s="5"/>
      <c r="C179" s="5"/>
      <c r="D179" s="5"/>
      <c r="E179" s="5"/>
      <c r="F179" s="5"/>
      <c r="G179" s="5"/>
    </row>
    <row r="180" spans="1:7" x14ac:dyDescent="0.25">
      <c r="A180" s="5"/>
      <c r="B180" s="5"/>
      <c r="C180" s="5"/>
      <c r="D180" s="5"/>
      <c r="E180" s="5"/>
      <c r="F180" s="5"/>
      <c r="G180" s="5"/>
    </row>
    <row r="181" spans="1:7" x14ac:dyDescent="0.25">
      <c r="A181" s="5"/>
      <c r="B181" s="5"/>
      <c r="C181" s="5"/>
      <c r="D181" s="5"/>
      <c r="E181" s="5"/>
      <c r="F181" s="5"/>
      <c r="G181" s="5"/>
    </row>
    <row r="182" spans="1:7" x14ac:dyDescent="0.25">
      <c r="A182" s="5"/>
      <c r="B182" s="5"/>
      <c r="C182" s="5"/>
      <c r="D182" s="5"/>
      <c r="E182" s="5"/>
      <c r="F182" s="5"/>
      <c r="G182" s="5"/>
    </row>
    <row r="183" spans="1:7" x14ac:dyDescent="0.25">
      <c r="A183" s="5"/>
      <c r="B183" s="5"/>
      <c r="C183" s="5"/>
      <c r="D183" s="5"/>
      <c r="E183" s="5"/>
      <c r="F183" s="5"/>
      <c r="G183" s="5"/>
    </row>
    <row r="184" spans="1:7" x14ac:dyDescent="0.25">
      <c r="A184" s="5"/>
      <c r="B184" s="5"/>
      <c r="C184" s="5"/>
      <c r="D184" s="5"/>
      <c r="E184" s="5"/>
      <c r="F184" s="5"/>
      <c r="G184" s="5"/>
    </row>
    <row r="185" spans="1:7" x14ac:dyDescent="0.25">
      <c r="A185" s="5"/>
      <c r="B185" s="5"/>
      <c r="C185" s="5"/>
      <c r="D185" s="5"/>
      <c r="E185" s="5"/>
      <c r="F185" s="5"/>
      <c r="G185" s="5"/>
    </row>
    <row r="186" spans="1:7" x14ac:dyDescent="0.25">
      <c r="A186" s="5"/>
      <c r="B186" s="5"/>
      <c r="C186" s="5"/>
      <c r="D186" s="5"/>
      <c r="E186" s="5"/>
      <c r="F186" s="5"/>
      <c r="G186" s="5"/>
    </row>
    <row r="187" spans="1:7" x14ac:dyDescent="0.25">
      <c r="A187" s="5"/>
      <c r="B187" s="5"/>
      <c r="C187" s="5"/>
      <c r="D187" s="5"/>
      <c r="E187" s="5"/>
      <c r="F187" s="5"/>
      <c r="G187" s="5"/>
    </row>
    <row r="188" spans="1:7" x14ac:dyDescent="0.25">
      <c r="A188" s="5"/>
      <c r="B188" s="5"/>
      <c r="C188" s="5"/>
      <c r="D188" s="5"/>
      <c r="E188" s="5"/>
      <c r="F188" s="5"/>
      <c r="G188" s="5"/>
    </row>
    <row r="189" spans="1:7" x14ac:dyDescent="0.25">
      <c r="A189" s="5"/>
      <c r="B189" s="5"/>
      <c r="C189" s="5"/>
      <c r="D189" s="5"/>
      <c r="E189" s="5"/>
      <c r="F189" s="5"/>
      <c r="G189" s="5"/>
    </row>
    <row r="190" spans="1:7" x14ac:dyDescent="0.25">
      <c r="A190" s="5"/>
      <c r="B190" s="5"/>
      <c r="C190" s="5"/>
      <c r="D190" s="5"/>
      <c r="E190" s="5"/>
      <c r="F190" s="5"/>
      <c r="G190" s="5"/>
    </row>
    <row r="191" spans="1:7" x14ac:dyDescent="0.25">
      <c r="A191" s="5"/>
      <c r="B191" s="5"/>
      <c r="C191" s="5"/>
      <c r="D191" s="5"/>
      <c r="E191" s="5"/>
      <c r="F191" s="5"/>
      <c r="G191" s="5"/>
    </row>
    <row r="192" spans="1:7" x14ac:dyDescent="0.25">
      <c r="A192" s="5"/>
      <c r="B192" s="5"/>
      <c r="C192" s="5"/>
      <c r="D192" s="5"/>
      <c r="E192" s="5"/>
      <c r="F192" s="5"/>
      <c r="G192" s="5"/>
    </row>
    <row r="193" spans="1:7" x14ac:dyDescent="0.25">
      <c r="A193" s="5"/>
      <c r="B193" s="5"/>
      <c r="C193" s="5"/>
      <c r="D193" s="5"/>
      <c r="E193" s="5"/>
      <c r="F193" s="5"/>
      <c r="G193" s="5"/>
    </row>
    <row r="194" spans="1:7" x14ac:dyDescent="0.25">
      <c r="A194" s="5"/>
      <c r="B194" s="5"/>
      <c r="C194" s="5"/>
      <c r="D194" s="5"/>
      <c r="E194" s="5"/>
      <c r="F194" s="5"/>
      <c r="G194" s="5"/>
    </row>
    <row r="195" spans="1:7" x14ac:dyDescent="0.25">
      <c r="A195" s="5"/>
      <c r="B195" s="5"/>
      <c r="C195" s="5"/>
      <c r="D195" s="5"/>
      <c r="E195" s="5"/>
      <c r="F195" s="5"/>
      <c r="G195" s="5"/>
    </row>
    <row r="196" spans="1:7" x14ac:dyDescent="0.25">
      <c r="A196" s="5"/>
      <c r="B196" s="5"/>
      <c r="C196" s="5"/>
      <c r="D196" s="5"/>
      <c r="E196" s="5"/>
      <c r="F196" s="5"/>
      <c r="G196" s="5"/>
    </row>
    <row r="197" spans="1:7" x14ac:dyDescent="0.25">
      <c r="A197" s="5"/>
      <c r="B197" s="5"/>
      <c r="C197" s="5"/>
      <c r="D197" s="5"/>
      <c r="E197" s="5"/>
      <c r="F197" s="5"/>
      <c r="G197" s="5"/>
    </row>
    <row r="198" spans="1:7" x14ac:dyDescent="0.25">
      <c r="A198" s="5"/>
      <c r="B198" s="5"/>
      <c r="C198" s="5"/>
      <c r="D198" s="5"/>
      <c r="E198" s="5"/>
      <c r="F198" s="5"/>
      <c r="G198" s="5"/>
    </row>
    <row r="199" spans="1:7" x14ac:dyDescent="0.25">
      <c r="A199" s="5"/>
      <c r="B199" s="5"/>
      <c r="C199" s="5"/>
      <c r="D199" s="5"/>
      <c r="E199" s="5"/>
      <c r="F199" s="5"/>
      <c r="G199" s="5"/>
    </row>
    <row r="200" spans="1:7" x14ac:dyDescent="0.25">
      <c r="A200" s="5"/>
      <c r="B200" s="5"/>
      <c r="C200" s="5"/>
      <c r="D200" s="5"/>
      <c r="E200" s="5"/>
      <c r="F200" s="5"/>
      <c r="G200" s="5"/>
    </row>
    <row r="201" spans="1:7" x14ac:dyDescent="0.25">
      <c r="A201" s="5"/>
      <c r="B201" s="5"/>
      <c r="C201" s="5"/>
      <c r="D201" s="5"/>
      <c r="E201" s="5"/>
      <c r="F201" s="5"/>
      <c r="G201" s="5"/>
    </row>
    <row r="202" spans="1:7" x14ac:dyDescent="0.25">
      <c r="A202" s="5"/>
      <c r="B202" s="5"/>
      <c r="C202" s="5"/>
      <c r="D202" s="5"/>
      <c r="E202" s="5"/>
      <c r="F202" s="5"/>
      <c r="G202" s="5"/>
    </row>
    <row r="203" spans="1:7" x14ac:dyDescent="0.25">
      <c r="A203" s="5"/>
      <c r="B203" s="5"/>
      <c r="C203" s="5"/>
      <c r="D203" s="5"/>
      <c r="E203" s="5"/>
      <c r="F203" s="5"/>
      <c r="G203" s="5"/>
    </row>
    <row r="204" spans="1:7" x14ac:dyDescent="0.25">
      <c r="A204" s="5"/>
      <c r="B204" s="5"/>
      <c r="C204" s="5"/>
      <c r="D204" s="5"/>
      <c r="E204" s="5"/>
      <c r="F204" s="5"/>
      <c r="G204" s="5"/>
    </row>
    <row r="205" spans="1:7" x14ac:dyDescent="0.25">
      <c r="A205" s="5"/>
      <c r="B205" s="5"/>
      <c r="C205" s="5"/>
      <c r="D205" s="5"/>
      <c r="E205" s="5"/>
      <c r="F205" s="5"/>
      <c r="G205" s="5"/>
    </row>
    <row r="206" spans="1:7" x14ac:dyDescent="0.25">
      <c r="A206" s="5"/>
      <c r="B206" s="5"/>
      <c r="C206" s="5"/>
      <c r="D206" s="5"/>
      <c r="E206" s="5"/>
      <c r="F206" s="5"/>
      <c r="G206" s="5"/>
    </row>
    <row r="207" spans="1:7" x14ac:dyDescent="0.25">
      <c r="A207" s="5"/>
      <c r="B207" s="5"/>
      <c r="C207" s="5"/>
      <c r="D207" s="5"/>
      <c r="E207" s="5"/>
      <c r="F207" s="5"/>
      <c r="G207" s="5"/>
    </row>
    <row r="208" spans="1:7" x14ac:dyDescent="0.25">
      <c r="A208" s="5"/>
      <c r="B208" s="5"/>
      <c r="C208" s="5"/>
      <c r="D208" s="5"/>
      <c r="E208" s="5"/>
      <c r="F208" s="5"/>
      <c r="G208" s="5"/>
    </row>
    <row r="209" spans="1:7" x14ac:dyDescent="0.25">
      <c r="A209" s="5"/>
      <c r="B209" s="5"/>
      <c r="C209" s="5"/>
      <c r="D209" s="5"/>
      <c r="E209" s="5"/>
      <c r="F209" s="5"/>
      <c r="G209" s="5"/>
    </row>
    <row r="210" spans="1:7" x14ac:dyDescent="0.25">
      <c r="A210" s="5"/>
      <c r="B210" s="5"/>
      <c r="C210" s="5"/>
      <c r="D210" s="5"/>
      <c r="E210" s="5"/>
      <c r="F210" s="5"/>
      <c r="G210" s="5"/>
    </row>
    <row r="211" spans="1:7" x14ac:dyDescent="0.25">
      <c r="A211" s="5"/>
      <c r="B211" s="5"/>
      <c r="C211" s="5"/>
      <c r="D211" s="5"/>
      <c r="E211" s="5"/>
      <c r="F211" s="5"/>
      <c r="G211" s="5"/>
    </row>
    <row r="212" spans="1:7" x14ac:dyDescent="0.25">
      <c r="A212" s="5"/>
      <c r="B212" s="5"/>
      <c r="C212" s="5"/>
      <c r="D212" s="5"/>
      <c r="E212" s="5"/>
      <c r="F212" s="5"/>
      <c r="G212" s="5"/>
    </row>
    <row r="213" spans="1:7" x14ac:dyDescent="0.25">
      <c r="A213" s="5"/>
      <c r="B213" s="5"/>
      <c r="C213" s="5"/>
      <c r="D213" s="5"/>
      <c r="E213" s="5"/>
      <c r="F213" s="5"/>
      <c r="G213" s="5"/>
    </row>
    <row r="214" spans="1:7" x14ac:dyDescent="0.25">
      <c r="A214" s="5"/>
      <c r="B214" s="5"/>
      <c r="C214" s="5"/>
      <c r="D214" s="5"/>
      <c r="E214" s="5"/>
      <c r="F214" s="5"/>
      <c r="G214" s="5"/>
    </row>
    <row r="215" spans="1:7" x14ac:dyDescent="0.25">
      <c r="A215" s="5"/>
      <c r="B215" s="5"/>
      <c r="C215" s="5"/>
      <c r="D215" s="5"/>
      <c r="E215" s="5"/>
      <c r="F215" s="5"/>
      <c r="G215" s="5"/>
    </row>
    <row r="216" spans="1:7" x14ac:dyDescent="0.25">
      <c r="A216" s="5"/>
      <c r="B216" s="5"/>
      <c r="C216" s="5"/>
      <c r="D216" s="5"/>
      <c r="E216" s="5"/>
      <c r="F216" s="5"/>
      <c r="G216" s="5"/>
    </row>
    <row r="217" spans="1:7" x14ac:dyDescent="0.25">
      <c r="A217" s="5"/>
      <c r="B217" s="5"/>
      <c r="C217" s="5"/>
      <c r="D217" s="5"/>
      <c r="E217" s="5"/>
      <c r="F217" s="5"/>
      <c r="G217" s="5"/>
    </row>
    <row r="218" spans="1:7" x14ac:dyDescent="0.25">
      <c r="A218" s="5"/>
      <c r="B218" s="5"/>
      <c r="C218" s="5"/>
      <c r="D218" s="5"/>
      <c r="E218" s="5"/>
      <c r="F218" s="5"/>
      <c r="G218" s="5"/>
    </row>
    <row r="219" spans="1:7" x14ac:dyDescent="0.25">
      <c r="A219" s="5"/>
      <c r="B219" s="5"/>
      <c r="C219" s="5"/>
      <c r="D219" s="5"/>
      <c r="E219" s="5"/>
      <c r="F219" s="5"/>
      <c r="G219" s="5"/>
    </row>
    <row r="220" spans="1:7" x14ac:dyDescent="0.25">
      <c r="A220" s="5"/>
      <c r="B220" s="5"/>
      <c r="C220" s="5"/>
      <c r="D220" s="5"/>
      <c r="E220" s="5"/>
      <c r="F220" s="5"/>
      <c r="G220" s="5"/>
    </row>
    <row r="221" spans="1:7" x14ac:dyDescent="0.25">
      <c r="A221" s="5"/>
      <c r="B221" s="5"/>
      <c r="C221" s="5"/>
      <c r="D221" s="5"/>
      <c r="E221" s="5"/>
      <c r="F221" s="5"/>
      <c r="G221" s="5"/>
    </row>
    <row r="222" spans="1:7" x14ac:dyDescent="0.25">
      <c r="A222" s="5"/>
      <c r="B222" s="5"/>
      <c r="C222" s="5"/>
      <c r="D222" s="5"/>
      <c r="E222" s="5"/>
      <c r="F222" s="5"/>
      <c r="G222" s="5"/>
    </row>
    <row r="223" spans="1:7" x14ac:dyDescent="0.25">
      <c r="A223" s="5"/>
      <c r="B223" s="5"/>
      <c r="C223" s="5"/>
      <c r="D223" s="5"/>
      <c r="E223" s="5"/>
      <c r="F223" s="5"/>
      <c r="G223" s="5"/>
    </row>
    <row r="224" spans="1:7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zoomScale="130" zoomScaleNormal="130" workbookViewId="0">
      <selection activeCell="M36" sqref="M36"/>
    </sheetView>
  </sheetViews>
  <sheetFormatPr defaultColWidth="11.5703125" defaultRowHeight="15" customHeight="1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</cols>
  <sheetData>
    <row r="1" spans="1:14" ht="1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</row>
    <row r="3" spans="1:14" ht="1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 t="s">
        <v>408</v>
      </c>
      <c r="M3" s="17"/>
      <c r="N3" s="17">
        <v>1</v>
      </c>
    </row>
    <row r="4" spans="1:14" ht="1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 t="s">
        <v>408</v>
      </c>
      <c r="M4" s="17"/>
      <c r="N4" s="17">
        <v>2</v>
      </c>
    </row>
    <row r="5" spans="1:14" ht="1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 t="s">
        <v>408</v>
      </c>
      <c r="M5" s="17"/>
      <c r="N5" s="17">
        <v>3</v>
      </c>
    </row>
    <row r="6" spans="1:14" ht="1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 t="s">
        <v>408</v>
      </c>
      <c r="M6" s="17"/>
      <c r="N6" s="17">
        <v>1</v>
      </c>
    </row>
    <row r="7" spans="1:14" ht="1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 t="s">
        <v>408</v>
      </c>
      <c r="M7" s="17"/>
      <c r="N7" s="17">
        <v>2</v>
      </c>
    </row>
    <row r="8" spans="1:14" ht="1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 t="s">
        <v>408</v>
      </c>
      <c r="M8" s="17"/>
      <c r="N8" s="17">
        <v>3</v>
      </c>
    </row>
    <row r="9" spans="1:14" ht="1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43" t="s">
        <v>411</v>
      </c>
      <c r="M9" s="17"/>
      <c r="N9" s="17">
        <v>1</v>
      </c>
    </row>
    <row r="10" spans="1:14" ht="1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43" t="s">
        <v>411</v>
      </c>
      <c r="M10" s="17"/>
      <c r="N10" s="17">
        <v>2</v>
      </c>
    </row>
    <row r="11" spans="1:14" ht="1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43" t="s">
        <v>411</v>
      </c>
      <c r="M11" s="17"/>
      <c r="N11" s="17">
        <v>3</v>
      </c>
    </row>
    <row r="12" spans="1:14" ht="1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 t="s">
        <v>409</v>
      </c>
      <c r="M12" s="17"/>
      <c r="N12" s="17">
        <v>1</v>
      </c>
    </row>
    <row r="13" spans="1:14" ht="1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 t="s">
        <v>409</v>
      </c>
      <c r="M13" s="17"/>
      <c r="N13" s="17">
        <v>2</v>
      </c>
    </row>
    <row r="14" spans="1:14" ht="1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 t="s">
        <v>409</v>
      </c>
      <c r="M14" s="17"/>
      <c r="N14" s="17">
        <v>3</v>
      </c>
    </row>
    <row r="15" spans="1:14" ht="1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 t="s">
        <v>410</v>
      </c>
      <c r="M15" s="17"/>
      <c r="N15" s="17">
        <v>1</v>
      </c>
    </row>
    <row r="16" spans="1:14" ht="1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 t="s">
        <v>410</v>
      </c>
      <c r="M16" s="17"/>
      <c r="N16" s="17">
        <v>2</v>
      </c>
    </row>
    <row r="17" spans="1:14" ht="1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 t="s">
        <v>410</v>
      </c>
      <c r="M17" s="17"/>
      <c r="N17" s="17">
        <v>3</v>
      </c>
    </row>
    <row r="18" spans="1:14" ht="1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 t="s">
        <v>409</v>
      </c>
      <c r="M18" s="17"/>
      <c r="N18" s="17">
        <v>1</v>
      </c>
    </row>
    <row r="19" spans="1:14" ht="1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 t="s">
        <v>409</v>
      </c>
      <c r="M19" s="17"/>
      <c r="N19" s="17">
        <v>2</v>
      </c>
    </row>
    <row r="20" spans="1:14" ht="1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 t="s">
        <v>409</v>
      </c>
      <c r="M20" s="17"/>
      <c r="N20" s="17">
        <v>3</v>
      </c>
    </row>
    <row r="21" spans="1:14" ht="15" customHeight="1" x14ac:dyDescent="0.25">
      <c r="A21" s="6" t="s">
        <v>120</v>
      </c>
      <c r="B21" s="16" t="s">
        <v>96</v>
      </c>
      <c r="C21" s="16" t="s">
        <v>121</v>
      </c>
      <c r="D21" s="17"/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 t="s">
        <v>409</v>
      </c>
      <c r="M21" s="17"/>
      <c r="N21" s="17">
        <v>1</v>
      </c>
    </row>
    <row r="22" spans="1:14" ht="15" customHeight="1" x14ac:dyDescent="0.25">
      <c r="A22" s="6" t="s">
        <v>125</v>
      </c>
      <c r="B22" s="16" t="s">
        <v>96</v>
      </c>
      <c r="C22" s="16" t="s">
        <v>121</v>
      </c>
      <c r="D22" s="17"/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 t="s">
        <v>409</v>
      </c>
      <c r="M22" s="17"/>
      <c r="N22" s="17">
        <v>2</v>
      </c>
    </row>
    <row r="23" spans="1:14" ht="15" customHeight="1" x14ac:dyDescent="0.25">
      <c r="A23" s="6" t="s">
        <v>126</v>
      </c>
      <c r="B23" s="16" t="s">
        <v>96</v>
      </c>
      <c r="C23" s="16" t="s">
        <v>121</v>
      </c>
      <c r="D23" s="17"/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 t="s">
        <v>409</v>
      </c>
      <c r="M23" s="17"/>
      <c r="N23" s="17">
        <v>3</v>
      </c>
    </row>
    <row r="24" spans="1:14" ht="1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 t="s">
        <v>410</v>
      </c>
      <c r="M24" s="17"/>
      <c r="N24" s="17">
        <v>1</v>
      </c>
    </row>
    <row r="25" spans="1:14" ht="1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 t="s">
        <v>410</v>
      </c>
      <c r="M25" s="17"/>
      <c r="N25" s="17">
        <v>2</v>
      </c>
    </row>
    <row r="26" spans="1:14" ht="1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 t="s">
        <v>410</v>
      </c>
      <c r="M26" s="17"/>
      <c r="N26" s="17">
        <v>3</v>
      </c>
    </row>
    <row r="27" spans="1:14" ht="1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 t="s">
        <v>410</v>
      </c>
      <c r="M27" s="17"/>
      <c r="N27" s="17">
        <v>1</v>
      </c>
    </row>
    <row r="28" spans="1:14" ht="1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 t="s">
        <v>410</v>
      </c>
      <c r="M28" s="17"/>
      <c r="N28" s="17">
        <v>2</v>
      </c>
    </row>
    <row r="29" spans="1:14" ht="1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 t="s">
        <v>410</v>
      </c>
      <c r="M29" s="17"/>
      <c r="N29" s="17">
        <v>3</v>
      </c>
    </row>
    <row r="30" spans="1:14" ht="1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 t="s">
        <v>410</v>
      </c>
      <c r="M30" s="17"/>
      <c r="N30" s="17">
        <v>1</v>
      </c>
    </row>
    <row r="31" spans="1:14" ht="1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 t="s">
        <v>410</v>
      </c>
      <c r="M31" s="17"/>
      <c r="N31" s="17">
        <v>2</v>
      </c>
    </row>
    <row r="32" spans="1:14" ht="1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 t="s">
        <v>410</v>
      </c>
      <c r="M32" s="17"/>
      <c r="N32" s="17">
        <v>3</v>
      </c>
    </row>
    <row r="33" spans="1:14" ht="1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 t="s">
        <v>409</v>
      </c>
      <c r="M33" s="17"/>
      <c r="N33" s="17">
        <v>1</v>
      </c>
    </row>
    <row r="34" spans="1:14" ht="1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 t="s">
        <v>409</v>
      </c>
      <c r="M34" s="17"/>
      <c r="N34" s="17">
        <v>2</v>
      </c>
    </row>
    <row r="35" spans="1:14" ht="1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 t="s">
        <v>409</v>
      </c>
      <c r="M35" s="17"/>
      <c r="N35" s="17">
        <v>3</v>
      </c>
    </row>
    <row r="36" spans="1:14" ht="1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 t="s">
        <v>409</v>
      </c>
      <c r="M36" s="17"/>
      <c r="N36" s="17">
        <v>1</v>
      </c>
    </row>
    <row r="37" spans="1:14" ht="1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 t="s">
        <v>409</v>
      </c>
      <c r="M37" s="17"/>
      <c r="N37" s="17">
        <v>2</v>
      </c>
    </row>
    <row r="38" spans="1:14" ht="1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 t="s">
        <v>409</v>
      </c>
      <c r="M38" s="17"/>
      <c r="N38" s="17">
        <v>3</v>
      </c>
    </row>
    <row r="39" spans="1:14" ht="1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 t="s">
        <v>409</v>
      </c>
      <c r="M39" s="17"/>
      <c r="N39" s="17">
        <v>1</v>
      </c>
    </row>
    <row r="40" spans="1:14" ht="1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 t="s">
        <v>409</v>
      </c>
      <c r="M40" s="17"/>
      <c r="N40" s="17">
        <v>2</v>
      </c>
    </row>
    <row r="41" spans="1:14" ht="1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 t="s">
        <v>409</v>
      </c>
      <c r="M41" s="17"/>
      <c r="N41" s="17">
        <v>3</v>
      </c>
    </row>
    <row r="42" spans="1:14" ht="1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 t="s">
        <v>409</v>
      </c>
      <c r="M42" s="17"/>
      <c r="N42" s="17">
        <v>1</v>
      </c>
    </row>
    <row r="43" spans="1:14" ht="1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 t="s">
        <v>409</v>
      </c>
      <c r="M43" s="17"/>
      <c r="N43" s="17">
        <v>2</v>
      </c>
    </row>
    <row r="44" spans="1:14" ht="1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 t="s">
        <v>409</v>
      </c>
      <c r="M44" s="17"/>
      <c r="N44" s="17">
        <v>3</v>
      </c>
    </row>
    <row r="45" spans="1:14" ht="1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 t="s">
        <v>410</v>
      </c>
      <c r="M45" s="17"/>
      <c r="N45" s="17">
        <v>1</v>
      </c>
    </row>
    <row r="46" spans="1:14" ht="1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 t="s">
        <v>410</v>
      </c>
      <c r="M46" s="17"/>
      <c r="N46" s="17">
        <v>2</v>
      </c>
    </row>
    <row r="47" spans="1:14" ht="1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 t="s">
        <v>410</v>
      </c>
      <c r="M47" s="17"/>
      <c r="N47" s="17">
        <v>3</v>
      </c>
    </row>
    <row r="48" spans="1:14" ht="1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 t="s">
        <v>409</v>
      </c>
      <c r="M48" s="17"/>
      <c r="N48" s="17">
        <v>1</v>
      </c>
    </row>
    <row r="49" spans="1:14" ht="1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 t="s">
        <v>409</v>
      </c>
      <c r="M49" s="17"/>
      <c r="N49" s="17">
        <v>2</v>
      </c>
    </row>
    <row r="50" spans="1:14" ht="1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 t="s">
        <v>409</v>
      </c>
      <c r="M50" s="17"/>
      <c r="N50" s="17">
        <v>3</v>
      </c>
    </row>
    <row r="51" spans="1:14" ht="1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 t="s">
        <v>408</v>
      </c>
      <c r="M51" s="26"/>
      <c r="N51" s="26">
        <v>1</v>
      </c>
    </row>
    <row r="52" spans="1:14" ht="1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 t="s">
        <v>408</v>
      </c>
      <c r="M52" s="26"/>
      <c r="N52" s="26">
        <v>2</v>
      </c>
    </row>
    <row r="53" spans="1:14" ht="1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 t="s">
        <v>408</v>
      </c>
      <c r="M53" s="26"/>
      <c r="N53" s="26">
        <v>3</v>
      </c>
    </row>
    <row r="54" spans="1:14" ht="1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 t="s">
        <v>408</v>
      </c>
      <c r="M54" s="26"/>
      <c r="N54" s="26">
        <v>1</v>
      </c>
    </row>
    <row r="55" spans="1:14" ht="1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 t="s">
        <v>408</v>
      </c>
      <c r="M55" s="26"/>
      <c r="N55" s="26">
        <v>2</v>
      </c>
    </row>
    <row r="56" spans="1:14" ht="1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 t="s">
        <v>408</v>
      </c>
      <c r="M56" s="26"/>
      <c r="N56" s="26">
        <v>3</v>
      </c>
    </row>
    <row r="57" spans="1:14" ht="1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 t="s">
        <v>408</v>
      </c>
      <c r="M57" s="26"/>
      <c r="N57" s="26">
        <v>1</v>
      </c>
    </row>
    <row r="58" spans="1:14" ht="1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 t="s">
        <v>408</v>
      </c>
      <c r="M58" s="26"/>
      <c r="N58" s="26">
        <v>2</v>
      </c>
    </row>
    <row r="59" spans="1:14" ht="1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 t="s">
        <v>408</v>
      </c>
      <c r="M59" s="26"/>
      <c r="N59" s="26">
        <v>3</v>
      </c>
    </row>
    <row r="60" spans="1:14" ht="1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 t="s">
        <v>409</v>
      </c>
      <c r="M60" s="26"/>
      <c r="N60" s="26">
        <v>1</v>
      </c>
    </row>
    <row r="61" spans="1:14" ht="1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 t="s">
        <v>409</v>
      </c>
      <c r="M61" s="26"/>
      <c r="N61" s="26">
        <v>2</v>
      </c>
    </row>
    <row r="62" spans="1:14" ht="1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 t="s">
        <v>409</v>
      </c>
      <c r="M62" s="26"/>
      <c r="N62" s="26">
        <v>3</v>
      </c>
    </row>
    <row r="63" spans="1:14" ht="1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 t="s">
        <v>410</v>
      </c>
      <c r="M63" s="26"/>
      <c r="N63" s="26">
        <v>1</v>
      </c>
    </row>
    <row r="64" spans="1:14" ht="1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 t="s">
        <v>410</v>
      </c>
      <c r="M64" s="26"/>
      <c r="N64" s="26">
        <v>2</v>
      </c>
    </row>
    <row r="65" spans="1:14" ht="1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 t="s">
        <v>410</v>
      </c>
      <c r="M65" s="26"/>
      <c r="N65" s="26">
        <v>3</v>
      </c>
    </row>
    <row r="66" spans="1:14" ht="1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 t="s">
        <v>409</v>
      </c>
      <c r="M66" s="26"/>
      <c r="N66" s="26">
        <v>1</v>
      </c>
    </row>
    <row r="67" spans="1:14" ht="1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 t="s">
        <v>409</v>
      </c>
      <c r="M67" s="26"/>
      <c r="N67" s="26">
        <v>2</v>
      </c>
    </row>
    <row r="68" spans="1:14" ht="1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 t="s">
        <v>409</v>
      </c>
      <c r="M68" s="26"/>
      <c r="N68" s="26">
        <v>3</v>
      </c>
    </row>
    <row r="69" spans="1:14" ht="15" customHeight="1" x14ac:dyDescent="0.25">
      <c r="A69" s="23" t="s">
        <v>194</v>
      </c>
      <c r="B69" s="24" t="s">
        <v>176</v>
      </c>
      <c r="C69" s="24" t="s">
        <v>121</v>
      </c>
      <c r="D69" s="26"/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 t="s">
        <v>409</v>
      </c>
      <c r="M69" s="26"/>
      <c r="N69" s="26">
        <v>1</v>
      </c>
    </row>
    <row r="70" spans="1:14" ht="15" customHeight="1" x14ac:dyDescent="0.25">
      <c r="A70" s="23" t="s">
        <v>195</v>
      </c>
      <c r="B70" s="24" t="s">
        <v>176</v>
      </c>
      <c r="C70" s="24" t="s">
        <v>121</v>
      </c>
      <c r="D70" s="26"/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 t="s">
        <v>409</v>
      </c>
      <c r="M70" s="26"/>
      <c r="N70" s="26">
        <v>2</v>
      </c>
    </row>
    <row r="71" spans="1:14" ht="15" customHeight="1" x14ac:dyDescent="0.25">
      <c r="A71" s="23" t="s">
        <v>196</v>
      </c>
      <c r="B71" s="24" t="s">
        <v>176</v>
      </c>
      <c r="C71" s="24" t="s">
        <v>121</v>
      </c>
      <c r="D71" s="26"/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 t="s">
        <v>409</v>
      </c>
      <c r="M71" s="26"/>
      <c r="N71" s="26">
        <v>3</v>
      </c>
    </row>
    <row r="72" spans="1:14" ht="1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 t="s">
        <v>410</v>
      </c>
      <c r="M72" s="26"/>
      <c r="N72" s="26">
        <v>1</v>
      </c>
    </row>
    <row r="73" spans="1:14" ht="1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 t="s">
        <v>410</v>
      </c>
      <c r="M73" s="26"/>
      <c r="N73" s="26">
        <v>2</v>
      </c>
    </row>
    <row r="74" spans="1:14" ht="1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 t="s">
        <v>410</v>
      </c>
      <c r="M74" s="26"/>
      <c r="N74" s="26">
        <v>3</v>
      </c>
    </row>
    <row r="75" spans="1:14" ht="1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 t="s">
        <v>410</v>
      </c>
      <c r="M75" s="26"/>
      <c r="N75" s="26">
        <v>1</v>
      </c>
    </row>
    <row r="76" spans="1:14" ht="1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 t="s">
        <v>410</v>
      </c>
      <c r="M76" s="26"/>
      <c r="N76" s="26">
        <v>2</v>
      </c>
    </row>
    <row r="77" spans="1:14" ht="1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 t="s">
        <v>410</v>
      </c>
      <c r="M77" s="26"/>
      <c r="N77" s="26">
        <v>3</v>
      </c>
    </row>
    <row r="78" spans="1:14" ht="1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 t="s">
        <v>410</v>
      </c>
      <c r="M78" s="26"/>
      <c r="N78" s="26">
        <v>1</v>
      </c>
    </row>
    <row r="79" spans="1:14" ht="1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 t="s">
        <v>410</v>
      </c>
      <c r="M79" s="26"/>
      <c r="N79" s="26">
        <v>2</v>
      </c>
    </row>
    <row r="80" spans="1:14" ht="1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 t="s">
        <v>410</v>
      </c>
      <c r="M80" s="26"/>
      <c r="N80" s="26">
        <v>3</v>
      </c>
    </row>
    <row r="81" spans="1:14" ht="1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 t="s">
        <v>409</v>
      </c>
      <c r="M81" s="26"/>
      <c r="N81" s="26">
        <v>1</v>
      </c>
    </row>
    <row r="82" spans="1:14" ht="1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 t="s">
        <v>409</v>
      </c>
      <c r="M82" s="26"/>
      <c r="N82" s="26">
        <v>2</v>
      </c>
    </row>
    <row r="83" spans="1:14" ht="1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 t="s">
        <v>409</v>
      </c>
      <c r="M83" s="26"/>
      <c r="N83" s="26">
        <v>3</v>
      </c>
    </row>
    <row r="84" spans="1:14" ht="1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 t="s">
        <v>409</v>
      </c>
      <c r="M84" s="26"/>
      <c r="N84" s="26">
        <v>1</v>
      </c>
    </row>
    <row r="85" spans="1:14" ht="1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 t="s">
        <v>409</v>
      </c>
      <c r="M85" s="26"/>
      <c r="N85" s="26">
        <v>2</v>
      </c>
    </row>
    <row r="86" spans="1:14" ht="1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 t="s">
        <v>409</v>
      </c>
      <c r="M86" s="26"/>
      <c r="N86" s="26">
        <v>3</v>
      </c>
    </row>
    <row r="87" spans="1:14" ht="1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 t="s">
        <v>409</v>
      </c>
      <c r="M87" s="26"/>
      <c r="N87" s="26">
        <v>1</v>
      </c>
    </row>
    <row r="88" spans="1:14" ht="1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 t="s">
        <v>409</v>
      </c>
      <c r="M88" s="26"/>
      <c r="N88" s="26">
        <v>2</v>
      </c>
    </row>
    <row r="89" spans="1:14" ht="1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 t="s">
        <v>409</v>
      </c>
      <c r="M89" s="26"/>
      <c r="N89" s="26">
        <v>3</v>
      </c>
    </row>
    <row r="90" spans="1:14" ht="1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 t="s">
        <v>409</v>
      </c>
      <c r="M90" s="26"/>
      <c r="N90" s="26">
        <v>1</v>
      </c>
    </row>
    <row r="91" spans="1:14" ht="1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 t="s">
        <v>409</v>
      </c>
      <c r="M91" s="26"/>
      <c r="N91" s="26">
        <v>2</v>
      </c>
    </row>
    <row r="92" spans="1:14" ht="1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 t="s">
        <v>409</v>
      </c>
      <c r="M92" s="26"/>
      <c r="N92" s="26">
        <v>3</v>
      </c>
    </row>
    <row r="93" spans="1:14" ht="1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 t="s">
        <v>410</v>
      </c>
      <c r="M93" s="26"/>
      <c r="N93" s="26">
        <v>1</v>
      </c>
    </row>
    <row r="94" spans="1:14" ht="1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 t="s">
        <v>410</v>
      </c>
      <c r="M94" s="26"/>
      <c r="N94" s="26">
        <v>2</v>
      </c>
    </row>
    <row r="95" spans="1:14" ht="1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 t="s">
        <v>410</v>
      </c>
      <c r="M95" s="26"/>
      <c r="N95" s="26">
        <v>3</v>
      </c>
    </row>
    <row r="96" spans="1:14" ht="1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 t="s">
        <v>409</v>
      </c>
      <c r="M96" s="26"/>
      <c r="N96" s="26">
        <v>1</v>
      </c>
    </row>
    <row r="97" spans="1:14" ht="1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 t="s">
        <v>409</v>
      </c>
      <c r="M97" s="26"/>
      <c r="N97" s="26">
        <v>2</v>
      </c>
    </row>
    <row r="98" spans="1:14" ht="1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 t="s">
        <v>409</v>
      </c>
      <c r="M98" s="26"/>
      <c r="N98" s="26">
        <v>3</v>
      </c>
    </row>
    <row r="99" spans="1:14" ht="1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/>
  </sheetViews>
  <sheetFormatPr defaultColWidth="11.5703125" defaultRowHeight="15" customHeight="1" x14ac:dyDescent="0.25"/>
  <cols>
    <col min="1" max="1" width="20.28515625" customWidth="1"/>
    <col min="2" max="2" width="24.7109375" customWidth="1"/>
    <col min="3" max="3" width="20.5703125" customWidth="1"/>
    <col min="4" max="8" width="14.42578125" customWidth="1"/>
    <col min="9" max="9" width="7.28515625" customWidth="1"/>
    <col min="10" max="10" width="12.5703125" customWidth="1"/>
    <col min="11" max="11" width="7.28515625" customWidth="1"/>
    <col min="12" max="12" width="12.5703125" customWidth="1"/>
    <col min="13" max="13" width="7.28515625" customWidth="1"/>
    <col min="14" max="14" width="12.5703125" customWidth="1"/>
    <col min="15" max="15" width="7.28515625" customWidth="1"/>
    <col min="16" max="16" width="12.5703125" customWidth="1"/>
    <col min="17" max="17" width="14.42578125" customWidth="1"/>
    <col min="18" max="26" width="18.7109375" customWidth="1"/>
    <col min="27" max="1024" width="14.42578125" customWidth="1"/>
  </cols>
  <sheetData>
    <row r="1" spans="1:26" ht="14.25" customHeight="1" x14ac:dyDescent="0.25">
      <c r="A1" s="16" t="s">
        <v>1</v>
      </c>
      <c r="B1" s="5" t="s">
        <v>224</v>
      </c>
      <c r="C1" s="5" t="s">
        <v>225</v>
      </c>
      <c r="D1" s="5"/>
      <c r="E1" s="5"/>
      <c r="F1" s="5"/>
      <c r="G1" s="5" t="s">
        <v>226</v>
      </c>
      <c r="H1" s="5"/>
      <c r="I1" s="1" t="s">
        <v>2</v>
      </c>
      <c r="J1" s="5">
        <v>315</v>
      </c>
      <c r="K1" s="5" t="s">
        <v>227</v>
      </c>
      <c r="L1" s="5" t="s">
        <v>227</v>
      </c>
      <c r="M1" s="5" t="s">
        <v>227</v>
      </c>
      <c r="N1" s="5" t="s">
        <v>227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16" t="s">
        <v>0</v>
      </c>
      <c r="B2" s="5" t="s">
        <v>228</v>
      </c>
      <c r="C2" s="5"/>
      <c r="D2" s="5"/>
      <c r="E2" s="5"/>
      <c r="F2" s="5"/>
      <c r="G2" s="5"/>
      <c r="H2" s="5"/>
      <c r="I2" s="5" t="s">
        <v>229</v>
      </c>
      <c r="J2" s="1" t="s">
        <v>58</v>
      </c>
      <c r="K2" s="1" t="s">
        <v>230</v>
      </c>
      <c r="L2" s="5" t="s">
        <v>227</v>
      </c>
      <c r="M2" s="5" t="s">
        <v>227</v>
      </c>
      <c r="N2" s="5" t="s">
        <v>227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16" t="s">
        <v>0</v>
      </c>
      <c r="B3" s="5" t="s">
        <v>231</v>
      </c>
      <c r="C3" s="5"/>
      <c r="D3" s="5"/>
      <c r="E3" s="5"/>
      <c r="F3" s="5"/>
      <c r="G3" s="5"/>
      <c r="H3" s="5"/>
      <c r="I3" s="5" t="s">
        <v>232</v>
      </c>
      <c r="J3" s="5">
        <v>1</v>
      </c>
      <c r="K3" s="5" t="s">
        <v>227</v>
      </c>
      <c r="L3" s="1" t="s">
        <v>62</v>
      </c>
      <c r="M3" s="5" t="s">
        <v>227</v>
      </c>
      <c r="N3" s="5" t="s">
        <v>227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16" t="s">
        <v>233</v>
      </c>
      <c r="B4" s="5" t="s">
        <v>234</v>
      </c>
      <c r="C4" s="5"/>
      <c r="D4" s="5"/>
      <c r="E4" s="5"/>
      <c r="F4" s="5"/>
      <c r="G4" s="5"/>
      <c r="H4" s="5"/>
      <c r="I4" s="5" t="s">
        <v>227</v>
      </c>
      <c r="J4" s="5">
        <v>2</v>
      </c>
      <c r="K4" s="5" t="s">
        <v>227</v>
      </c>
      <c r="L4" s="5" t="s">
        <v>235</v>
      </c>
      <c r="M4" s="1" t="s">
        <v>236</v>
      </c>
      <c r="N4" s="5" t="s">
        <v>227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16" t="s">
        <v>237</v>
      </c>
      <c r="B5" s="5" t="s">
        <v>238</v>
      </c>
      <c r="C5" s="5"/>
      <c r="D5" s="5"/>
      <c r="E5" s="5"/>
      <c r="F5" s="5"/>
      <c r="G5" s="5"/>
      <c r="H5" s="5"/>
      <c r="I5" s="5" t="s">
        <v>227</v>
      </c>
      <c r="J5" s="5">
        <v>3</v>
      </c>
      <c r="K5" s="5" t="s">
        <v>227</v>
      </c>
      <c r="L5" s="5" t="s">
        <v>239</v>
      </c>
      <c r="M5" s="5" t="s">
        <v>240</v>
      </c>
      <c r="N5" s="1" t="s">
        <v>241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16" t="s">
        <v>242</v>
      </c>
      <c r="B6" s="5" t="s">
        <v>243</v>
      </c>
      <c r="C6" s="5"/>
      <c r="D6" s="5"/>
      <c r="E6" s="5"/>
      <c r="F6" s="5"/>
      <c r="G6" s="5"/>
      <c r="H6" s="5"/>
      <c r="I6" s="5" t="s">
        <v>227</v>
      </c>
      <c r="J6" s="5">
        <v>4</v>
      </c>
      <c r="K6" s="5" t="s">
        <v>227</v>
      </c>
      <c r="L6" s="5" t="s">
        <v>244</v>
      </c>
      <c r="M6" s="5" t="s">
        <v>245</v>
      </c>
      <c r="N6" s="5" t="s">
        <v>246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16" t="s">
        <v>247</v>
      </c>
      <c r="B7" s="5" t="s">
        <v>248</v>
      </c>
      <c r="C7" s="5"/>
      <c r="D7" s="5"/>
      <c r="E7" s="5"/>
      <c r="F7" s="5"/>
      <c r="G7" s="5"/>
      <c r="H7" s="5"/>
      <c r="I7" s="5" t="s">
        <v>227</v>
      </c>
      <c r="J7" s="5">
        <v>5</v>
      </c>
      <c r="K7" s="5" t="s">
        <v>227</v>
      </c>
      <c r="L7" s="5" t="s">
        <v>227</v>
      </c>
      <c r="M7" s="5" t="s">
        <v>249</v>
      </c>
      <c r="N7" s="5" t="s">
        <v>250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5" t="s">
        <v>251</v>
      </c>
      <c r="B8" s="5" t="s">
        <v>252</v>
      </c>
      <c r="C8" s="5"/>
      <c r="D8" s="5"/>
      <c r="E8" s="5"/>
      <c r="F8" s="5"/>
      <c r="G8" s="38" t="s">
        <v>253</v>
      </c>
      <c r="H8" s="5"/>
      <c r="I8" s="5" t="s">
        <v>227</v>
      </c>
      <c r="J8" s="5">
        <v>6</v>
      </c>
      <c r="K8" s="5" t="s">
        <v>227</v>
      </c>
      <c r="L8" s="5" t="s">
        <v>227</v>
      </c>
      <c r="M8" s="5" t="s">
        <v>227</v>
      </c>
      <c r="N8" s="5" t="s">
        <v>254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5" t="s">
        <v>255</v>
      </c>
      <c r="B9" s="5" t="s">
        <v>256</v>
      </c>
      <c r="C9" s="5"/>
      <c r="D9" s="5"/>
      <c r="E9" s="5"/>
      <c r="F9" s="5"/>
      <c r="G9" s="38" t="s">
        <v>257</v>
      </c>
      <c r="H9" s="5"/>
      <c r="I9" s="5">
        <v>2</v>
      </c>
      <c r="J9" s="5">
        <f>I9*6</f>
        <v>12</v>
      </c>
      <c r="K9" s="5" t="s">
        <v>227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5" t="s">
        <v>258</v>
      </c>
      <c r="B10" s="5" t="s">
        <v>259</v>
      </c>
      <c r="C10" s="5"/>
      <c r="D10" s="5"/>
      <c r="E10" s="5"/>
      <c r="F10" s="5"/>
      <c r="G10" s="38" t="s">
        <v>260</v>
      </c>
      <c r="H10" s="5"/>
      <c r="I10" s="5"/>
      <c r="J10" s="39"/>
      <c r="K10" s="4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5" t="s">
        <v>261</v>
      </c>
      <c r="B11" s="5" t="s">
        <v>262</v>
      </c>
      <c r="C11" s="5"/>
      <c r="D11" s="5"/>
      <c r="E11" s="5"/>
      <c r="F11" s="5"/>
      <c r="G11" s="38" t="s">
        <v>263</v>
      </c>
      <c r="H11" s="5"/>
      <c r="I11" s="5" t="s">
        <v>58</v>
      </c>
      <c r="J11" s="5" t="s">
        <v>1</v>
      </c>
      <c r="K11" s="5" t="s">
        <v>264</v>
      </c>
      <c r="L11" s="5" t="s">
        <v>265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5" t="s">
        <v>266</v>
      </c>
      <c r="B12" s="5" t="s">
        <v>267</v>
      </c>
      <c r="C12" s="5"/>
      <c r="D12" s="5"/>
      <c r="E12" s="5"/>
      <c r="F12" s="5"/>
      <c r="G12" s="38" t="s">
        <v>268</v>
      </c>
      <c r="H12" s="5"/>
      <c r="I12" s="17">
        <v>1</v>
      </c>
      <c r="J12" s="14">
        <v>45168</v>
      </c>
      <c r="K12" s="5"/>
      <c r="L12" s="5" t="s">
        <v>269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5" t="s">
        <v>270</v>
      </c>
      <c r="B13" s="5" t="s">
        <v>271</v>
      </c>
      <c r="C13" s="5"/>
      <c r="D13" s="5"/>
      <c r="E13" s="5"/>
      <c r="F13" s="5"/>
      <c r="G13" s="38" t="s">
        <v>272</v>
      </c>
      <c r="H13" s="5"/>
      <c r="I13" s="17">
        <v>2</v>
      </c>
      <c r="J13" s="14">
        <v>45210</v>
      </c>
      <c r="K13" s="5"/>
      <c r="L13" s="5" t="s">
        <v>273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5" t="s">
        <v>274</v>
      </c>
      <c r="B14" s="5" t="s">
        <v>275</v>
      </c>
      <c r="C14" s="5"/>
      <c r="D14" s="5"/>
      <c r="E14" s="5"/>
      <c r="F14" s="5"/>
      <c r="G14" s="38" t="s">
        <v>276</v>
      </c>
      <c r="H14" s="5"/>
      <c r="I14" s="17">
        <v>3</v>
      </c>
      <c r="J14" s="14">
        <v>45231</v>
      </c>
      <c r="K14" s="5"/>
      <c r="L14" s="5" t="s">
        <v>277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5" t="s">
        <v>278</v>
      </c>
      <c r="B15" s="5" t="s">
        <v>279</v>
      </c>
      <c r="C15" s="5"/>
      <c r="D15" s="5"/>
      <c r="E15" s="5"/>
      <c r="F15" s="5"/>
      <c r="G15" s="38" t="s">
        <v>280</v>
      </c>
      <c r="H15" s="5"/>
      <c r="I15" s="17">
        <v>4</v>
      </c>
      <c r="J15" s="14">
        <v>45245</v>
      </c>
      <c r="K15" s="5"/>
      <c r="L15" s="5" t="s">
        <v>277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16" t="s">
        <v>281</v>
      </c>
      <c r="B16" s="5" t="s">
        <v>282</v>
      </c>
      <c r="C16" s="5"/>
      <c r="D16" s="5"/>
      <c r="E16" s="5"/>
      <c r="F16" s="5"/>
      <c r="G16" s="5"/>
      <c r="H16" s="5"/>
      <c r="I16" s="17">
        <v>5</v>
      </c>
      <c r="J16" s="14">
        <v>45322</v>
      </c>
      <c r="K16" s="5"/>
      <c r="L16" s="5" t="s">
        <v>273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16" t="s">
        <v>283</v>
      </c>
      <c r="B17" s="5" t="s">
        <v>284</v>
      </c>
      <c r="C17" s="5"/>
      <c r="D17" s="5"/>
      <c r="E17" s="5"/>
      <c r="F17" s="5"/>
      <c r="G17" s="5"/>
      <c r="H17" s="5"/>
      <c r="I17" s="17">
        <v>6</v>
      </c>
      <c r="J17" s="14">
        <v>45343</v>
      </c>
      <c r="K17" s="5"/>
      <c r="L17" s="5" t="s">
        <v>273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16" t="s">
        <v>63</v>
      </c>
      <c r="B18" s="5" t="s">
        <v>285</v>
      </c>
      <c r="C18" s="5" t="s">
        <v>286</v>
      </c>
      <c r="D18" s="5"/>
      <c r="E18" s="5"/>
      <c r="F18" s="5"/>
      <c r="G18" s="38" t="s">
        <v>287</v>
      </c>
      <c r="H18" s="5"/>
      <c r="I18" s="5"/>
      <c r="J18" s="3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16" t="s">
        <v>64</v>
      </c>
      <c r="B19" s="5" t="s">
        <v>288</v>
      </c>
      <c r="C19" s="5"/>
      <c r="D19" s="5"/>
      <c r="E19" s="5"/>
      <c r="F19" s="5"/>
      <c r="G19" s="38" t="s">
        <v>289</v>
      </c>
      <c r="H19" s="5"/>
      <c r="I19" s="5"/>
      <c r="J19" s="3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16" t="s">
        <v>75</v>
      </c>
      <c r="B20" s="5" t="s">
        <v>290</v>
      </c>
      <c r="C20" s="5"/>
      <c r="D20" s="5"/>
      <c r="E20" s="5"/>
      <c r="F20" s="5"/>
      <c r="G20" s="16" t="s">
        <v>291</v>
      </c>
      <c r="H20" s="5"/>
      <c r="I20" s="5"/>
      <c r="J20" s="3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16" t="s">
        <v>292</v>
      </c>
      <c r="B21" s="5" t="s">
        <v>293</v>
      </c>
      <c r="C21" s="5" t="s">
        <v>294</v>
      </c>
      <c r="D21" s="5"/>
      <c r="E21" s="5"/>
      <c r="F21" s="5"/>
      <c r="G21" s="16" t="s">
        <v>295</v>
      </c>
      <c r="H21" s="5"/>
      <c r="I21" s="5"/>
      <c r="J21" s="3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16" t="s">
        <v>72</v>
      </c>
      <c r="B22" s="5" t="s">
        <v>296</v>
      </c>
      <c r="C22" s="5"/>
      <c r="D22" s="5"/>
      <c r="E22" s="5"/>
      <c r="F22" s="5"/>
      <c r="G22" s="16" t="s">
        <v>297</v>
      </c>
      <c r="H22" s="5"/>
      <c r="I22" s="5"/>
      <c r="J22" s="3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16" t="s">
        <v>298</v>
      </c>
      <c r="B23" s="5" t="s">
        <v>299</v>
      </c>
      <c r="C23" s="5"/>
      <c r="D23" s="5"/>
      <c r="E23" s="5"/>
      <c r="F23" s="5"/>
      <c r="G23" s="16" t="s">
        <v>300</v>
      </c>
      <c r="H23" s="5"/>
      <c r="I23" s="5"/>
      <c r="J23" s="3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16" t="s">
        <v>73</v>
      </c>
      <c r="B24" s="5" t="s">
        <v>301</v>
      </c>
      <c r="C24" s="5"/>
      <c r="D24" s="5"/>
      <c r="E24" s="5"/>
      <c r="F24" s="5"/>
      <c r="G24" s="16" t="s">
        <v>300</v>
      </c>
      <c r="H24" s="5"/>
      <c r="I24" s="5"/>
      <c r="J24" s="3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 t="s">
        <v>74</v>
      </c>
      <c r="B25" s="5" t="s">
        <v>302</v>
      </c>
      <c r="C25" s="5"/>
      <c r="D25" s="5"/>
      <c r="E25" s="5"/>
      <c r="F25" s="5"/>
      <c r="G25" s="16" t="s">
        <v>303</v>
      </c>
      <c r="H25" s="5"/>
      <c r="I25" s="5"/>
      <c r="J25" s="3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 t="s">
        <v>304</v>
      </c>
      <c r="B26" s="5" t="s">
        <v>305</v>
      </c>
      <c r="C26" s="5"/>
      <c r="D26" s="5"/>
      <c r="E26" s="5"/>
      <c r="F26" s="5"/>
      <c r="G26" s="16" t="s">
        <v>306</v>
      </c>
      <c r="H26" s="5"/>
      <c r="I26" s="5"/>
      <c r="J26" s="3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16" t="s">
        <v>76</v>
      </c>
      <c r="B27" s="5" t="s">
        <v>307</v>
      </c>
      <c r="C27" s="5" t="s">
        <v>308</v>
      </c>
      <c r="D27" s="5"/>
      <c r="E27" s="5"/>
      <c r="F27" s="5"/>
      <c r="G27" s="16" t="s">
        <v>309</v>
      </c>
      <c r="H27" s="5"/>
      <c r="I27" s="5"/>
      <c r="J27" s="3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16" t="s">
        <v>78</v>
      </c>
      <c r="B28" s="5" t="s">
        <v>310</v>
      </c>
      <c r="C28" s="5"/>
      <c r="D28" s="5"/>
      <c r="E28" s="5"/>
      <c r="F28" s="5"/>
      <c r="G28" s="16" t="s">
        <v>311</v>
      </c>
      <c r="H28" s="5"/>
      <c r="I28" s="5"/>
      <c r="J28" s="3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16" t="s">
        <v>312</v>
      </c>
      <c r="B29" s="5" t="s">
        <v>313</v>
      </c>
      <c r="C29" s="5" t="s">
        <v>314</v>
      </c>
      <c r="D29" s="5"/>
      <c r="E29" s="5"/>
      <c r="F29" s="5"/>
      <c r="G29" s="16" t="s">
        <v>315</v>
      </c>
      <c r="H29" s="5"/>
      <c r="I29" s="5"/>
      <c r="J29" s="3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16" t="s">
        <v>77</v>
      </c>
      <c r="B30" s="5" t="s">
        <v>316</v>
      </c>
      <c r="C30" s="5"/>
      <c r="D30" s="5"/>
      <c r="E30" s="5"/>
      <c r="F30" s="5"/>
      <c r="G30" s="16" t="s">
        <v>317</v>
      </c>
      <c r="H30" s="5"/>
      <c r="I30" s="5"/>
      <c r="J30" s="3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16" t="s">
        <v>318</v>
      </c>
      <c r="B31" s="5" t="s">
        <v>319</v>
      </c>
      <c r="C31" s="5"/>
      <c r="D31" s="5"/>
      <c r="E31" s="5"/>
      <c r="F31" s="5"/>
      <c r="G31" s="16" t="s">
        <v>320</v>
      </c>
      <c r="H31" s="5"/>
      <c r="I31" s="5"/>
      <c r="J31" s="3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16" t="s">
        <v>79</v>
      </c>
      <c r="B32" s="5" t="s">
        <v>79</v>
      </c>
      <c r="C32" s="5"/>
      <c r="D32" s="5"/>
      <c r="E32" s="5"/>
      <c r="F32" s="5"/>
      <c r="G32" s="16" t="s">
        <v>321</v>
      </c>
      <c r="H32" s="5"/>
      <c r="I32" s="5"/>
      <c r="J32" s="3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16" t="s">
        <v>80</v>
      </c>
      <c r="B33" s="5" t="s">
        <v>80</v>
      </c>
      <c r="C33" s="5"/>
      <c r="D33" s="5"/>
      <c r="E33" s="5"/>
      <c r="F33" s="5"/>
      <c r="G33" s="16" t="s">
        <v>322</v>
      </c>
      <c r="H33" s="5"/>
      <c r="I33" s="5"/>
      <c r="J33" s="3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16" t="s">
        <v>81</v>
      </c>
      <c r="B34" s="5" t="s">
        <v>323</v>
      </c>
      <c r="C34" s="5"/>
      <c r="D34" s="5"/>
      <c r="E34" s="5"/>
      <c r="F34" s="5"/>
      <c r="G34" s="16" t="s">
        <v>324</v>
      </c>
      <c r="H34" s="5"/>
      <c r="I34" s="5"/>
      <c r="J34" s="3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16" t="s">
        <v>82</v>
      </c>
      <c r="B35" s="5" t="s">
        <v>325</v>
      </c>
      <c r="C35" s="5"/>
      <c r="D35" s="5"/>
      <c r="E35" s="5"/>
      <c r="F35" s="5"/>
      <c r="G35" s="16" t="s">
        <v>326</v>
      </c>
      <c r="H35" s="5"/>
      <c r="I35" s="5"/>
      <c r="J35" s="3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16" t="s">
        <v>83</v>
      </c>
      <c r="B36" s="5" t="s">
        <v>83</v>
      </c>
      <c r="C36" s="5"/>
      <c r="D36" s="5"/>
      <c r="E36" s="5"/>
      <c r="F36" s="5"/>
      <c r="G36" s="16" t="s">
        <v>327</v>
      </c>
      <c r="H36" s="5"/>
      <c r="I36" s="5"/>
      <c r="J36" s="3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16" t="s">
        <v>84</v>
      </c>
      <c r="B37" s="5" t="s">
        <v>328</v>
      </c>
      <c r="C37" s="5"/>
      <c r="D37" s="5"/>
      <c r="E37" s="5"/>
      <c r="F37" s="5"/>
      <c r="G37" s="16" t="s">
        <v>329</v>
      </c>
      <c r="H37" s="5"/>
      <c r="I37" s="5"/>
      <c r="J37" s="3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16" t="s">
        <v>85</v>
      </c>
      <c r="B38" s="5" t="s">
        <v>330</v>
      </c>
      <c r="C38" s="5"/>
      <c r="D38" s="5"/>
      <c r="E38" s="5"/>
      <c r="F38" s="5"/>
      <c r="G38" s="16" t="s">
        <v>331</v>
      </c>
      <c r="H38" s="5"/>
      <c r="I38" s="5"/>
      <c r="J38" s="3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16" t="s">
        <v>86</v>
      </c>
      <c r="B39" s="5" t="s">
        <v>332</v>
      </c>
      <c r="C39" s="5" t="s">
        <v>333</v>
      </c>
      <c r="D39" s="5"/>
      <c r="E39" s="5"/>
      <c r="F39" s="5"/>
      <c r="G39" s="16" t="s">
        <v>334</v>
      </c>
      <c r="H39" s="5"/>
      <c r="I39" s="5"/>
      <c r="J39" s="3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16" t="s">
        <v>87</v>
      </c>
      <c r="B40" s="5" t="s">
        <v>335</v>
      </c>
      <c r="C40" s="5" t="s">
        <v>336</v>
      </c>
      <c r="D40" s="5"/>
      <c r="E40" s="5"/>
      <c r="F40" s="5"/>
      <c r="G40" s="16" t="s">
        <v>337</v>
      </c>
      <c r="H40" s="5"/>
      <c r="I40" s="5"/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16" t="s">
        <v>88</v>
      </c>
      <c r="B41" s="5" t="s">
        <v>338</v>
      </c>
      <c r="C41" s="5" t="s">
        <v>339</v>
      </c>
      <c r="D41" s="5"/>
      <c r="E41" s="5"/>
      <c r="F41" s="5"/>
      <c r="G41" s="16" t="s">
        <v>340</v>
      </c>
      <c r="H41" s="5"/>
      <c r="I41" s="5"/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16" t="s">
        <v>89</v>
      </c>
      <c r="B42" s="5" t="s">
        <v>341</v>
      </c>
      <c r="C42" s="5"/>
      <c r="D42" s="5"/>
      <c r="E42" s="5"/>
      <c r="F42" s="5"/>
      <c r="G42" s="16" t="s">
        <v>342</v>
      </c>
      <c r="H42" s="5"/>
      <c r="I42" s="5"/>
      <c r="J42" s="3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16" t="s">
        <v>90</v>
      </c>
      <c r="B43" s="5" t="s">
        <v>343</v>
      </c>
      <c r="C43" s="5"/>
      <c r="D43" s="5"/>
      <c r="E43" s="5"/>
      <c r="F43" s="5"/>
      <c r="G43" s="16" t="s">
        <v>344</v>
      </c>
      <c r="H43" s="5"/>
      <c r="I43" s="41"/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16" t="s">
        <v>91</v>
      </c>
      <c r="B44" s="5" t="s">
        <v>345</v>
      </c>
      <c r="C44" s="5"/>
      <c r="D44" s="5"/>
      <c r="E44" s="5"/>
      <c r="F44" s="5"/>
      <c r="G44" s="16" t="s">
        <v>346</v>
      </c>
      <c r="H44" s="5"/>
      <c r="I44" s="41"/>
      <c r="J44" s="3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16" t="s">
        <v>92</v>
      </c>
      <c r="B45" s="5" t="s">
        <v>347</v>
      </c>
      <c r="C45" s="5"/>
      <c r="D45" s="5"/>
      <c r="E45" s="5"/>
      <c r="F45" s="5"/>
      <c r="G45" s="16" t="s">
        <v>348</v>
      </c>
      <c r="H45" s="5"/>
      <c r="I45" s="44">
        <v>1</v>
      </c>
      <c r="J45" s="42" t="s">
        <v>349</v>
      </c>
      <c r="K45" s="45">
        <v>2</v>
      </c>
      <c r="L45" s="42" t="s">
        <v>349</v>
      </c>
      <c r="M45" s="45">
        <v>3</v>
      </c>
      <c r="N45" s="42" t="s">
        <v>350</v>
      </c>
      <c r="O45" s="45">
        <v>4</v>
      </c>
      <c r="P45" s="42" t="s">
        <v>350</v>
      </c>
      <c r="Q45" s="4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16" t="s">
        <v>351</v>
      </c>
      <c r="B46" s="5" t="s">
        <v>352</v>
      </c>
      <c r="C46" s="5" t="s">
        <v>353</v>
      </c>
      <c r="D46" s="5"/>
      <c r="E46" s="5"/>
      <c r="F46" s="5"/>
      <c r="G46" s="16" t="s">
        <v>354</v>
      </c>
      <c r="H46" s="5"/>
      <c r="I46" s="44"/>
      <c r="J46" s="42" t="s">
        <v>355</v>
      </c>
      <c r="K46" s="45"/>
      <c r="L46" s="42" t="s">
        <v>356</v>
      </c>
      <c r="M46" s="45"/>
      <c r="N46" s="42" t="s">
        <v>355</v>
      </c>
      <c r="O46" s="45"/>
      <c r="P46" s="42" t="s">
        <v>356</v>
      </c>
      <c r="Q46" s="4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16" t="s">
        <v>93</v>
      </c>
      <c r="B47" s="5" t="s">
        <v>357</v>
      </c>
      <c r="C47" s="5" t="s">
        <v>358</v>
      </c>
      <c r="D47" s="5"/>
      <c r="E47" s="5"/>
      <c r="F47" s="5"/>
      <c r="G47" s="16" t="s">
        <v>359</v>
      </c>
      <c r="H47" s="5"/>
      <c r="I47" s="41"/>
      <c r="J47" s="41"/>
      <c r="K47" s="41"/>
      <c r="L47" s="41"/>
      <c r="M47" s="41"/>
      <c r="N47" s="41"/>
      <c r="O47" s="41"/>
      <c r="P47" s="41"/>
      <c r="Q47" s="4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16" t="s">
        <v>94</v>
      </c>
      <c r="B48" s="5" t="s">
        <v>360</v>
      </c>
      <c r="C48" s="5" t="s">
        <v>361</v>
      </c>
      <c r="D48" s="5"/>
      <c r="E48" s="5"/>
      <c r="F48" s="5"/>
      <c r="G48" s="16" t="s">
        <v>362</v>
      </c>
      <c r="H48" s="5"/>
      <c r="I48" s="41"/>
      <c r="J48" s="41"/>
      <c r="K48" s="41"/>
      <c r="L48" s="41"/>
      <c r="M48" s="41"/>
      <c r="N48" s="41"/>
      <c r="O48" s="41"/>
      <c r="P48" s="41"/>
      <c r="Q48" s="4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16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16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16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16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16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16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16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16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16" t="s">
        <v>363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16">
        <v>1</v>
      </c>
      <c r="B58" s="5" t="s">
        <v>364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16">
        <v>2</v>
      </c>
      <c r="B59" s="5" t="s">
        <v>365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16">
        <v>3</v>
      </c>
      <c r="B60" s="5" t="s">
        <v>366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16">
        <v>4</v>
      </c>
      <c r="B61" s="5" t="s">
        <v>367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16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16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16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16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16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16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16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16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16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16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16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16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16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16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16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16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16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16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16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16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16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16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16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16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16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16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16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16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16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16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16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16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16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16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16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16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16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16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16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16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16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16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16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16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16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16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16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16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16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16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16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16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16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16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16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16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16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16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16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16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16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16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16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16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16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16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16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16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16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16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16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16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16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16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16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16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16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16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16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16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16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16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16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16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16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16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16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16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16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16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16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16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16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16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16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16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16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16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16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16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16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16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16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16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16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16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16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16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16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16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16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16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16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16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16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16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16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16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16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16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16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16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16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16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16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16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16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16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16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16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16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16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16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16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16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16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16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16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16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16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16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16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16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16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16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16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16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16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16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16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16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16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16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16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16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16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16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16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16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16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16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16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16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16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16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16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16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16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16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16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16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16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16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16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16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16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16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16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16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16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16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16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16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16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16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16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16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16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16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16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16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16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16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16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16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16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16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16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16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16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1</cp:revision>
  <dcterms:created xsi:type="dcterms:W3CDTF">2012-08-10T11:52:31Z</dcterms:created>
  <dcterms:modified xsi:type="dcterms:W3CDTF">2026-06-24T12:58:30Z</dcterms:modified>
  <dc:language>pt-BR</dc:language>
</cp:coreProperties>
</file>